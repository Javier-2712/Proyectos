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drawing3.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drawings/drawing4.xml" ContentType="application/vnd.openxmlformats-officedocument.drawing+xml"/>
  <Override PartName="/xl/_rels/workbook.xml.rels" ContentType="application/vnd.openxmlformats-package.relationships+xml"/>
  <Override PartName="/xl/media/image1.jpeg" ContentType="image/jpeg"/>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Coordenadas " sheetId="1" state="visible" r:id="rId3"/>
    <sheet name="Diccionario" sheetId="2" state="visible" r:id="rId4"/>
    <sheet name="Macroinv." sheetId="3" state="visible" r:id="rId5"/>
    <sheet name="Peces" sheetId="4" state="visible" r:id="rId6"/>
    <sheet name="Perifiton" sheetId="5" state="visible" r:id="rId7"/>
    <sheet name="Vegetacion" sheetId="6" state="visible" r:id="rId8"/>
    <sheet name="Fisicoquímicos" sheetId="7" state="visible" r:id="rId9"/>
    <sheet name="Chl-a" sheetId="8" state="visible" r:id="rId10"/>
    <sheet name="BMWP_COL" sheetId="9" state="visible" r:id="rId11"/>
    <sheet name="IIBMA" sheetId="10" state="visible" r:id="rId12"/>
    <sheet name="IIBPeces" sheetId="11" state="visible" r:id="rId13"/>
    <sheet name="IIBPef" sheetId="12" state="visible" r:id="rId14"/>
    <sheet name="IIBVeg" sheetId="13" state="visible" r:id="rId15"/>
    <sheet name="IIBComp" sheetId="14" state="visible" r:id="rId16"/>
  </sheets>
  <definedNames>
    <definedName function="false" hidden="true" localSheetId="8" name="_xlnm._FilterDatabase" vbProcedure="false">BMWP_COL!$A$1:$B$103</definedName>
    <definedName function="false" hidden="true" localSheetId="2" name="_xlnm._FilterDatabase" vbProcedure="false">'Macroinv.'!$A$6:$O$628</definedName>
    <definedName function="false" hidden="true" localSheetId="3" name="_xlnm._FilterDatabase" vbProcedure="false">Peces!$A$2:$O$20</definedName>
  </definedName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E6" authorId="0">
      <text>
        <r>
          <rPr>
            <sz val="10"/>
            <rFont val="Arial"/>
            <family val="2"/>
          </rPr>
          <t xml:space="preserve">Autor:
Para el caso en que se cuente con replicas por variable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D40"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1"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2"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3"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4"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5"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6"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7" authorId="0">
      <text>
        <r>
          <rPr>
            <sz val="10"/>
            <rFont val="Arial"/>
            <family val="2"/>
          </rPr>
          <t xml:space="preserve">Fanny: 
En el documento original aparecen como hojarasca replica 5, 6  y 7 pero verificando con Emilio se llego a la conclucion de un error en el etiquetado y en realidad es arena</t>
        </r>
      </text>
    </comment>
    <comment ref="D48" authorId="0">
      <text>
        <r>
          <rPr>
            <sz val="10"/>
            <rFont val="Arial"/>
            <family val="2"/>
          </rPr>
          <t xml:space="preserve">Fanny: 
En el documento original aparecen como hojarasca replica 5, 6  y 7 pero verificando con Emilio se llego a la conclucion de un error en el etiquetado y en realidad es arena</t>
        </r>
      </text>
    </comment>
  </commentList>
</comments>
</file>

<file path=xl/sharedStrings.xml><?xml version="1.0" encoding="utf-8"?>
<sst xmlns="http://schemas.openxmlformats.org/spreadsheetml/2006/main" count="10879" uniqueCount="870">
  <si>
    <t xml:space="preserve">Punto de Muestreos</t>
  </si>
  <si>
    <t xml:space="preserve">Tramos</t>
  </si>
  <si>
    <t xml:space="preserve">Abr</t>
  </si>
  <si>
    <t xml:space="preserve">Lalitud </t>
  </si>
  <si>
    <t xml:space="preserve">Longitud</t>
  </si>
  <si>
    <t xml:space="preserve">Altitud</t>
  </si>
  <si>
    <t xml:space="preserve">Desembocadura - Zaino</t>
  </si>
  <si>
    <t xml:space="preserve">Tramo bajo</t>
  </si>
  <si>
    <t xml:space="preserve">P1</t>
  </si>
  <si>
    <t xml:space="preserve">11°16'59.1" N</t>
  </si>
  <si>
    <t xml:space="preserve">73°54'27.7" W</t>
  </si>
  <si>
    <t xml:space="preserve">Parte baja - Rio Piedra</t>
  </si>
  <si>
    <t xml:space="preserve">P2</t>
  </si>
  <si>
    <t xml:space="preserve">11°16'39.4" N </t>
  </si>
  <si>
    <t xml:space="preserve">73°55'45.2" W</t>
  </si>
  <si>
    <t xml:space="preserve">La Lisa</t>
  </si>
  <si>
    <t xml:space="preserve">Tramo medio</t>
  </si>
  <si>
    <t xml:space="preserve">P3</t>
  </si>
  <si>
    <t xml:space="preserve">11°13'46.7" N</t>
  </si>
  <si>
    <t xml:space="preserve">74°01'23.1" W</t>
  </si>
  <si>
    <t xml:space="preserve">Bocatoma</t>
  </si>
  <si>
    <t xml:space="preserve">Tramo alto</t>
  </si>
  <si>
    <t xml:space="preserve">P4</t>
  </si>
  <si>
    <t xml:space="preserve">11°12'37.1" N</t>
  </si>
  <si>
    <t xml:space="preserve">74°02'10.30" W</t>
  </si>
  <si>
    <t xml:space="preserve">Atinkana</t>
  </si>
  <si>
    <t xml:space="preserve">P5</t>
  </si>
  <si>
    <t xml:space="preserve">11°12'33.27'' N</t>
  </si>
  <si>
    <t xml:space="preserve">74°02'46.71'' W</t>
  </si>
  <si>
    <t xml:space="preserve">→  ¿Cómo esta organizado el libro?</t>
  </si>
  <si>
    <t xml:space="preserve">Macroinv. </t>
  </si>
  <si>
    <t xml:space="preserve">Datos crudos de macroinvertebrados acuáticos</t>
  </si>
  <si>
    <t xml:space="preserve">Perifiton</t>
  </si>
  <si>
    <t xml:space="preserve">Datos de perifiton depurados (los datos originales estan en la nube carpeta del proyecto)</t>
  </si>
  <si>
    <t xml:space="preserve">Peces</t>
  </si>
  <si>
    <t xml:space="preserve">Datos crudos del componente peces</t>
  </si>
  <si>
    <t xml:space="preserve">IQR</t>
  </si>
  <si>
    <t xml:space="preserve">Datos de vegetación y propuesta de para la traducción del IQR a IIBveg</t>
  </si>
  <si>
    <t xml:space="preserve">→  Código de Colores (Propuesta)</t>
  </si>
  <si>
    <t xml:space="preserve">IBI compuesto </t>
  </si>
  <si>
    <t xml:space="preserve">Puntaje IBIcomp</t>
  </si>
  <si>
    <t xml:space="preserve">Clase ecológica</t>
  </si>
  <si>
    <t xml:space="preserve">Código de color</t>
  </si>
  <si>
    <t xml:space="preserve">Descripción</t>
  </si>
  <si>
    <t xml:space="preserve">[0,0 - 0,2)</t>
  </si>
  <si>
    <t xml:space="preserve">Muy baja</t>
  </si>
  <si>
    <t xml:space="preserve">Muy pobre integridad biótica de las comunidades acuáticas que implica un estado ecológico muy malo del sitio de muestreo</t>
  </si>
  <si>
    <t xml:space="preserve">[0,2 - 0,4)</t>
  </si>
  <si>
    <t xml:space="preserve">Baja </t>
  </si>
  <si>
    <t xml:space="preserve">Pobre integridad biótica de las comunidades acuáticas que implica un estado ecológico malo del sitio de muestreo</t>
  </si>
  <si>
    <t xml:space="preserve">[0,4 - 0,6)</t>
  </si>
  <si>
    <t xml:space="preserve">Moderada </t>
  </si>
  <si>
    <t xml:space="preserve">Moderada integridad biótica de las comunidades acuáticas que implica un estado ecológico deficiente del sitio de muestreo</t>
  </si>
  <si>
    <t xml:space="preserve">[0,6 - 0,8)</t>
  </si>
  <si>
    <t xml:space="preserve">Alta</t>
  </si>
  <si>
    <t xml:space="preserve">Buena integridad biótica de las comunidades acuáticas que implica un estado ecológico bueno del sitio de muestreo</t>
  </si>
  <si>
    <t xml:space="preserve">[0,8 - 1,0]</t>
  </si>
  <si>
    <t xml:space="preserve">Muy alta</t>
  </si>
  <si>
    <t xml:space="preserve">Excelente integridad biótica de las comunidades acuáticas que implica un estado ecológico excelente del sitio de muestreo</t>
  </si>
  <si>
    <t xml:space="preserve">→ Flujo de Trabajo Recomendado (Pinilla et al., 2014)</t>
  </si>
  <si>
    <t xml:space="preserve">1. Tabulación de los datos </t>
  </si>
  <si>
    <t xml:space="preserve">2. Listado de métricas ajustadas a la cuenca estudiada</t>
  </si>
  <si>
    <t xml:space="preserve">3. Selección de las métricas que mejor describen la cuenca </t>
  </si>
  <si>
    <t xml:space="preserve">4. Calcular las métricas para cada tramo y/o temporada climática</t>
  </si>
  <si>
    <t xml:space="preserve">5. Calculo del IBI preliminar: cálculo del IBI por componente</t>
  </si>
  <si>
    <t xml:space="preserve">6. Estandarización de la métrica por componente: escala de valor de las métricas sean comparables entre si y con los otros componentes del IBI</t>
  </si>
  <si>
    <t xml:space="preserve">7. Delimitación del semanforo: los IBI por componente son comparables en escala de valor y se puede calcular el IBI compuesto</t>
  </si>
  <si>
    <t xml:space="preserve">8. Comparación del valor del IBI calculado por tramo con las variables fisicoquímicas y otros datos de la cuenca para poder explicar el estado de la cuenca</t>
  </si>
  <si>
    <t xml:space="preserve">→ Diccionario de Variables</t>
  </si>
  <si>
    <t xml:space="preserve">Nota: 
-Macro (Macroinvertebrados acuáticos)
-IIBMA: índice de integridad biótica componente macroinvertebrados acuáticos
-IIBPerif: índice de integridad biótica componente perifiton
-IIBPeces: índice de integridad biótica componente peces
-IIBVegRib: índice de integridad biótica componente vegetación de ribera
-IIBComp: índice de integridad biótica compuesto</t>
  </si>
  <si>
    <t xml:space="preserve">Variable</t>
  </si>
  <si>
    <t xml:space="preserve">Componente</t>
  </si>
  <si>
    <t xml:space="preserve">Ecuación</t>
  </si>
  <si>
    <t xml:space="preserve">Definición </t>
  </si>
  <si>
    <t xml:space="preserve">% Chironomidae (%Chi)</t>
  </si>
  <si>
    <t xml:space="preserve">Macro</t>
  </si>
  <si>
    <t xml:space="preserve">%Chi=(N° indv. Chi/total indv.)*100</t>
  </si>
  <si>
    <t xml:space="preserve">Porcentaje de taxones de la familia Chironomidae</t>
  </si>
  <si>
    <t xml:space="preserve">% Colectores (%CG)</t>
  </si>
  <si>
    <t xml:space="preserve">%CG= (N° indv. CG  /total indv.)*100 </t>
  </si>
  <si>
    <t xml:space="preserve">Porcentaje de taxones que se alimentan de materia orgánica particulada depositada en el sedimento</t>
  </si>
  <si>
    <t xml:space="preserve">% Depredadores (%Pr)</t>
  </si>
  <si>
    <t xml:space="preserve">%Pr= (N° indv. Pr /total indv.)*100 </t>
  </si>
  <si>
    <t xml:space="preserve">Porcentaje de taxones que se alimentan de tejido animal vivo</t>
  </si>
  <si>
    <t xml:space="preserve">% Filtradores (%Ft)</t>
  </si>
  <si>
    <t xml:space="preserve">%Ft= (N° indv. Ft /total indv.)*100 </t>
  </si>
  <si>
    <t xml:space="preserve">Porcentaje de taxones que se alimentan de materia orgánica particulada fina de la columna de agua</t>
  </si>
  <si>
    <t xml:space="preserve">% Fragmentadores (%Sh-dt)</t>
  </si>
  <si>
    <t xml:space="preserve">%Sh-Dt= (N° indv. Sh-Dt /total indv.)*100 </t>
  </si>
  <si>
    <t xml:space="preserve">Porcentaje de taxones que trituran materia orgánica particulada gruesa</t>
  </si>
  <si>
    <t xml:space="preserve">% Raspador (Ras)</t>
  </si>
  <si>
    <t xml:space="preserve">%Ras= (N° indv. Ras /total indv.)*100 </t>
  </si>
  <si>
    <t xml:space="preserve">Porcentaje de taxones que se alimentan de perifiton/ biopelícula</t>
  </si>
  <si>
    <t xml:space="preserve">%EPT</t>
  </si>
  <si>
    <t xml:space="preserve">%EPT= (N° indv. EPT  /total indv.)*100</t>
  </si>
  <si>
    <t xml:space="preserve">Porcentaje de familias de los órdenes de Ephemeroptera, Plecoptera y Trichoptera encontrados</t>
  </si>
  <si>
    <t xml:space="preserve">Abundancia </t>
  </si>
  <si>
    <t xml:space="preserve">Macro, peces</t>
  </si>
  <si>
    <t xml:space="preserve">-</t>
  </si>
  <si>
    <t xml:space="preserve">Número de individuos por morfoespecies</t>
  </si>
  <si>
    <t xml:space="preserve">Abundancia total </t>
  </si>
  <si>
    <t xml:space="preserve">Número total de individuos recolectados por tramo</t>
  </si>
  <si>
    <t xml:space="preserve">Alto perfil</t>
  </si>
  <si>
    <t xml:space="preserve">Gremio ecológico (Passy, 2007): contiene especies de talla más grande o que tienden a formar grandes colonias. Incluye a las formas erectas, filamentosas, ramificadas, en cadena, tuberiformes, pedunculadas y centrales coloniales</t>
  </si>
  <si>
    <t xml:space="preserve">Anotaciones</t>
  </si>
  <si>
    <t xml:space="preserve">Todos</t>
  </si>
  <si>
    <t xml:space="preserve">Nota con respecto al dato, ya sea para verificar o buscar más información al respecto</t>
  </si>
  <si>
    <t xml:space="preserve">Bajo perfil </t>
  </si>
  <si>
    <t xml:space="preserve">Gremio ecológico (Passy, 2007): contiene especies de baja estatura que incluyen diatomeas
postradas, adnatas y erectas, centrales solitarias, y especies de baja movilidad</t>
  </si>
  <si>
    <t xml:space="preserve">Bentónico</t>
  </si>
  <si>
    <t xml:space="preserve">Número de taxones que se asocian directamente con el fondo cerca del sustrato</t>
  </si>
  <si>
    <t xml:space="preserve">BMWP</t>
  </si>
  <si>
    <t xml:space="preserve">Carnívoro</t>
  </si>
  <si>
    <t xml:space="preserve">Número de taxones que se alimentan mayormente de otros animales</t>
  </si>
  <si>
    <t xml:space="preserve">Catádromo</t>
  </si>
  <si>
    <t xml:space="preserve">Número de taxones de aguas con baja salinidad, pero migran hacia el océano durante una etapa de su vida</t>
  </si>
  <si>
    <t xml:space="preserve">Colector (CG)</t>
  </si>
  <si>
    <t xml:space="preserve">Taxones que se alimentan de materia orgánica particulada depositada en el sedimento</t>
  </si>
  <si>
    <t xml:space="preserve">Colector-Filtrador (CGF)</t>
  </si>
  <si>
    <t xml:space="preserve">Taxones que se alimentan de materia orgánica particulada fina suspendida en la columna de agua</t>
  </si>
  <si>
    <t xml:space="preserve">Coordenadas</t>
  </si>
  <si>
    <t xml:space="preserve">Macro, perifiton, peces</t>
  </si>
  <si>
    <t xml:space="preserve">Depredador (Pr)</t>
  </si>
  <si>
    <t xml:space="preserve">Taxones que se alimentan de tejido animal vivo</t>
  </si>
  <si>
    <t xml:space="preserve">Detrítivoros (Det)</t>
  </si>
  <si>
    <t xml:space="preserve">Categoría que agrupa colectores + fragmentadores de materia orgánica muerta</t>
  </si>
  <si>
    <t xml:space="preserve">EPT</t>
  </si>
  <si>
    <t xml:space="preserve">Número de familias de los órdenes de Ephemeroptera, Plecoptera y Trichoptera encontrados </t>
  </si>
  <si>
    <t xml:space="preserve">Especie</t>
  </si>
  <si>
    <t xml:space="preserve">Clasificación taxonómica</t>
  </si>
  <si>
    <t xml:space="preserve">Estacionario</t>
  </si>
  <si>
    <t xml:space="preserve">Número de taxones que no realizan migraciones de larga distancia con ciclo de vida en una misma área geográfica</t>
  </si>
  <si>
    <t xml:space="preserve">Familia </t>
  </si>
  <si>
    <t xml:space="preserve">Fecha </t>
  </si>
  <si>
    <t xml:space="preserve">Fecha de recolección </t>
  </si>
  <si>
    <t xml:space="preserve">Filtrador (Ft)</t>
  </si>
  <si>
    <t xml:space="preserve">Fragmentadores (Sh-dt)</t>
  </si>
  <si>
    <t xml:space="preserve">Taxones que tritura materia orgánica particulada gruesa</t>
  </si>
  <si>
    <t xml:space="preserve">Género</t>
  </si>
  <si>
    <t xml:space="preserve">Gremio trófico</t>
  </si>
  <si>
    <t xml:space="preserve">Conjunto de especies o géneros que explotan el mismo tipo de recurso alimenticio</t>
  </si>
  <si>
    <t xml:space="preserve">Grupo funcional </t>
  </si>
  <si>
    <t xml:space="preserve">Conjunto de especies o géneros que comparten el mismo o estrategia morfológica de conseguir alimento</t>
  </si>
  <si>
    <t xml:space="preserve">Herbívoro</t>
  </si>
  <si>
    <t xml:space="preserve">Número de taxones que se alimentan solo o mayormente de material vegetal</t>
  </si>
  <si>
    <t xml:space="preserve">Herbívoro (HR)</t>
  </si>
  <si>
    <t xml:space="preserve">Categoría que agrupa raspadores + consumidores de tejido vegetal vivo </t>
  </si>
  <si>
    <t xml:space="preserve">Micro-hábitat</t>
  </si>
  <si>
    <t xml:space="preserve">Macro, perifiton</t>
  </si>
  <si>
    <t xml:space="preserve">Tipo de sustrato o hábitat específico dentro del tramo del río donde se realizó la recolección de organismos</t>
  </si>
  <si>
    <t xml:space="preserve">Móviles</t>
  </si>
  <si>
    <t xml:space="preserve">Gremio ecológico (Passy, 2007): contiene especies de rápido movimiento, taxones adaptados a ambientes turbulentos y a altas concentraciones de nutrientes</t>
  </si>
  <si>
    <t xml:space="preserve">Muestra</t>
  </si>
  <si>
    <t xml:space="preserve">Horario diurno o nocturno en que se recolecto la muestra</t>
  </si>
  <si>
    <t xml:space="preserve">Omnívoro</t>
  </si>
  <si>
    <t xml:space="preserve">Número de taxones que se consumen recursos mixtos de origen animal y vegetal</t>
  </si>
  <si>
    <t xml:space="preserve">Orden</t>
  </si>
  <si>
    <t xml:space="preserve">Pelágico</t>
  </si>
  <si>
    <t xml:space="preserve">Número de taxones que habitan en la columna de agua </t>
  </si>
  <si>
    <t xml:space="preserve">Raspador (Ras)</t>
  </si>
  <si>
    <t xml:space="preserve">Taxones que se rapan el paerifiton de superficies duras </t>
  </si>
  <si>
    <t xml:space="preserve">Réplica</t>
  </si>
  <si>
    <t xml:space="preserve">Réplicas de macroinvertebrados, perifiton y muestras para el análisis fisicoquímico</t>
  </si>
  <si>
    <t xml:space="preserve">Riqueza</t>
  </si>
  <si>
    <t xml:space="preserve">Número de familias presentes por tramo </t>
  </si>
  <si>
    <t xml:space="preserve">Sedentario / depositario (SD)</t>
  </si>
  <si>
    <t xml:space="preserve">Organismos poco móviles que viven adheridos o enterrados en el sustrato</t>
  </si>
  <si>
    <t xml:space="preserve">Taxones sensibles</t>
  </si>
  <si>
    <t xml:space="preserve">Número de taxones considerados como sensibles a la pertubación</t>
  </si>
  <si>
    <t xml:space="preserve">Taxones tolerantes</t>
  </si>
  <si>
    <t xml:space="preserve">Número de taxones considerados como tolerantes a la perturbación</t>
  </si>
  <si>
    <t xml:space="preserve">Tolerancia</t>
  </si>
  <si>
    <t xml:space="preserve">Perifiton, peces</t>
  </si>
  <si>
    <t xml:space="preserve">Clasificación de los taxones de acuerdo a la respuesta a la perturbación (sensible o tolerante)</t>
  </si>
  <si>
    <t xml:space="preserve">Tramo </t>
  </si>
  <si>
    <t xml:space="preserve">Todos </t>
  </si>
  <si>
    <t xml:space="preserve">Posición relativa del sitio de muestreo a lo largo del gradiente longitudinal de la cuenca</t>
  </si>
  <si>
    <t xml:space="preserve">Triturador (Tr)</t>
  </si>
  <si>
    <t xml:space="preserve">Taxones que trituran materia orgánica particulada gruesa de hojarasca y hojas vivas</t>
  </si>
  <si>
    <t xml:space="preserve">Macroinvertebrados Acuáticos</t>
  </si>
  <si>
    <t xml:space="preserve">Localidad: </t>
  </si>
  <si>
    <t xml:space="preserve">Rio Piedra</t>
  </si>
  <si>
    <t xml:space="preserve">Sitio </t>
  </si>
  <si>
    <t xml:space="preserve">Micro-Habitat</t>
  </si>
  <si>
    <t xml:space="preserve">Familia / subfamilia</t>
  </si>
  <si>
    <t xml:space="preserve">Abundancia</t>
  </si>
  <si>
    <t xml:space="preserve">Abundancia relativa</t>
  </si>
  <si>
    <t xml:space="preserve">Grupos funcionales</t>
  </si>
  <si>
    <t xml:space="preserve">Puntaje BMWP/Col</t>
  </si>
  <si>
    <t xml:space="preserve">Abundancia total</t>
  </si>
  <si>
    <t xml:space="preserve">Medio</t>
  </si>
  <si>
    <t xml:space="preserve">11°13'46,7" N</t>
  </si>
  <si>
    <t xml:space="preserve">74°01'23,1" W</t>
  </si>
  <si>
    <t xml:space="preserve">Arena</t>
  </si>
  <si>
    <t xml:space="preserve">Trichoptera</t>
  </si>
  <si>
    <t xml:space="preserve">Leptoceridae</t>
  </si>
  <si>
    <t xml:space="preserve">Atanatolica</t>
  </si>
  <si>
    <t xml:space="preserve">CG</t>
  </si>
  <si>
    <t xml:space="preserve">Hemiptera</t>
  </si>
  <si>
    <t xml:space="preserve">Naucoridae</t>
  </si>
  <si>
    <t xml:space="preserve">Limnocoris</t>
  </si>
  <si>
    <t xml:space="preserve">Pr</t>
  </si>
  <si>
    <t xml:space="preserve">Diptera</t>
  </si>
  <si>
    <t xml:space="preserve">Chironomidae</t>
  </si>
  <si>
    <t xml:space="preserve">Chironominae</t>
  </si>
  <si>
    <t xml:space="preserve">Veliidae</t>
  </si>
  <si>
    <t xml:space="preserve">Microvelia</t>
  </si>
  <si>
    <t xml:space="preserve">Rhagovelia</t>
  </si>
  <si>
    <t xml:space="preserve">Ephemeroptera</t>
  </si>
  <si>
    <t xml:space="preserve">Baetidae</t>
  </si>
  <si>
    <t xml:space="preserve">Baetodes</t>
  </si>
  <si>
    <t xml:space="preserve">Ras</t>
  </si>
  <si>
    <t xml:space="preserve">Americabaetis</t>
  </si>
  <si>
    <t xml:space="preserve">Tanypodinae</t>
  </si>
  <si>
    <t xml:space="preserve">Odonata</t>
  </si>
  <si>
    <t xml:space="preserve">Gomphidae</t>
  </si>
  <si>
    <t xml:space="preserve">Progomphus</t>
  </si>
  <si>
    <t xml:space="preserve">Limoniidae</t>
  </si>
  <si>
    <t xml:space="preserve">Limonia</t>
  </si>
  <si>
    <t xml:space="preserve">Coleoptera</t>
  </si>
  <si>
    <t xml:space="preserve">Elmidae</t>
  </si>
  <si>
    <t xml:space="preserve">Heterelmis</t>
  </si>
  <si>
    <t xml:space="preserve">Raíz</t>
  </si>
  <si>
    <t xml:space="preserve">Hydropsychidae</t>
  </si>
  <si>
    <t xml:space="preserve">Leptonema</t>
  </si>
  <si>
    <t xml:space="preserve">Sh-Dt</t>
  </si>
  <si>
    <t xml:space="preserve">Leptohyphidae</t>
  </si>
  <si>
    <t xml:space="preserve">Tricorythodes</t>
  </si>
  <si>
    <t xml:space="preserve">Simuliidae</t>
  </si>
  <si>
    <t xml:space="preserve">Simulium</t>
  </si>
  <si>
    <t xml:space="preserve">Ft</t>
  </si>
  <si>
    <t xml:space="preserve">Tricladida</t>
  </si>
  <si>
    <t xml:space="preserve">Dugesiidae</t>
  </si>
  <si>
    <t xml:space="preserve">Dugesia</t>
  </si>
  <si>
    <t xml:space="preserve">Smicridea</t>
  </si>
  <si>
    <t xml:space="preserve">Mesoveliidae</t>
  </si>
  <si>
    <t xml:space="preserve">Mesovelia</t>
  </si>
  <si>
    <t xml:space="preserve">Pelocoris</t>
  </si>
  <si>
    <t xml:space="preserve">Calamoceratidae</t>
  </si>
  <si>
    <t xml:space="preserve">Phylloicus</t>
  </si>
  <si>
    <t xml:space="preserve">Lepidoptera</t>
  </si>
  <si>
    <t xml:space="preserve">Crambidae</t>
  </si>
  <si>
    <t xml:space="preserve">Petrophila</t>
  </si>
  <si>
    <t xml:space="preserve">Calopterygidae</t>
  </si>
  <si>
    <t xml:space="preserve">Hetaerina</t>
  </si>
  <si>
    <t xml:space="preserve">Trombidiformes</t>
  </si>
  <si>
    <t xml:space="preserve">Limnesiidae</t>
  </si>
  <si>
    <t xml:space="preserve">Leptophlebiidae</t>
  </si>
  <si>
    <t xml:space="preserve">Thraulodes</t>
  </si>
  <si>
    <t xml:space="preserve">Plecoptera</t>
  </si>
  <si>
    <t xml:space="preserve">Perlidae</t>
  </si>
  <si>
    <t xml:space="preserve">Anacroneuria</t>
  </si>
  <si>
    <t xml:space="preserve">Libellulidae</t>
  </si>
  <si>
    <t xml:space="preserve">Libellula</t>
  </si>
  <si>
    <t xml:space="preserve">Nectopsyche</t>
  </si>
  <si>
    <t xml:space="preserve">Grava</t>
  </si>
  <si>
    <t xml:space="preserve">Odontoceridae</t>
  </si>
  <si>
    <t xml:space="preserve">Marilia</t>
  </si>
  <si>
    <t xml:space="preserve">Platystictidae</t>
  </si>
  <si>
    <t xml:space="preserve">Palaemnema</t>
  </si>
  <si>
    <t xml:space="preserve">Ptilodactylidae</t>
  </si>
  <si>
    <t xml:space="preserve">Anchytarsus</t>
  </si>
  <si>
    <t xml:space="preserve">Coenagrionidae</t>
  </si>
  <si>
    <t xml:space="preserve">Argia</t>
  </si>
  <si>
    <t xml:space="preserve">Orthocladiinae</t>
  </si>
  <si>
    <t xml:space="preserve">Psephenidae</t>
  </si>
  <si>
    <t xml:space="preserve">Psephenus</t>
  </si>
  <si>
    <t xml:space="preserve">Brechmorhoga</t>
  </si>
  <si>
    <t xml:space="preserve">Macrelmis</t>
  </si>
  <si>
    <t xml:space="preserve">Cabecar</t>
  </si>
  <si>
    <t xml:space="preserve">Philopotamidae</t>
  </si>
  <si>
    <t xml:space="preserve">Chimarra</t>
  </si>
  <si>
    <t xml:space="preserve">Megaloptera</t>
  </si>
  <si>
    <t xml:space="preserve">Corydalidae</t>
  </si>
  <si>
    <t xml:space="preserve">Corydalus</t>
  </si>
  <si>
    <t xml:space="preserve">Farrodes</t>
  </si>
  <si>
    <t xml:space="preserve">Camelobaetidius</t>
  </si>
  <si>
    <t xml:space="preserve">Hojarasca</t>
  </si>
  <si>
    <t xml:space="preserve">Phanocerus</t>
  </si>
  <si>
    <t xml:space="preserve">Staphylinidae</t>
  </si>
  <si>
    <t xml:space="preserve">Decapoda</t>
  </si>
  <si>
    <t xml:space="preserve">Atyidae</t>
  </si>
  <si>
    <t xml:space="preserve">Atya</t>
  </si>
  <si>
    <t xml:space="preserve">Alto</t>
  </si>
  <si>
    <t xml:space="preserve">11°12'37,1" N</t>
  </si>
  <si>
    <t xml:space="preserve">74°02'10,30" W</t>
  </si>
  <si>
    <t xml:space="preserve">Gastropoda</t>
  </si>
  <si>
    <t xml:space="preserve">Planorbidae</t>
  </si>
  <si>
    <t xml:space="preserve">Lumbriculida</t>
  </si>
  <si>
    <t xml:space="preserve">Lumbriculidae</t>
  </si>
  <si>
    <t xml:space="preserve">Det</t>
  </si>
  <si>
    <t xml:space="preserve">Blepharoceridae</t>
  </si>
  <si>
    <t xml:space="preserve">Limonicola</t>
  </si>
  <si>
    <t xml:space="preserve">Tipulidae</t>
  </si>
  <si>
    <t xml:space="preserve">Tipula</t>
  </si>
  <si>
    <t xml:space="preserve">Oecetis</t>
  </si>
  <si>
    <t xml:space="preserve">2*</t>
  </si>
  <si>
    <t xml:space="preserve">Leptohyphes</t>
  </si>
  <si>
    <t xml:space="preserve">Microcylloepus</t>
  </si>
  <si>
    <t xml:space="preserve">Dixidae</t>
  </si>
  <si>
    <t xml:space="preserve">Dixella</t>
  </si>
  <si>
    <t xml:space="preserve">73°02'10,30" W</t>
  </si>
  <si>
    <t xml:space="preserve">Ceratopogonidae</t>
  </si>
  <si>
    <t xml:space="preserve">Bezzia</t>
  </si>
  <si>
    <t xml:space="preserve">Empididae</t>
  </si>
  <si>
    <t xml:space="preserve">Hemerodromia</t>
  </si>
  <si>
    <t xml:space="preserve">Confirmar posible Austrelmis</t>
  </si>
  <si>
    <t xml:space="preserve">* Confirmar</t>
  </si>
  <si>
    <t xml:space="preserve">Pseudothelphusidae</t>
  </si>
  <si>
    <t xml:space="preserve">Pseudothelphusa</t>
  </si>
  <si>
    <t xml:space="preserve">Tr</t>
  </si>
  <si>
    <t xml:space="preserve">Bajo</t>
  </si>
  <si>
    <t xml:space="preserve">Los Naranjos</t>
  </si>
  <si>
    <t xml:space="preserve">11°16'39,4" N</t>
  </si>
  <si>
    <t xml:space="preserve">73°55'45,2" W</t>
  </si>
  <si>
    <t xml:space="preserve">Disersus</t>
  </si>
  <si>
    <t xml:space="preserve">Psychodidae</t>
  </si>
  <si>
    <t xml:space="preserve">Pericoma</t>
  </si>
  <si>
    <t xml:space="preserve">11°16'59,1" N</t>
  </si>
  <si>
    <t xml:space="preserve">73°54'27,7" W</t>
  </si>
  <si>
    <t xml:space="preserve">Gelastocoridae</t>
  </si>
  <si>
    <t xml:space="preserve">Gelastocoris</t>
  </si>
  <si>
    <t xml:space="preserve">73°33'15" W</t>
  </si>
  <si>
    <t xml:space="preserve">Littorinimorpha</t>
  </si>
  <si>
    <t xml:space="preserve">Hydrobiidae</t>
  </si>
  <si>
    <t xml:space="preserve">* Raspador</t>
  </si>
  <si>
    <t xml:space="preserve">Hydroptilidae</t>
  </si>
  <si>
    <t xml:space="preserve">Hydroptila</t>
  </si>
  <si>
    <t xml:space="preserve">11°12'42,44"N</t>
  </si>
  <si>
    <t xml:space="preserve"> 74°02'11,00"W</t>
  </si>
  <si>
    <t xml:space="preserve">Hexatoma</t>
  </si>
  <si>
    <t xml:space="preserve">Helicopsychidae</t>
  </si>
  <si>
    <t xml:space="preserve">Helicopsyche</t>
  </si>
  <si>
    <t xml:space="preserve">Cochliopidae</t>
  </si>
  <si>
    <t xml:space="preserve">Pyrgophorus</t>
  </si>
  <si>
    <t xml:space="preserve">* Confirmar género</t>
  </si>
  <si>
    <t xml:space="preserve">Physidae</t>
  </si>
  <si>
    <t xml:space="preserve">Physa</t>
  </si>
  <si>
    <t xml:space="preserve">Confirmar. Nota: antes se tenia como Traulotes, se confirmo que en realidad es Thraulodes</t>
  </si>
  <si>
    <t xml:space="preserve">Mayobaetis</t>
  </si>
  <si>
    <t xml:space="preserve">Glossosomatidae</t>
  </si>
  <si>
    <t xml:space="preserve">Mortoniella</t>
  </si>
  <si>
    <t xml:space="preserve">Polycentropodidae</t>
  </si>
  <si>
    <t xml:space="preserve">Polycentropus</t>
  </si>
  <si>
    <t xml:space="preserve">Hydrophilidae</t>
  </si>
  <si>
    <t xml:space="preserve">Hydrophilus   </t>
  </si>
  <si>
    <t xml:space="preserve">Culicidae</t>
  </si>
  <si>
    <t xml:space="preserve">Culex</t>
  </si>
  <si>
    <t xml:space="preserve">CGF</t>
  </si>
  <si>
    <t xml:space="preserve">Stratiomyidae</t>
  </si>
  <si>
    <t xml:space="preserve">Steinovelia</t>
  </si>
  <si>
    <t xml:space="preserve">Sympetrum</t>
  </si>
  <si>
    <t xml:space="preserve">*Confirmar grupo funcional para el género</t>
  </si>
  <si>
    <t xml:space="preserve"> Arena         </t>
  </si>
  <si>
    <t xml:space="preserve">Prebaetodes   </t>
  </si>
  <si>
    <t xml:space="preserve">Hexanchorus   </t>
  </si>
  <si>
    <t xml:space="preserve">Finca Atinkana</t>
  </si>
  <si>
    <t xml:space="preserve">11°12'34,44" N</t>
  </si>
  <si>
    <t xml:space="preserve">74°02'43,96" W</t>
  </si>
  <si>
    <t xml:space="preserve"> Hojarasca     </t>
  </si>
  <si>
    <t xml:space="preserve">Forcipomyia</t>
  </si>
  <si>
    <t xml:space="preserve">*Verificar grupo funcional del género</t>
  </si>
  <si>
    <t xml:space="preserve">*Hirudinea</t>
  </si>
  <si>
    <t xml:space="preserve">11°13'46,6" N</t>
  </si>
  <si>
    <t xml:space="preserve">74°01'23,0" W</t>
  </si>
  <si>
    <t xml:space="preserve">Tabanidae</t>
  </si>
  <si>
    <t xml:space="preserve">Tabanus</t>
  </si>
  <si>
    <t xml:space="preserve">Confirmar. Nota: antes se tenia como Baetis, se confirmo como Baetodes</t>
  </si>
  <si>
    <t xml:space="preserve">Fecha</t>
  </si>
  <si>
    <t xml:space="preserve">Sitio</t>
  </si>
  <si>
    <t xml:space="preserve">Tramo</t>
  </si>
  <si>
    <t xml:space="preserve">Familia</t>
  </si>
  <si>
    <t xml:space="preserve">FORMA ALETA CAUDAL</t>
  </si>
  <si>
    <t xml:space="preserve">Hábito Migratorio</t>
  </si>
  <si>
    <t xml:space="preserve">Microhabitat</t>
  </si>
  <si>
    <t xml:space="preserve">Posición bucal</t>
  </si>
  <si>
    <t xml:space="preserve">Gremios tróficos</t>
  </si>
  <si>
    <t xml:space="preserve">Comentario gremio trófico</t>
  </si>
  <si>
    <t xml:space="preserve">Diurna</t>
  </si>
  <si>
    <t xml:space="preserve">Characiformes</t>
  </si>
  <si>
    <t xml:space="preserve">Stevardiidae</t>
  </si>
  <si>
    <t xml:space="preserve">Hemibrycon</t>
  </si>
  <si>
    <t xml:space="preserve">Hemibrycon cf sierraensis</t>
  </si>
  <si>
    <t xml:space="preserve">Emarginada</t>
  </si>
  <si>
    <t xml:space="preserve">Terminal</t>
  </si>
  <si>
    <t xml:space="preserve">Sensible</t>
  </si>
  <si>
    <t xml:space="preserve">Ibarra-Trujillo y García-Alzate (2017) en otra literatura: Insectivoro/ generalista</t>
  </si>
  <si>
    <t xml:space="preserve">Gobiiformes</t>
  </si>
  <si>
    <t xml:space="preserve">Gobiidae </t>
  </si>
  <si>
    <t xml:space="preserve">Sicydium</t>
  </si>
  <si>
    <t xml:space="preserve">Sicydium cf antillarum</t>
  </si>
  <si>
    <t xml:space="preserve">Redondeada</t>
  </si>
  <si>
    <t xml:space="preserve">Bentónico </t>
  </si>
  <si>
    <t xml:space="preserve">Inferior</t>
  </si>
  <si>
    <t xml:space="preserve">Silva (1990) Microherbívoro/ algas filamentosas y bacterias</t>
  </si>
  <si>
    <t xml:space="preserve">Mugiliformes</t>
  </si>
  <si>
    <t xml:space="preserve">Mugilidae</t>
  </si>
  <si>
    <t xml:space="preserve">Dajaus </t>
  </si>
  <si>
    <t xml:space="preserve">Dajaus monticola</t>
  </si>
  <si>
    <t xml:space="preserve">Matamoros et al (2021) en otra literatura: insectivoro/ carnívoro / generalista</t>
  </si>
  <si>
    <t xml:space="preserve">Cichliformes</t>
  </si>
  <si>
    <t xml:space="preserve">Cichlidae</t>
  </si>
  <si>
    <t xml:space="preserve">Andinoacara </t>
  </si>
  <si>
    <t xml:space="preserve">Andinoacara latifrons</t>
  </si>
  <si>
    <t xml:space="preserve">Protractil</t>
  </si>
  <si>
    <t xml:space="preserve">Tolerante</t>
  </si>
  <si>
    <t xml:space="preserve">Blanco Cervantes (2020) En otra literatura: Especialista / Piscívoras/ depredador</t>
  </si>
  <si>
    <t xml:space="preserve">Cyprinodontiformes</t>
  </si>
  <si>
    <t xml:space="preserve">Poeciliidae</t>
  </si>
  <si>
    <t xml:space="preserve">Poecilia</t>
  </si>
  <si>
    <t xml:space="preserve">Poecilia gillii</t>
  </si>
  <si>
    <t xml:space="preserve">Superior</t>
  </si>
  <si>
    <t xml:space="preserve">Jimenez Prado et al (2020) Detritívoro</t>
  </si>
  <si>
    <t xml:space="preserve">Eleotridae</t>
  </si>
  <si>
    <t xml:space="preserve">Eleotris </t>
  </si>
  <si>
    <t xml:space="preserve">Eleotris pisonis</t>
  </si>
  <si>
    <t xml:space="preserve">Tolerante </t>
  </si>
  <si>
    <t xml:space="preserve">Carnívoro </t>
  </si>
  <si>
    <t xml:space="preserve">Silva y Tavares (2023)</t>
  </si>
  <si>
    <t xml:space="preserve">Gobiomorus</t>
  </si>
  <si>
    <t xml:space="preserve">Gobiomorus maculatus</t>
  </si>
  <si>
    <t xml:space="preserve">Canales-Gomez et al (2024) se alimentan de pequeños crustáceos y plantas / Carnívoro</t>
  </si>
  <si>
    <t xml:space="preserve">N/A</t>
  </si>
  <si>
    <t xml:space="preserve">Siluriformes</t>
  </si>
  <si>
    <t xml:space="preserve">Trichomycteridae</t>
  </si>
  <si>
    <t xml:space="preserve">Trichomycterus </t>
  </si>
  <si>
    <t xml:space="preserve">Trichomycterus  nigromaculatus</t>
  </si>
  <si>
    <t xml:space="preserve">Ibarra-Trujillo y García Alzate (2023): omnívora con tendencia a insectivora generalista</t>
  </si>
  <si>
    <t xml:space="preserve">Nota: Para la construcción del índice sólo se tendran en cuenta los 11 géneros de diatomeas y los otros 4 géneros pertenecientes a otros grupos (cianobacterias y algas verdes: Phormidium, Oscillatoria, Closterium y Spirogyra) se toman como información complementaria descriptiva porque en la literatura se ha construido el índice principalmente con Diatomeas y existe una ocurrencia puntual de estos datos, lo que hace díficil su comparación con otros puntos de muestreo</t>
  </si>
  <si>
    <t xml:space="preserve">Grupo</t>
  </si>
  <si>
    <t xml:space="preserve">Gremio ecológico (Rimet y Bouchez, 2012)</t>
  </si>
  <si>
    <t xml:space="preserve">Diatomea</t>
  </si>
  <si>
    <t xml:space="preserve">Achnanthales</t>
  </si>
  <si>
    <t xml:space="preserve">Achnanthaceae</t>
  </si>
  <si>
    <t xml:space="preserve">Achnanthes</t>
  </si>
  <si>
    <t xml:space="preserve">Bajo perfil</t>
  </si>
  <si>
    <t xml:space="preserve">Bacillariales</t>
  </si>
  <si>
    <t xml:space="preserve">Bacillariaceae</t>
  </si>
  <si>
    <t xml:space="preserve">Nitzschia</t>
  </si>
  <si>
    <t xml:space="preserve">Móvil</t>
  </si>
  <si>
    <t xml:space="preserve">Medio </t>
  </si>
  <si>
    <t xml:space="preserve">Cymbellales</t>
  </si>
  <si>
    <t xml:space="preserve">Cymbellaceae</t>
  </si>
  <si>
    <t xml:space="preserve">Cymbella </t>
  </si>
  <si>
    <t xml:space="preserve">Naviculales</t>
  </si>
  <si>
    <t xml:space="preserve">Naviculaceae</t>
  </si>
  <si>
    <t xml:space="preserve">Navicula</t>
  </si>
  <si>
    <t xml:space="preserve">Gyrosigma</t>
  </si>
  <si>
    <t xml:space="preserve">Cianobacteria</t>
  </si>
  <si>
    <t xml:space="preserve">Oscillatoriales</t>
  </si>
  <si>
    <t xml:space="preserve">Oscillatoriaceae</t>
  </si>
  <si>
    <t xml:space="preserve">Phormidium</t>
  </si>
  <si>
    <t xml:space="preserve">Filamentosa no flagelada</t>
  </si>
  <si>
    <t xml:space="preserve">Melosirales</t>
  </si>
  <si>
    <t xml:space="preserve">Melosiraceae</t>
  </si>
  <si>
    <t xml:space="preserve">Melosira</t>
  </si>
  <si>
    <t xml:space="preserve">Alga Verde</t>
  </si>
  <si>
    <t xml:space="preserve">Zygnematales</t>
  </si>
  <si>
    <t xml:space="preserve">Closteriaceae</t>
  </si>
  <si>
    <t xml:space="preserve">Closterium</t>
  </si>
  <si>
    <t xml:space="preserve">Unicelular no flagelada</t>
  </si>
  <si>
    <t xml:space="preserve">Roca</t>
  </si>
  <si>
    <t xml:space="preserve">Oscillatoria</t>
  </si>
  <si>
    <t xml:space="preserve">Filamento oscilatorial simple</t>
  </si>
  <si>
    <t xml:space="preserve">Pinnulariaceae</t>
  </si>
  <si>
    <t xml:space="preserve">Pinnularia</t>
  </si>
  <si>
    <t xml:space="preserve">Stauroneidaceae</t>
  </si>
  <si>
    <t xml:space="preserve">Craticula</t>
  </si>
  <si>
    <t xml:space="preserve">Amphipleuraceae</t>
  </si>
  <si>
    <t xml:space="preserve">Frustulia</t>
  </si>
  <si>
    <t xml:space="preserve">Cocconeidaceae</t>
  </si>
  <si>
    <t xml:space="preserve">Cocconeis</t>
  </si>
  <si>
    <t xml:space="preserve">Hojarasca </t>
  </si>
  <si>
    <t xml:space="preserve">Arena </t>
  </si>
  <si>
    <t xml:space="preserve">Roca </t>
  </si>
  <si>
    <t xml:space="preserve">Spirogyrales</t>
  </si>
  <si>
    <t xml:space="preserve">Spirogyraceae</t>
  </si>
  <si>
    <t xml:space="preserve">Spirogyra</t>
  </si>
  <si>
    <t xml:space="preserve">Fragilariales</t>
  </si>
  <si>
    <t xml:space="preserve">Fragilariaceae</t>
  </si>
  <si>
    <t xml:space="preserve">Synedra</t>
  </si>
  <si>
    <t xml:space="preserve">Fecha: </t>
  </si>
  <si>
    <t xml:space="preserve">Localidad:</t>
  </si>
  <si>
    <t xml:space="preserve">Índice de Calidad de Riveras - IRQ</t>
  </si>
  <si>
    <t xml:space="preserve">Propuesta de reescalonamiento del IRQ a IIBveg</t>
  </si>
  <si>
    <t xml:space="preserve">Tabla 1.1. Datos del IRQ por sitio de muestreo</t>
  </si>
  <si>
    <t xml:space="preserve">1. Agregación espacial de los sitios a tramos </t>
  </si>
  <si>
    <t xml:space="preserve">Atributo</t>
  </si>
  <si>
    <t xml:space="preserve">Segmento o tramo de franja ribereña </t>
  </si>
  <si>
    <t xml:space="preserve">Como el IRQ se tomaron en 4 sitios puntuales, el tramo bajo compuesto por Desembocadura + Zaino se propone hacer una ponderación aritmética simple tomando los valores de la tabla 1.2</t>
  </si>
  <si>
    <t xml:space="preserve">1 (Desembocadura)</t>
  </si>
  <si>
    <t xml:space="preserve">2 (Zaino)</t>
  </si>
  <si>
    <t xml:space="preserve">3 (La Lisa)</t>
  </si>
  <si>
    <t xml:space="preserve">4 (Bocatoma)</t>
  </si>
  <si>
    <t xml:space="preserve">1A</t>
  </si>
  <si>
    <t xml:space="preserve">1B</t>
  </si>
  <si>
    <t xml:space="preserve">2A</t>
  </si>
  <si>
    <t xml:space="preserve">Tabla 1.2. Datos ajustados del IRQ tabla 1.1.</t>
  </si>
  <si>
    <t xml:space="preserve">2B</t>
  </si>
  <si>
    <t xml:space="preserve">3A</t>
  </si>
  <si>
    <t xml:space="preserve">Tramos  o segmentos del río </t>
  </si>
  <si>
    <t xml:space="preserve">3B</t>
  </si>
  <si>
    <t xml:space="preserve">Bajo </t>
  </si>
  <si>
    <t xml:space="preserve">Total</t>
  </si>
  <si>
    <t xml:space="preserve">Valoración</t>
  </si>
  <si>
    <t xml:space="preserve">Regular </t>
  </si>
  <si>
    <t xml:space="preserve">Bueno </t>
  </si>
  <si>
    <t xml:space="preserve">Pobre </t>
  </si>
  <si>
    <t xml:space="preserve">Muy bueno </t>
  </si>
  <si>
    <t xml:space="preserve">Regular</t>
  </si>
  <si>
    <t xml:space="preserve">Pobre</t>
  </si>
  <si>
    <t xml:space="preserve">Bueno</t>
  </si>
  <si>
    <t xml:space="preserve">2. Reescala del IRQ a IIBveg</t>
  </si>
  <si>
    <t xml:space="preserve">Se realiza una reescala del IRQ (10 -120)  a un IIBveg (0-1) equivalente y comparable con los componentes del IIB mediante la ecuación:
IIBveg= (Valor observado IRQ - Valor mínimo posible del IRQ) / (Valor máximo posible del IRQ - Valor mínimo posible del IRQ)</t>
  </si>
  <si>
    <t xml:space="preserve">Valor mínimo IRQ</t>
  </si>
  <si>
    <t xml:space="preserve">Valor máximo IRQ</t>
  </si>
  <si>
    <t xml:space="preserve">IIBveg</t>
  </si>
  <si>
    <t xml:space="preserve">Interpretación IIB</t>
  </si>
  <si>
    <t xml:space="preserve">Moderada</t>
  </si>
  <si>
    <t xml:space="preserve">Río Piedras</t>
  </si>
  <si>
    <t xml:space="preserve">Origen muestra:</t>
  </si>
  <si>
    <t xml:space="preserve">Agua superficial</t>
  </si>
  <si>
    <t xml:space="preserve">Tabla 1. Datos fisicoquímicos obtenidos del análisis de agua superficial</t>
  </si>
  <si>
    <t xml:space="preserve">Fecha de muestreo </t>
  </si>
  <si>
    <t xml:space="preserve">Estación</t>
  </si>
  <si>
    <t xml:space="preserve">Replica</t>
  </si>
  <si>
    <t xml:space="preserve">Temperatura </t>
  </si>
  <si>
    <t xml:space="preserve">Conductividad</t>
  </si>
  <si>
    <t xml:space="preserve">Oxígeno Disuelto</t>
  </si>
  <si>
    <t xml:space="preserve">pH</t>
  </si>
  <si>
    <t xml:space="preserve">Amonio</t>
  </si>
  <si>
    <t xml:space="preserve">Nitrito</t>
  </si>
  <si>
    <t xml:space="preserve">Nitrato</t>
  </si>
  <si>
    <t xml:space="preserve">Fosfato</t>
  </si>
  <si>
    <t xml:space="preserve">Clorofila</t>
  </si>
  <si>
    <t xml:space="preserve">Alcalinidad</t>
  </si>
  <si>
    <t xml:space="preserve">Color Real</t>
  </si>
  <si>
    <t xml:space="preserve">Cloruros</t>
  </si>
  <si>
    <t xml:space="preserve">Dureza total</t>
  </si>
  <si>
    <t xml:space="preserve">Calcio </t>
  </si>
  <si>
    <t xml:space="preserve">Magnesio </t>
  </si>
  <si>
    <t xml:space="preserve">Hierro total</t>
  </si>
  <si>
    <t xml:space="preserve">Manganeso</t>
  </si>
  <si>
    <t xml:space="preserve">Sulfatos</t>
  </si>
  <si>
    <t xml:space="preserve">Silice </t>
  </si>
  <si>
    <t xml:space="preserve">Turbiedad</t>
  </si>
  <si>
    <t xml:space="preserve">Coliformes totales</t>
  </si>
  <si>
    <t xml:space="preserve">E. coli</t>
  </si>
  <si>
    <t xml:space="preserve">oC</t>
  </si>
  <si>
    <t xml:space="preserve">µsm/cm</t>
  </si>
  <si>
    <t xml:space="preserve">mg/L</t>
  </si>
  <si>
    <t xml:space="preserve">unidades</t>
  </si>
  <si>
    <t xml:space="preserve">mg NH3/ L</t>
  </si>
  <si>
    <t xml:space="preserve">mg NO2/ L</t>
  </si>
  <si>
    <t xml:space="preserve">mg NO3/ L</t>
  </si>
  <si>
    <t xml:space="preserve">mg PO4/ L</t>
  </si>
  <si>
    <t xml:space="preserve">mg/l CaCO3</t>
  </si>
  <si>
    <t xml:space="preserve">upc</t>
  </si>
  <si>
    <t xml:space="preserve">mg Cl/l</t>
  </si>
  <si>
    <t xml:space="preserve">mg CaCO3/l</t>
  </si>
  <si>
    <t xml:space="preserve">mg Ca/L</t>
  </si>
  <si>
    <t xml:space="preserve">mg Mg/l</t>
  </si>
  <si>
    <t xml:space="preserve">mg Fe/l</t>
  </si>
  <si>
    <t xml:space="preserve">mg Mn/l</t>
  </si>
  <si>
    <t xml:space="preserve">mg SO4/l</t>
  </si>
  <si>
    <t xml:space="preserve">mg/l Si</t>
  </si>
  <si>
    <t xml:space="preserve">UNT</t>
  </si>
  <si>
    <t xml:space="preserve">UFC/ 100 ml</t>
  </si>
  <si>
    <t xml:space="preserve">P1 Qb La Lisa</t>
  </si>
  <si>
    <t xml:space="preserve">&lt;0,001</t>
  </si>
  <si>
    <t xml:space="preserve">&lt;0,01</t>
  </si>
  <si>
    <t xml:space="preserve">P2 Río Piebras</t>
  </si>
  <si>
    <t xml:space="preserve">Alto </t>
  </si>
  <si>
    <t xml:space="preserve">P3 Bocatoma</t>
  </si>
  <si>
    <t xml:space="preserve">Parte baja Río</t>
  </si>
  <si>
    <t xml:space="preserve">Desembocadura</t>
  </si>
  <si>
    <t xml:space="preserve">Parte baja puente</t>
  </si>
  <si>
    <t xml:space="preserve">Punto bajo río Piedras</t>
  </si>
  <si>
    <t xml:space="preserve">Bocatoma </t>
  </si>
  <si>
    <t xml:space="preserve">Quebrada finca Atinkana</t>
  </si>
  <si>
    <t xml:space="preserve">&lt;0,004</t>
  </si>
  <si>
    <t xml:space="preserve">Tabla 2. Datos fisicoquímicos empleados para el análisis </t>
  </si>
  <si>
    <t xml:space="preserve">Tramo /sitio</t>
  </si>
  <si>
    <t xml:space="preserve">Datos de clorofila</t>
  </si>
  <si>
    <t xml:space="preserve">Lugar</t>
  </si>
  <si>
    <t xml:space="preserve">Sustrato</t>
  </si>
  <si>
    <t xml:space="preserve">Absorbancia</t>
  </si>
  <si>
    <t xml:space="preserve">Longitud de Onda</t>
  </si>
  <si>
    <t xml:space="preserve">Vol extracto (ml)</t>
  </si>
  <si>
    <t xml:space="preserve">Superficie (cm2) </t>
  </si>
  <si>
    <t xml:space="preserve">Chl-a</t>
  </si>
  <si>
    <t xml:space="preserve">Desviación estandar</t>
  </si>
  <si>
    <t xml:space="preserve">Promedio Chl-a (sustrato) </t>
  </si>
  <si>
    <t xml:space="preserve">Promedio Chl-a (tramo)</t>
  </si>
  <si>
    <t xml:space="preserve">Rio Piedras</t>
  </si>
  <si>
    <t xml:space="preserve">Tramo Alto </t>
  </si>
  <si>
    <t xml:space="preserve">Tramo Alto Bocatoma </t>
  </si>
  <si>
    <t xml:space="preserve">R1</t>
  </si>
  <si>
    <t xml:space="preserve">R2</t>
  </si>
  <si>
    <t xml:space="preserve">R3</t>
  </si>
  <si>
    <t xml:space="preserve">R4</t>
  </si>
  <si>
    <t xml:space="preserve">Tramo Medio La Lisa </t>
  </si>
  <si>
    <t xml:space="preserve">Tramo Medio </t>
  </si>
  <si>
    <t xml:space="preserve">Tramo Alto San Isidro</t>
  </si>
  <si>
    <t xml:space="preserve">No se tomo muestra por lluvias</t>
  </si>
  <si>
    <t xml:space="preserve">Tramo Medio La Lisa</t>
  </si>
  <si>
    <t xml:space="preserve">Tramo Medio Lisa </t>
  </si>
  <si>
    <t xml:space="preserve">Anomalopsychidae</t>
  </si>
  <si>
    <t xml:space="preserve">Atriplectidae</t>
  </si>
  <si>
    <t xml:space="preserve">Chordodidae</t>
  </si>
  <si>
    <t xml:space="preserve">Hydridae</t>
  </si>
  <si>
    <t xml:space="preserve">Lampyridae</t>
  </si>
  <si>
    <t xml:space="preserve">Lymnessiidae</t>
  </si>
  <si>
    <t xml:space="preserve">Oligoneuriidae</t>
  </si>
  <si>
    <t xml:space="preserve">Polythoridae</t>
  </si>
  <si>
    <t xml:space="preserve">Euphaeidae</t>
  </si>
  <si>
    <t xml:space="preserve">Ampullariidae</t>
  </si>
  <si>
    <t xml:space="preserve">Dytiscidae</t>
  </si>
  <si>
    <t xml:space="preserve">Ephemeridae</t>
  </si>
  <si>
    <t xml:space="preserve">Euthyplociidae</t>
  </si>
  <si>
    <t xml:space="preserve">Gyrinidae</t>
  </si>
  <si>
    <t xml:space="preserve">Hydraenidae</t>
  </si>
  <si>
    <t xml:space="preserve">Polymitarcyidae</t>
  </si>
  <si>
    <t xml:space="preserve">Xiphocentronidae</t>
  </si>
  <si>
    <t xml:space="preserve">Gerridae</t>
  </si>
  <si>
    <t xml:space="preserve">Hebridae</t>
  </si>
  <si>
    <t xml:space="preserve">Lestidae</t>
  </si>
  <si>
    <t xml:space="preserve">Palaemonidae</t>
  </si>
  <si>
    <t xml:space="preserve">Pleidae</t>
  </si>
  <si>
    <t xml:space="preserve">Saldidae</t>
  </si>
  <si>
    <t xml:space="preserve">Caenidae</t>
  </si>
  <si>
    <t xml:space="preserve">Corixidae</t>
  </si>
  <si>
    <t xml:space="preserve">Dryopidae</t>
  </si>
  <si>
    <t xml:space="preserve">Hyalellidae</t>
  </si>
  <si>
    <t xml:space="preserve">Notonectidae</t>
  </si>
  <si>
    <t xml:space="preserve">Planariidae</t>
  </si>
  <si>
    <t xml:space="preserve">Scirtidae</t>
  </si>
  <si>
    <t xml:space="preserve">Aeshnidae</t>
  </si>
  <si>
    <t xml:space="preserve">Ancylidae</t>
  </si>
  <si>
    <t xml:space="preserve">Limnichidae</t>
  </si>
  <si>
    <t xml:space="preserve">Lutrochidae</t>
  </si>
  <si>
    <t xml:space="preserve">Megapodagrionidae</t>
  </si>
  <si>
    <t xml:space="preserve">Sialidae</t>
  </si>
  <si>
    <t xml:space="preserve">Belostomatidae</t>
  </si>
  <si>
    <t xml:space="preserve">Nepidae</t>
  </si>
  <si>
    <t xml:space="preserve">Pyralidae</t>
  </si>
  <si>
    <t xml:space="preserve">Thiaridae</t>
  </si>
  <si>
    <t xml:space="preserve">Chrysomelidae</t>
  </si>
  <si>
    <t xml:space="preserve">Haliplidae</t>
  </si>
  <si>
    <t xml:space="preserve">Dolichopodidae</t>
  </si>
  <si>
    <t xml:space="preserve">Sphaeridae</t>
  </si>
  <si>
    <t xml:space="preserve">Lymnaeidae</t>
  </si>
  <si>
    <t xml:space="preserve">Hydrometridae</t>
  </si>
  <si>
    <t xml:space="preserve">Noteridae</t>
  </si>
  <si>
    <t xml:space="preserve">Glossiphoniidae</t>
  </si>
  <si>
    <t xml:space="preserve">Cyclobdellidae</t>
  </si>
  <si>
    <t xml:space="preserve">Muscidae</t>
  </si>
  <si>
    <t xml:space="preserve">Sciomyzidae</t>
  </si>
  <si>
    <t xml:space="preserve">Syrphidae</t>
  </si>
  <si>
    <t xml:space="preserve">Tubificidae</t>
  </si>
  <si>
    <t xml:space="preserve">IIB Macroinvertebrados Acuáticos </t>
  </si>
  <si>
    <t xml:space="preserve">Nota metodológica</t>
  </si>
  <si>
    <t xml:space="preserve">Referentes bibliográficos: Pinilla et al. (2008), Tabla 23. El índice de Hilsenhoff original se sustituye por BMWP/Col (Roldán, 2003) como proxy de tolerancia (ver nota en el prompt maestro del proyecto, "Inconsistencia abierta"). El cálculo de las métricas se realiza uniendo las dos campañas de muestreo (nov-dic 2024 y may 2025) para los tres tramos, aunque representa un sesgo por la falta de datos del tramo Bajo en la segunda campaña (may 2025) — decisión ya tomada por el equipo, se documenta aquí para que quede trazable junto al resto del componente.
REVISIÓN METODOLÓGICA (esta versión): se revierte la estandarización min-max entre los 3 tramos (versión anterior de esta hoja) al puntaje absoluto de la Tabla 23 de Pinilla et al. (2008) — ver justificación completa en la hoja de notas del proyecto. Se usan las 10 métricas literales de la Tabla 23 (TT, T, D, %E, %EPT, %O, I, Tol, %CG, Ft) en vez de las 7 métricas simplificadas de la versión anterior (TT, EPTR, Ab, %EPT, %CG, %Ft, BMWP/Col), porque EPTR, Ab y BMWP/Col como métrica puntuable no tienen un corte absoluto literal en la Tabla 23. Se mantienen los datos crudos (abundancia por familia/género, ambas campañas) sin cambios.
SUPUESTO marcado (Regla de rigor #4): I (taxones intolerantes) y Tol (% taxones tolerantes) se calculan usando BMWP/Col como proxy de tolerancia en vez del VT genuino de la Tabla 22 (no disponible a nivel de familia): se define "intolerante" como familia con BMWP/Col ≥ 7 y "tolerante" como familia con BMWP/Col ≤ 3 — un tercio alto y un tercio bajo del rango 1-10 de puntajes BMWP/Col, no un corte literal de la fuente. %O (Oligoquetos) se calcula sobre la familia Lumbriculidae (único oligoqueto presente en los datos).</t>
  </si>
  <si>
    <t xml:space="preserve">1. Abundancia por familia y tramo (hoja "Macroinv.", ambas campañas)</t>
  </si>
  <si>
    <t xml:space="preserve">BMWP/Col</t>
  </si>
  <si>
    <t xml:space="preserve">Total tramo</t>
  </si>
  <si>
    <t xml:space="preserve">2. Abundancia por género, grupo funcional y tramo (hoja "Macroinv.", ambas campañas)</t>
  </si>
  <si>
    <t xml:space="preserve">Grupo funcional</t>
  </si>
  <si>
    <t xml:space="preserve">3. Métricas del IIBMacroin — Tabla 23 de Pinilla (2008) + métricas calculada de los datos propios</t>
  </si>
  <si>
    <t xml:space="preserve">Métricas</t>
  </si>
  <si>
    <t xml:space="preserve">Código </t>
  </si>
  <si>
    <t xml:space="preserve">Tendendia ante perturbación</t>
  </si>
  <si>
    <t xml:space="preserve">Riqueza (Familias)</t>
  </si>
  <si>
    <t xml:space="preserve">TT</t>
  </si>
  <si>
    <t xml:space="preserve">Disminuye</t>
  </si>
  <si>
    <t xml:space="preserve">Riqueza de EPT (Familias)</t>
  </si>
  <si>
    <t xml:space="preserve">EPTR</t>
  </si>
  <si>
    <t xml:space="preserve">Riqueza de taxones únicos </t>
  </si>
  <si>
    <t xml:space="preserve">Singletons</t>
  </si>
  <si>
    <t xml:space="preserve">Riqueza Trichoptera (Familias)</t>
  </si>
  <si>
    <t xml:space="preserve">T</t>
  </si>
  <si>
    <t xml:space="preserve">Riqueza Diptera (Familias)</t>
  </si>
  <si>
    <t xml:space="preserve">D</t>
  </si>
  <si>
    <t xml:space="preserve">Ab</t>
  </si>
  <si>
    <t xml:space="preserve">Variable, pero con tendencia a la disminución</t>
  </si>
  <si>
    <t xml:space="preserve">%Ephemeroptera (Abundancia)</t>
  </si>
  <si>
    <t xml:space="preserve">%E</t>
  </si>
  <si>
    <t xml:space="preserve">%Chironomidae (Abundancia)</t>
  </si>
  <si>
    <t xml:space="preserve">%Chi</t>
  </si>
  <si>
    <t xml:space="preserve">Aumenta</t>
  </si>
  <si>
    <t xml:space="preserve">Colectores</t>
  </si>
  <si>
    <t xml:space="preserve">%CG</t>
  </si>
  <si>
    <t xml:space="preserve">Depredadores</t>
  </si>
  <si>
    <t xml:space="preserve">%Pr</t>
  </si>
  <si>
    <t xml:space="preserve">Filtradores (riqueza)</t>
  </si>
  <si>
    <t xml:space="preserve">Filtradores</t>
  </si>
  <si>
    <t xml:space="preserve">%Ft</t>
  </si>
  <si>
    <t xml:space="preserve">Fragmentadores </t>
  </si>
  <si>
    <t xml:space="preserve">%Sh-Dt</t>
  </si>
  <si>
    <t xml:space="preserve">Raspadores </t>
  </si>
  <si>
    <t xml:space="preserve">%Ras</t>
  </si>
  <si>
    <t xml:space="preserve">4. Puntaje por métrica — método ABSOLUTO (Tabla 23, Pinilla et al. 2008)</t>
  </si>
  <si>
    <t xml:space="preserve">La tabla de Pinilla 2008 se mantiene como referente literal de los puntajes (ver Tabla 23 abajo).</t>
  </si>
  <si>
    <t xml:space="preserve"> Tabla 23, Pinilla 2008 (ejemplo)</t>
  </si>
  <si>
    <t xml:space="preserve">Puntaje</t>
  </si>
  <si>
    <t xml:space="preserve">&lt; 9 </t>
  </si>
  <si>
    <t xml:space="preserve">9 – 22</t>
  </si>
  <si>
    <t xml:space="preserve">&gt; 22</t>
  </si>
  <si>
    <t xml:space="preserve">Taxones de Trichoptera</t>
  </si>
  <si>
    <t xml:space="preserve">&lt; 2</t>
  </si>
  <si>
    <t xml:space="preserve">2 – 5</t>
  </si>
  <si>
    <t xml:space="preserve">&gt; 5</t>
  </si>
  <si>
    <t xml:space="preserve">Taxones de Diptera</t>
  </si>
  <si>
    <t xml:space="preserve">&lt; 6</t>
  </si>
  <si>
    <t xml:space="preserve">6 – 10 </t>
  </si>
  <si>
    <t xml:space="preserve">&gt; 10</t>
  </si>
  <si>
    <t xml:space="preserve">% Taxones de Ephemeroptera</t>
  </si>
  <si>
    <t xml:space="preserve">&lt; 6%</t>
  </si>
  <si>
    <t xml:space="preserve">6 – 20%</t>
  </si>
  <si>
    <t xml:space="preserve">&gt; 20%</t>
  </si>
  <si>
    <t xml:space="preserve">% Taxones de EPT</t>
  </si>
  <si>
    <t xml:space="preserve">&lt; 10%</t>
  </si>
  <si>
    <t xml:space="preserve">10 – 40% </t>
  </si>
  <si>
    <t xml:space="preserve">&gt; 40%</t>
  </si>
  <si>
    <t xml:space="preserve">% Abundancia de Oligoquetos</t>
  </si>
  <si>
    <t xml:space="preserve">%O</t>
  </si>
  <si>
    <t xml:space="preserve">&gt; 5%</t>
  </si>
  <si>
    <t xml:space="preserve">1 – 5%</t>
  </si>
  <si>
    <t xml:space="preserve">&lt; 1%</t>
  </si>
  <si>
    <t xml:space="preserve">Taxones intolerantes</t>
  </si>
  <si>
    <t xml:space="preserve">I</t>
  </si>
  <si>
    <t xml:space="preserve">&lt; 3</t>
  </si>
  <si>
    <t xml:space="preserve">3 – 8</t>
  </si>
  <si>
    <t xml:space="preserve">&gt; 8</t>
  </si>
  <si>
    <t xml:space="preserve">% Taxones tolerantes</t>
  </si>
  <si>
    <t xml:space="preserve">Tol</t>
  </si>
  <si>
    <t xml:space="preserve">&gt; 50</t>
  </si>
  <si>
    <t xml:space="preserve">10 – 50%</t>
  </si>
  <si>
    <t xml:space="preserve">% Taxones colectores</t>
  </si>
  <si>
    <t xml:space="preserve">&lt; 13</t>
  </si>
  <si>
    <t xml:space="preserve">13 – 31%</t>
  </si>
  <si>
    <t xml:space="preserve">&gt; 31%</t>
  </si>
  <si>
    <t xml:space="preserve">Taxones filtradores </t>
  </si>
  <si>
    <t xml:space="preserve"> 3 – 5</t>
  </si>
  <si>
    <t xml:space="preserve">Índice de Hilsenhoff</t>
  </si>
  <si>
    <t xml:space="preserve">IH</t>
  </si>
  <si>
    <t xml:space="preserve"> 2 – 5</t>
  </si>
  <si>
    <t xml:space="preserve">4.1 Aplicación del puntaje absoluto (reemplaza la estandarización min-max de la versión anterior)</t>
  </si>
  <si>
    <t xml:space="preserve">Cada métrica recibe 0,2 / 0,6 / 1 según la franja en la que cae su valor crudo, siguiendo literalmente los cortes de la Tabla 23 de Pinilla et al. (2008) listados arriba (filas 168-180). No depende de los 3 tramos muestreados — es la razón por la que se prefiere este método sobre la estandarización min-max.</t>
  </si>
  <si>
    <t xml:space="preserve">Fuente de cada métrica: TT=fila 147, T=fila 150, D=fila 151, %E=fila 153, %EPT=fila 155, %O=fila 220, I=fila 221, Tol=fila 222, %CG=fila 156, Ft=fila 158.</t>
  </si>
  <si>
    <t xml:space="preserve">Puntaje Bajo</t>
  </si>
  <si>
    <t xml:space="preserve">Puntaje Medio</t>
  </si>
  <si>
    <t xml:space="preserve">Puntaje Alto</t>
  </si>
  <si>
    <t xml:space="preserve">%Oligoquetos (Abundancia)</t>
  </si>
  <si>
    <t xml:space="preserve">Taxones intolerantes (BMWP&gt;=7)</t>
  </si>
  <si>
    <t xml:space="preserve">% taxones tolerantes (BMWP&lt;=3)</t>
  </si>
  <si>
    <t xml:space="preserve">IIBMacroin (0-1)</t>
  </si>
  <si>
    <t xml:space="preserve">Interpretación</t>
  </si>
  <si>
    <t xml:space="preserve">Semáforo</t>
  </si>
  <si>
    <t xml:space="preserve">3.1 Métricas adicionales para el puntaje absoluto (no estaban en la versión anterior)</t>
  </si>
  <si>
    <t xml:space="preserve">% Oligoquetos (Abundancia)</t>
  </si>
  <si>
    <t xml:space="preserve">Taxones intolerantes (familias, BMWP/Col&gt;=7) — supuesto, ver nota A4</t>
  </si>
  <si>
    <t xml:space="preserve">% taxones tolerantes (Abundancia, BMWP/Col&lt;=3) — supuesto, ver nota A4</t>
  </si>
  <si>
    <t xml:space="preserve">IIB Peces — Métricas de Comunidad Ictiológica Neotropical</t>
  </si>
  <si>
    <t xml:space="preserve">Referentes bibliográficos: Pinto y Araujo (2007). Se agruparon ambas campañas de muestreo (nov-dic 2024 y may 2025). Se seleccionaron 7 métricas (Ab, TT, Cat, Sen, %Herb; %Omn y %Cat) y bibliográficamente se definió la tendencia de la métrica ante la perturbación en el ecosistema. </t>
  </si>
  <si>
    <t xml:space="preserve">1. Abundancia y atributos por género y tramo (hoja "Peces", ambas campañas)</t>
  </si>
  <si>
    <t xml:space="preserve">Abundancia tramo</t>
  </si>
  <si>
    <t xml:space="preserve">Hábito migratorio</t>
  </si>
  <si>
    <t xml:space="preserve">2. Métricas del IIBPeces por tramo </t>
  </si>
  <si>
    <t xml:space="preserve">Métrica</t>
  </si>
  <si>
    <t xml:space="preserve">Código</t>
  </si>
  <si>
    <t xml:space="preserve">Tendencia ante perturbación</t>
  </si>
  <si>
    <t xml:space="preserve">Decrece</t>
  </si>
  <si>
    <t xml:space="preserve">Riqueza Catádromos (Flias)</t>
  </si>
  <si>
    <t xml:space="preserve">Cat</t>
  </si>
  <si>
    <t xml:space="preserve">Riqueza sensibles (Flias)</t>
  </si>
  <si>
    <t xml:space="preserve">Sen</t>
  </si>
  <si>
    <t xml:space="preserve">%Herbívoros</t>
  </si>
  <si>
    <t xml:space="preserve">%Herb</t>
  </si>
  <si>
    <t xml:space="preserve">%Omnívoros</t>
  </si>
  <si>
    <t xml:space="preserve">%Omn</t>
  </si>
  <si>
    <t xml:space="preserve">% Abundancia catádromos</t>
  </si>
  <si>
    <t xml:space="preserve">%Cat</t>
  </si>
  <si>
    <t xml:space="preserve">3. Puntaje por métrica</t>
  </si>
  <si>
    <t xml:space="preserve">No existe tabla de puntaje absoluto publicada para estas 7 métricas (ni en Pinilla 2008 Tabla 28 -que exige variables no disponibles como Libro Rojo, línea base histórica o anormalidades-, ni en Pinto y Araujo 2007/Carvalho y Gerson 2007 -que usan min-max entre sus propios sitios muestreados, ver nota A36 abajo-). Se revierte la estandarización min-max entre los 3 tramos (versión anterior) a una transformación ABSOLUTA, con dos convenciones distintas según el tipo de métrica, ambas marcadas como supuesto propio (Regla de rigor #4):</t>
  </si>
  <si>
    <t xml:space="preserve">(a) Métricas de % de composición (%Herb, %Omn, %Cat): se usa el corte de terciles 33% / 67% que Pinilla et al. (2008, Tabla 28) ya usa para sus propias métricas porcentuales N y PN, dentro del mismo marco metodológico de peces del proyecto — no es literal para %Herb/%Omn/%Cat, pero reutiliza la única convención absoluta de corte que existe en la bibliografía de peces de este proyecto.</t>
  </si>
  <si>
    <t xml:space="preserve">(b) Métricas de riqueza (TT, Cat, Sen): se reescalan sobre el total de familias DOCUMENTADAS en el muestreo combinado (ambas campañas, hoja "Peces"), no sobre el mínimo/máximo de los 3 tramos — por eso sigue siendo "absoluto": el denominador no cambia si se agrega un tramo o una campaña nueva. Total de familias = 7; catádromas = 4 (Eleotridae, Gobiidae, Mugilidae); sensibles = 3 (Gobiidae, Mugilidae, Stevardiidae).</t>
  </si>
  <si>
    <t xml:space="preserve">Métrica que aumenta con el deterioro (menor valor = mejor estado): Puntaje = (Xmax − X) / (Xmax − Xmin)</t>
  </si>
  <si>
    <t xml:space="preserve">Abundancia (Ab) se excluye del promedio final: Carvalho y Gerson (2007) — la misma fuente "Pinto y Araujo (2007)"/"Teixeira &amp; Araujo (2007)" ya citada para peces en este proyecto, ver prompt maestro — descartaron explícitamente el número total de individuos como métrica del IBI "porque no difirió significativamente entre las muestras, ni presentó correlación con el IBI". Se deja como dato descriptivo (fila 42), no puntuable.</t>
  </si>
  <si>
    <t xml:space="preserve">No se califica (ver nota A40)</t>
  </si>
  <si>
    <t xml:space="preserve">4. Cálculo del IIBPeces</t>
  </si>
  <si>
    <t xml:space="preserve">IIBPeces = promedio de 6 métricas puntuables (TT, Cat, Sen, %Herb, %Omn, %Cat); Ab se excluye (ver nota A40)</t>
  </si>
  <si>
    <t xml:space="preserve">IIBPeces = [Puntaje Ab + Puntaje Riq + Puntaje %Herb + Puntaje %Omn + Puntaje Cat + Puntaje %Cat + Puntaje Sens] / 7</t>
  </si>
  <si>
    <t xml:space="preserve">IIBPeces (0-1)</t>
  </si>
  <si>
    <t xml:space="preserve">Interpretación </t>
  </si>
  <si>
    <t xml:space="preserve">IIB Perifiton — Diatomeas</t>
  </si>
  <si>
    <t xml:space="preserve">1. Presencia de géneros por tramo (hoja "Perifiton", ambas campañas)</t>
  </si>
  <si>
    <t xml:space="preserve">Referentes bibliográficos: Guerrero-Lizarazo, D. C., y Pinilla-Agudelo, G. A. 2025. El alcance de índice esta restringido explicítamente a los 11 géneros de diatomeas; los 4 géneros de cianobacterias/algas verdes (Prhormidium, Oscillatoria, Spirogyra, Closterium), quedan como información descriptiva complementaria. cada género de diatomea tiene, además del grupo ecológico de forma de vida descrito por  Rimet y Bouchez (2012) (bajo perfil / alto perfil / móvil) yna clasificación se sensibilidad. Se agrupan ambas camapañas de muestreo (nov-dic 2024 y may 2025) para maximizar el número de géneros por tramo. Los porcentajes se calculan a nivel de género (presencia/ausencia por tramo), no de abundancia. Se seleccionaron  5 métricas (Riqueza de géneros (RG), Riqueza de sensibles (Sen), Bajo perfil (Low), Móviles (Mov), Alto perfil (High)) teniendo en cuenta que matemáticamente exactas por ejemplo familias de diatomeas vs géneros, sensibles/tolerantes. </t>
  </si>
  <si>
    <t xml:space="preserve">2. Composición por gremios ecológicos y tolerancia (solo diatomeas, % a nivel de género)</t>
  </si>
  <si>
    <t xml:space="preserve">Métrica </t>
  </si>
  <si>
    <t xml:space="preserve">Tendecia ante perturbación</t>
  </si>
  <si>
    <t xml:space="preserve">Taxones no diatomeas</t>
  </si>
  <si>
    <t xml:space="preserve">TRND</t>
  </si>
  <si>
    <t xml:space="preserve">Riqueza de diatomeas (Familias)</t>
  </si>
  <si>
    <t xml:space="preserve">RD</t>
  </si>
  <si>
    <t xml:space="preserve">Generalmente decrece </t>
  </si>
  <si>
    <t xml:space="preserve">Riqueza de diatomeas (Géneros)</t>
  </si>
  <si>
    <t xml:space="preserve">RG</t>
  </si>
  <si>
    <t xml:space="preserve">Taxones sensibles (Géneros)</t>
  </si>
  <si>
    <t xml:space="preserve">Proporción sensibles</t>
  </si>
  <si>
    <t xml:space="preserve">%Sen</t>
  </si>
  <si>
    <t xml:space="preserve">Taxones tolerantes (Géneros)</t>
  </si>
  <si>
    <t xml:space="preserve">Bajo perfil (Géneros)</t>
  </si>
  <si>
    <t xml:space="preserve">Low</t>
  </si>
  <si>
    <t xml:space="preserve">Proporción bajo perfil (Géneros)</t>
  </si>
  <si>
    <t xml:space="preserve">%Low</t>
  </si>
  <si>
    <t xml:space="preserve">Móvil (Géneros)</t>
  </si>
  <si>
    <t xml:space="preserve">Mov</t>
  </si>
  <si>
    <t xml:space="preserve">Proporción móvil (Géneros)</t>
  </si>
  <si>
    <t xml:space="preserve">%Mov</t>
  </si>
  <si>
    <t xml:space="preserve">Alto perfil (Géneros)</t>
  </si>
  <si>
    <t xml:space="preserve">High</t>
  </si>
  <si>
    <t xml:space="preserve">Proporción alto perfil (Géneros)</t>
  </si>
  <si>
    <t xml:space="preserve">%High</t>
  </si>
  <si>
    <t xml:space="preserve">3. Puntaje por métrica (escala 0-1)</t>
  </si>
  <si>
    <t xml:space="preserve">Rimet y Bouchez (2012) es un catálogo taxonómico de gremios, no un índice con umbrales propios. Se revierte la estandarización min-max entre los 3 tramos (versión anterior) al mismo método ya usado y validado antes en este proyecto: reescalado continuo y absoluto de cada conteo de géneros sobre el total DOCUMENTADO de diatomeas (11 géneros) o del gremio correspondiente — no sobre el mínimo/máximo de los 3 tramos. El denominador no cambia si se agrega un tramo nuevo, por eso es "absoluto". Totales del pool: 11 géneros de diatomeas; 6 sensibles; 3 bajo perfil; 5 móviles; 3 alto perfil.</t>
  </si>
  <si>
    <t xml:space="preserve">Puntaje = conteo de géneros / total del gremio en el pool documentado (11, 6, 3, 5 o 3 según la métrica).</t>
  </si>
  <si>
    <t xml:space="preserve">4. Cálculo del IIBPef</t>
  </si>
  <si>
    <t xml:space="preserve">IIBPef (0-1)</t>
  </si>
  <si>
    <t xml:space="preserve">IIB Vegetación de Ribera — Índice de Calidad de Riberas (RQI/IQR)</t>
  </si>
  <si>
    <t xml:space="preserve">1. Valores del RQI/IQR ajustados por tramo (Tabla 1.2, hoja "Vegetacion")</t>
  </si>
  <si>
    <t xml:space="preserve">El componente se calculo mediante un reescalamiento del índice RQI/IQR de González del Tánago et al. (2006), que fue el instrumento de campo realmente empleado (Índice de Calidad de Riberas, Tablas 1.1 y 1.2 de la hoja "Vegetacion"). Muestreo único por tramo (nov. 2024); no existe una segunda campaña de vegetación de ribera, por lo que no aplica una comparación por periodo (lluvia/sequía), a diferencia de macroinvertebrados.</t>
  </si>
  <si>
    <t xml:space="preserve">Total RQI </t>
  </si>
  <si>
    <t xml:space="preserve">2. Bandas de calidad oficiales del RQI (Tabla 1, González del Tánago et al. 2006)</t>
  </si>
  <si>
    <t xml:space="preserve">Rango RQI</t>
  </si>
  <si>
    <t xml:space="preserve">Estado de la ribera</t>
  </si>
  <si>
    <t xml:space="preserve">Equivalente IIBVeg (0-1)</t>
  </si>
  <si>
    <t xml:space="preserve">100 - 120</t>
  </si>
  <si>
    <t xml:space="preserve">Muy bueno</t>
  </si>
  <si>
    <t xml:space="preserve">0.818 - 1.000</t>
  </si>
  <si>
    <t xml:space="preserve">80 - 99</t>
  </si>
  <si>
    <t xml:space="preserve">0.636 - 0.809</t>
  </si>
  <si>
    <t xml:space="preserve">60 - 79</t>
  </si>
  <si>
    <t xml:space="preserve">0.455 - 0.627</t>
  </si>
  <si>
    <t xml:space="preserve">40 - 59</t>
  </si>
  <si>
    <t xml:space="preserve">0.273 - 0.445</t>
  </si>
  <si>
    <t xml:space="preserve">10 - 39</t>
  </si>
  <si>
    <t xml:space="preserve">Muy pobre</t>
  </si>
  <si>
    <t xml:space="preserve">0.000 - 0.264</t>
  </si>
  <si>
    <t xml:space="preserve">3. Reescalamiento del RQI/IQR (10-120) a IIBveg (0-1)</t>
  </si>
  <si>
    <t xml:space="preserve">IIBVeg = (RQI observado - RQI mínimo) / (RQI máximo - RQI mínimo)</t>
  </si>
  <si>
    <t xml:space="preserve">RQI mínimo (Tabla 1)</t>
  </si>
  <si>
    <t xml:space="preserve">RQI máximo (Tabla 1)</t>
  </si>
  <si>
    <t xml:space="preserve">RQI/IQR total</t>
  </si>
  <si>
    <t xml:space="preserve">IIBveg (0-1)</t>
  </si>
  <si>
    <t xml:space="preserve">IIB Compuesto (IIBComp) - Integración de los cuatro componentes</t>
  </si>
  <si>
    <t xml:space="preserve">1. Índices finales por componentes</t>
  </si>
  <si>
    <t xml:space="preserve">La ecuación publicada por Pinilla et al. (2014, p. 52) es: IIBComp = [IIBVeg * FP + IIBPerif * FP + IIBMacro * FP + IIBPeces * FP]/4, con FP= 0,25 por defecto y ∑FP=1. Aplicada esta fórmula produce resultados hasta 4 veces menores a los esperados: un río con sus 4 componentes en “Alta integridad” (p. ej. 0,70) obtendría IIBComp = 0,175, clasificado erróneamente como “Pobre”. Se verificó contra los 4 ríos de ejemplo de la propia publicación (Tabla 13) que el “/4” adicional es redundante con la ponderación FP y que el valor realmente reportado por los autores corresponde, en 2 de los 4 casos, a un 
promedio ponderado simple sin el “/4” adicional (fórmula implementada en este proyecto). El cuarto caso de la propia publicación (río Sogamoso) resultó matemáticamente irreproducible bajo cualquier versión razonable de la fórmula —lo que indica un probable error en la publicación original de Pinilla et al. (2014), no resoluble con la información disponible. Esta discrepancia se documentó explícitamente en el archivo de trabajo, en vez de adoptar la fórmula impresa sin cuestionarla.</t>
  </si>
  <si>
    <t xml:space="preserve">Macroinvertebrados</t>
  </si>
  <si>
    <t xml:space="preserve">IIBMacro</t>
  </si>
  <si>
    <t xml:space="preserve">IIBPeces</t>
  </si>
  <si>
    <t xml:space="preserve">IIBPerif</t>
  </si>
  <si>
    <t xml:space="preserve">Vegetación</t>
  </si>
  <si>
    <t xml:space="preserve">IIBVeg</t>
  </si>
  <si>
    <t xml:space="preserve">2. Cálculo del IIBComp</t>
  </si>
  <si>
    <t xml:space="preserve">IIBComp = [IIBVeg * FP + IIBPerif * FP + IIBMacro * FP + IIBPeces * FP]/4 (Pinilla, 2014)</t>
  </si>
  <si>
    <t xml:space="preserve">Nota. Cada IIB se multiplicará por un factor de ponderación (FP) que fluctuará entre 0 y 1; la suma de
los cuatro FP deberá ser 1. La asignación inicial de los FP será 0,25 para cada comunidad. Valores distintos debe justificarse</t>
  </si>
  <si>
    <t xml:space="preserve">Factor de ponderación (FP)</t>
  </si>
  <si>
    <t xml:space="preserve">IIBComp (Pinilla, 2014)</t>
  </si>
  <si>
    <t xml:space="preserve">IIBComp (propuesta)</t>
  </si>
</sst>
</file>

<file path=xl/styles.xml><?xml version="1.0" encoding="utf-8"?>
<styleSheet xmlns="http://schemas.openxmlformats.org/spreadsheetml/2006/main">
  <numFmts count="8">
    <numFmt numFmtId="164" formatCode="General"/>
    <numFmt numFmtId="165" formatCode="m/d/yyyy"/>
    <numFmt numFmtId="166" formatCode="0.000"/>
    <numFmt numFmtId="167" formatCode="0"/>
    <numFmt numFmtId="168" formatCode="0.00"/>
    <numFmt numFmtId="169" formatCode="General"/>
    <numFmt numFmtId="170" formatCode="0.0000"/>
    <numFmt numFmtId="171" formatCode="0.0"/>
  </numFmts>
  <fonts count="28">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name val="Calibri"/>
      <family val="2"/>
      <charset val="1"/>
    </font>
    <font>
      <b val="true"/>
      <sz val="11"/>
      <color rgb="FF000000"/>
      <name val="Calibri"/>
      <family val="2"/>
      <charset val="1"/>
    </font>
    <font>
      <sz val="11"/>
      <color rgb="FF000000"/>
      <name val="Aptos Narrow"/>
      <family val="2"/>
      <charset val="1"/>
    </font>
    <font>
      <sz val="11"/>
      <color rgb="FF000000"/>
      <name val="Calibri"/>
      <family val="2"/>
      <charset val="1"/>
    </font>
    <font>
      <b val="true"/>
      <sz val="11"/>
      <color theme="1"/>
      <name val="Aptos Narrow"/>
      <family val="2"/>
      <charset val="1"/>
    </font>
    <font>
      <b val="true"/>
      <sz val="11"/>
      <color theme="1"/>
      <name val="Calibri"/>
      <family val="2"/>
      <charset val="1"/>
    </font>
    <font>
      <b val="true"/>
      <sz val="11"/>
      <color theme="6"/>
      <name val="Calibri"/>
      <family val="2"/>
      <charset val="1"/>
    </font>
    <font>
      <sz val="11"/>
      <color theme="3"/>
      <name val="Calibri"/>
      <family val="2"/>
      <charset val="1"/>
    </font>
    <font>
      <sz val="11"/>
      <color theme="1"/>
      <name val="Times New Roman"/>
      <family val="1"/>
      <charset val="1"/>
    </font>
    <font>
      <i val="true"/>
      <sz val="11"/>
      <color rgb="FF000000"/>
      <name val="Calibri"/>
      <family val="2"/>
      <charset val="1"/>
    </font>
    <font>
      <sz val="11"/>
      <name val="Calibri"/>
      <family val="2"/>
      <charset val="1"/>
    </font>
    <font>
      <b val="true"/>
      <i val="true"/>
      <sz val="11"/>
      <color theme="1"/>
      <name val="Calibri"/>
      <family val="2"/>
      <charset val="1"/>
    </font>
    <font>
      <sz val="10"/>
      <name val="Arial"/>
      <family val="2"/>
    </font>
    <font>
      <b val="true"/>
      <sz val="13"/>
      <color rgb="FF1F4E78"/>
      <name val="Arial"/>
      <family val="2"/>
      <charset val="1"/>
    </font>
    <font>
      <b val="true"/>
      <sz val="10"/>
      <color rgb="FF1F4E78"/>
      <name val="Arial"/>
      <family val="2"/>
      <charset val="1"/>
    </font>
    <font>
      <i val="true"/>
      <sz val="10"/>
      <name val="Arial"/>
      <family val="2"/>
      <charset val="1"/>
    </font>
    <font>
      <b val="true"/>
      <sz val="11"/>
      <color rgb="FFFFFFFF"/>
      <name val="Arial"/>
      <family val="2"/>
      <charset val="1"/>
    </font>
    <font>
      <b val="true"/>
      <sz val="10"/>
      <name val="Arial"/>
      <family val="2"/>
      <charset val="1"/>
    </font>
    <font>
      <sz val="10"/>
      <name val="Arial"/>
      <family val="2"/>
      <charset val="1"/>
    </font>
    <font>
      <i val="true"/>
      <sz val="11"/>
      <color theme="1"/>
      <name val="Calibri"/>
      <family val="2"/>
      <charset val="1"/>
    </font>
    <font>
      <b val="true"/>
      <sz val="10"/>
      <color theme="1"/>
      <name val="Arial"/>
      <family val="2"/>
      <charset val="1"/>
    </font>
    <font>
      <sz val="10"/>
      <color theme="1"/>
      <name val="Arial"/>
      <family val="2"/>
      <charset val="1"/>
    </font>
    <font>
      <b val="true"/>
      <sz val="11"/>
      <name val="Calibri"/>
      <family val="0"/>
      <charset val="1"/>
    </font>
  </fonts>
  <fills count="13">
    <fill>
      <patternFill patternType="none"/>
    </fill>
    <fill>
      <patternFill patternType="gray125"/>
    </fill>
    <fill>
      <patternFill patternType="solid">
        <fgColor rgb="FFD9D9D9"/>
        <bgColor rgb="FFD8D8D8"/>
      </patternFill>
    </fill>
    <fill>
      <patternFill patternType="solid">
        <fgColor rgb="FFD8D8D8"/>
        <bgColor rgb="FFD9D9D9"/>
      </patternFill>
    </fill>
    <fill>
      <patternFill patternType="solid">
        <fgColor rgb="FFFF0000"/>
        <bgColor rgb="FF993300"/>
      </patternFill>
    </fill>
    <fill>
      <patternFill patternType="solid">
        <fgColor rgb="FFFC8920"/>
        <bgColor rgb="FFF79646"/>
      </patternFill>
    </fill>
    <fill>
      <patternFill patternType="solid">
        <fgColor rgb="FFFFC611"/>
        <bgColor rgb="FFFFC000"/>
      </patternFill>
    </fill>
    <fill>
      <patternFill patternType="solid">
        <fgColor rgb="FF196B24"/>
        <bgColor rgb="FF1F4E78"/>
      </patternFill>
    </fill>
    <fill>
      <patternFill patternType="solid">
        <fgColor rgb="FF004EDA"/>
        <bgColor rgb="FF1F497D"/>
      </patternFill>
    </fill>
    <fill>
      <patternFill patternType="solid">
        <fgColor rgb="FF1F4E78"/>
        <bgColor rgb="FF1F497D"/>
      </patternFill>
    </fill>
    <fill>
      <patternFill patternType="solid">
        <fgColor rgb="FFD9E1F2"/>
        <bgColor rgb="FFD9D9D9"/>
      </patternFill>
    </fill>
    <fill>
      <patternFill patternType="solid">
        <fgColor rgb="FF0000FF"/>
        <bgColor rgb="FF0000FF"/>
      </patternFill>
    </fill>
    <fill>
      <patternFill patternType="solid">
        <fgColor rgb="FFFFC000"/>
        <bgColor rgb="FFFFC611"/>
      </patternFill>
    </fill>
  </fills>
  <borders count="17">
    <border diagonalUp="false" diagonalDown="false">
      <left/>
      <right/>
      <top/>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medium"/>
      <right style="medium"/>
      <top style="medium"/>
      <bottom style="medium"/>
      <diagonal/>
    </border>
    <border diagonalUp="false" diagonalDown="false">
      <left style="thin"/>
      <right/>
      <top/>
      <bottom/>
      <diagonal/>
    </border>
    <border diagonalUp="false" diagonalDown="false">
      <left style="thin"/>
      <right style="thin"/>
      <top/>
      <bottom/>
      <diagonal/>
    </border>
    <border diagonalUp="false" diagonalDown="false">
      <left style="thin">
        <color rgb="FFBFBFBF"/>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bottom/>
      <diagonal/>
    </border>
    <border diagonalUp="false" diagonalDown="false">
      <left style="thin">
        <color rgb="FFBFBFBF"/>
      </left>
      <right style="thin">
        <color rgb="FFBFBFBF"/>
      </right>
      <top style="thin">
        <color rgb="FFBFBFBF"/>
      </top>
      <bottom style="double"/>
      <diagonal/>
    </border>
    <border diagonalUp="false" diagonalDown="false">
      <left style="thin">
        <color rgb="FFBFBFBF"/>
      </left>
      <right style="thin">
        <color rgb="FFBFBFBF"/>
      </right>
      <top/>
      <bottom style="thin">
        <color rgb="FFBFBFBF"/>
      </bottom>
      <diagonal/>
    </border>
    <border diagonalUp="false" diagonalDown="false">
      <left style="thin">
        <color rgb="FFBFBFBF"/>
      </left>
      <right style="thin">
        <color rgb="FFBFBFBF"/>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bottom" textRotation="0" wrapText="false" indent="0" shrinkToFit="false"/>
      <protection locked="true" hidden="false"/>
    </xf>
    <xf numFmtId="164" fontId="6" fillId="2" borderId="2" xfId="0" applyFont="true" applyBorder="true" applyAlignment="tru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general" vertical="bottom"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center" vertical="bottom" textRotation="0" wrapText="false" indent="0" shrinkToFit="false"/>
      <protection locked="true" hidden="false"/>
    </xf>
    <xf numFmtId="164" fontId="5" fillId="3" borderId="3" xfId="0" applyFont="true" applyBorder="true" applyAlignment="true" applyProtection="false">
      <alignment horizontal="general" vertical="center" textRotation="0" wrapText="false" indent="0" shrinkToFit="false"/>
      <protection locked="true" hidden="false"/>
    </xf>
    <xf numFmtId="164" fontId="5" fillId="3" borderId="3" xfId="0" applyFont="true" applyBorder="true" applyAlignment="true" applyProtection="false">
      <alignment horizontal="center" vertical="center" textRotation="0" wrapText="false" indent="0" shrinkToFit="false"/>
      <protection locked="true" hidden="false"/>
    </xf>
    <xf numFmtId="164" fontId="0" fillId="4" borderId="3" xfId="0" applyFont="false" applyBorder="true" applyAlignment="true" applyProtection="false">
      <alignment horizontal="general" vertical="bottom" textRotation="0" wrapText="false" indent="0" shrinkToFit="false"/>
      <protection locked="true" hidden="false"/>
    </xf>
    <xf numFmtId="164" fontId="0" fillId="5" borderId="3" xfId="0" applyFont="false" applyBorder="true" applyAlignment="true" applyProtection="false">
      <alignment horizontal="general" vertical="bottom" textRotation="0" wrapText="false" indent="0" shrinkToFit="false"/>
      <protection locked="true" hidden="false"/>
    </xf>
    <xf numFmtId="164" fontId="0" fillId="6" borderId="3" xfId="0" applyFont="false" applyBorder="true" applyAlignment="true" applyProtection="false">
      <alignment horizontal="general" vertical="bottom" textRotation="0" wrapText="false" indent="0" shrinkToFit="false"/>
      <protection locked="true" hidden="false"/>
    </xf>
    <xf numFmtId="164" fontId="0" fillId="7" borderId="3" xfId="0" applyFont="false" applyBorder="true" applyAlignment="true" applyProtection="false">
      <alignment horizontal="general" vertical="bottom" textRotation="0" wrapText="false" indent="0" shrinkToFit="false"/>
      <protection locked="true" hidden="false"/>
    </xf>
    <xf numFmtId="164" fontId="0" fillId="8" borderId="3"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2" fillId="0" borderId="7" xfId="0" applyFont="true" applyBorder="tru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8"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left" vertical="center" textRotation="0" wrapText="fals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10" fillId="2" borderId="3" xfId="0" applyFont="true" applyBorder="true" applyAlignment="true" applyProtection="false">
      <alignment horizontal="general" vertical="center" textRotation="0" wrapText="false" indent="0" shrinkToFit="false"/>
      <protection locked="true" hidden="false"/>
    </xf>
    <xf numFmtId="165" fontId="0" fillId="0" borderId="3" xfId="0" applyFont="false" applyBorder="true" applyAlignment="true" applyProtection="false">
      <alignment horizontal="general" vertical="bottom" textRotation="0" wrapText="false" indent="0" shrinkToFit="false"/>
      <protection locked="true" hidden="false"/>
    </xf>
    <xf numFmtId="166" fontId="0" fillId="0" borderId="3" xfId="0" applyFont="false" applyBorder="tru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right" vertical="bottom" textRotation="0" wrapText="false" indent="0" shrinkToFit="false"/>
      <protection locked="true" hidden="false"/>
    </xf>
    <xf numFmtId="167" fontId="0" fillId="0" borderId="3" xfId="0" applyFont="false" applyBorder="true" applyAlignment="true" applyProtection="false">
      <alignment horizontal="general" vertical="bottom" textRotation="0" wrapText="false" indent="0" shrinkToFit="false"/>
      <protection locked="true" hidden="false"/>
    </xf>
    <xf numFmtId="164" fontId="5" fillId="3" borderId="3" xfId="0" applyFont="true" applyBorder="true" applyAlignment="true" applyProtection="false">
      <alignment horizontal="center" vertical="bottom" textRotation="0" wrapText="false" indent="0" shrinkToFit="false"/>
      <protection locked="true" hidden="false"/>
    </xf>
    <xf numFmtId="165" fontId="8" fillId="0" borderId="3"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3"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5" fillId="3" borderId="3" xfId="0" applyFont="true" applyBorder="true" applyAlignment="true" applyProtection="false">
      <alignment horizontal="left" vertical="center" textRotation="0" wrapText="false" indent="0" shrinkToFit="false"/>
      <protection locked="true" hidden="false"/>
    </xf>
    <xf numFmtId="164" fontId="15" fillId="0" borderId="3" xfId="0" applyFont="true" applyBorder="true" applyAlignment="true" applyProtection="false">
      <alignment horizontal="general" vertical="center" textRotation="0" wrapText="false" indent="0" shrinkToFit="false"/>
      <protection locked="true" hidden="false"/>
    </xf>
    <xf numFmtId="164" fontId="15" fillId="0" borderId="3" xfId="0" applyFont="true" applyBorder="true" applyAlignment="true" applyProtection="false">
      <alignment horizontal="left"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4" fontId="10" fillId="0" borderId="3"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7" fontId="0" fillId="0" borderId="3" xfId="0" applyFont="false" applyBorder="true" applyAlignment="true" applyProtection="false">
      <alignment horizontal="center"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9"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8" fontId="0" fillId="0" borderId="3" xfId="0" applyFont="false" applyBorder="true" applyAlignment="true" applyProtection="false">
      <alignment horizontal="center" vertical="bottom" textRotation="0" wrapText="fals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0" fillId="2" borderId="3" xfId="0" applyFont="true" applyBorder="true" applyAlignment="true" applyProtection="false">
      <alignment horizontal="center" vertical="center" textRotation="0" wrapText="false" indent="0" shrinkToFit="false"/>
      <protection locked="true" hidden="false"/>
    </xf>
    <xf numFmtId="164" fontId="16" fillId="2" borderId="3" xfId="0" applyFont="true" applyBorder="true" applyAlignment="true" applyProtection="false">
      <alignment horizontal="center" vertical="center" textRotation="0" wrapText="true" indent="0" shrinkToFit="false"/>
      <protection locked="true" hidden="false"/>
    </xf>
    <xf numFmtId="164" fontId="10" fillId="2" borderId="3" xfId="0" applyFont="true" applyBorder="true" applyAlignment="true" applyProtection="false">
      <alignment horizontal="center" vertical="bottom" textRotation="0" wrapText="false" indent="0" shrinkToFit="false"/>
      <protection locked="true" hidden="false"/>
    </xf>
    <xf numFmtId="165" fontId="0" fillId="0" borderId="3" xfId="0" applyFont="false" applyBorder="true" applyAlignment="true" applyProtection="false">
      <alignment horizontal="left" vertical="bottom" textRotation="0" wrapText="false" indent="0" shrinkToFit="false"/>
      <protection locked="true" hidden="false"/>
    </xf>
    <xf numFmtId="165"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70" fontId="0" fillId="0" borderId="3" xfId="0" applyFont="false" applyBorder="true" applyAlignment="true" applyProtection="false">
      <alignment horizontal="general" vertical="bottom" textRotation="0" wrapText="false" indent="0" shrinkToFit="false"/>
      <protection locked="true" hidden="false"/>
    </xf>
    <xf numFmtId="168" fontId="0" fillId="0" borderId="3" xfId="0" applyFont="false" applyBorder="tru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center" vertical="center" textRotation="0" wrapText="true" indent="0" shrinkToFit="false"/>
      <protection locked="true" hidden="false"/>
    </xf>
    <xf numFmtId="164" fontId="10" fillId="0" borderId="9"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6" fontId="0" fillId="0" borderId="3" xfId="0" applyFont="false" applyBorder="true" applyAlignment="true" applyProtection="false">
      <alignment horizontal="general" vertical="center" textRotation="0" wrapText="false" indent="0" shrinkToFit="false"/>
      <protection locked="true" hidden="false"/>
    </xf>
    <xf numFmtId="166" fontId="0" fillId="0" borderId="3" xfId="0" applyFont="fals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10" xfId="0" applyFont="true" applyBorder="true" applyAlignment="true" applyProtection="false">
      <alignment horizontal="left" vertical="top" textRotation="0" wrapText="true" indent="0" shrinkToFit="false"/>
      <protection locked="true" hidden="false"/>
    </xf>
    <xf numFmtId="164" fontId="21" fillId="9" borderId="0" xfId="0" applyFont="true" applyBorder="true" applyAlignment="true" applyProtection="false">
      <alignment horizontal="left" vertical="bottom" textRotation="0" wrapText="false" indent="0" shrinkToFit="false"/>
      <protection locked="true" hidden="false"/>
    </xf>
    <xf numFmtId="164" fontId="22" fillId="10" borderId="11" xfId="0" applyFont="true" applyBorder="true" applyAlignment="true" applyProtection="false">
      <alignment horizontal="center" vertical="center" textRotation="0" wrapText="false" indent="0" shrinkToFit="false"/>
      <protection locked="true" hidden="false"/>
    </xf>
    <xf numFmtId="164" fontId="23" fillId="0" borderId="11" xfId="0" applyFont="true" applyBorder="true" applyAlignment="true" applyProtection="false">
      <alignment horizontal="left" vertical="center" textRotation="0" wrapText="false" indent="0" shrinkToFit="false"/>
      <protection locked="true" hidden="false"/>
    </xf>
    <xf numFmtId="169" fontId="23" fillId="0" borderId="11" xfId="0" applyFont="true" applyBorder="true" applyAlignment="true" applyProtection="false">
      <alignment horizontal="center" vertical="center" textRotation="0" wrapText="false" indent="0" shrinkToFit="false"/>
      <protection locked="true" hidden="false"/>
    </xf>
    <xf numFmtId="164" fontId="22" fillId="10" borderId="12" xfId="0" applyFont="true" applyBorder="true" applyAlignment="true" applyProtection="false">
      <alignment horizontal="general" vertical="center" textRotation="0" wrapText="false" indent="0" shrinkToFit="false"/>
      <protection locked="true" hidden="false"/>
    </xf>
    <xf numFmtId="164" fontId="22" fillId="10" borderId="11" xfId="0" applyFont="true" applyBorder="true" applyAlignment="true" applyProtection="false">
      <alignment horizontal="general" vertical="center" textRotation="0" wrapText="false" indent="0" shrinkToFit="false"/>
      <protection locked="true" hidden="false"/>
    </xf>
    <xf numFmtId="164" fontId="22" fillId="10" borderId="12"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64" fontId="22" fillId="10" borderId="10" xfId="0" applyFont="true" applyBorder="true" applyAlignment="true" applyProtection="false">
      <alignment horizontal="center" vertical="center" textRotation="0" wrapText="true" indent="0" shrinkToFit="false"/>
      <protection locked="true" hidden="false"/>
    </xf>
    <xf numFmtId="167" fontId="23" fillId="0" borderId="11" xfId="0" applyFont="true" applyBorder="true" applyAlignment="true" applyProtection="false">
      <alignment horizontal="center" vertical="center" textRotation="0" wrapText="false" indent="0" shrinkToFit="false"/>
      <protection locked="true" hidden="false"/>
    </xf>
    <xf numFmtId="167" fontId="23" fillId="0" borderId="11" xfId="0" applyFont="true" applyBorder="true" applyAlignment="true" applyProtection="false">
      <alignment horizontal="left" vertical="center" textRotation="0" wrapText="false" indent="0" shrinkToFit="false"/>
      <protection locked="true" hidden="false"/>
    </xf>
    <xf numFmtId="168" fontId="23" fillId="0" borderId="11" xfId="0" applyFont="true" applyBorder="true" applyAlignment="true" applyProtection="false">
      <alignment horizontal="center" vertical="center" textRotation="0" wrapText="false" indent="0" shrinkToFit="false"/>
      <protection locked="true" hidden="false"/>
    </xf>
    <xf numFmtId="164" fontId="21" fillId="9" borderId="0" xfId="0" applyFont="true" applyBorder="true" applyAlignment="true" applyProtection="false">
      <alignment horizontal="general" vertical="bottom" textRotation="0" wrapText="false" indent="0" shrinkToFit="false"/>
      <protection locked="true" hidden="false"/>
    </xf>
    <xf numFmtId="164" fontId="22" fillId="10" borderId="11"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7" fontId="23" fillId="0"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top"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left" vertical="center" textRotation="0" wrapText="false" indent="1"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2" fillId="10" borderId="11" xfId="0" applyFont="true" applyBorder="true" applyAlignment="true" applyProtection="false">
      <alignment horizontal="center" vertical="center" textRotation="0" wrapText="true" indent="0" shrinkToFit="false"/>
      <protection locked="true" hidden="false"/>
    </xf>
    <xf numFmtId="164" fontId="21" fillId="9" borderId="0" xfId="0" applyFont="true" applyBorder="false" applyAlignment="true" applyProtection="false">
      <alignment horizontal="general" vertical="bottom" textRotation="0" wrapText="false" indent="0" shrinkToFit="false"/>
      <protection locked="true" hidden="false"/>
    </xf>
    <xf numFmtId="164" fontId="27" fillId="10" borderId="0" xfId="0" applyFont="true" applyBorder="false" applyAlignment="true" applyProtection="false">
      <alignment horizontal="center" vertical="center" textRotation="0" wrapText="true" indent="0" shrinkToFit="false"/>
      <protection locked="true" hidden="false"/>
    </xf>
    <xf numFmtId="166" fontId="23" fillId="0" borderId="11"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22" fillId="10" borderId="13"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left" vertical="top"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6" fontId="23" fillId="0" borderId="0" xfId="0" applyFont="true" applyBorder="false" applyAlignment="true" applyProtection="false">
      <alignment horizontal="center" vertical="center" textRotation="0" wrapText="false" indent="0" shrinkToFit="false"/>
      <protection locked="true" hidden="false"/>
    </xf>
    <xf numFmtId="164" fontId="0" fillId="12" borderId="0" xfId="0" applyFont="false" applyBorder="false" applyAlignment="true" applyProtection="false">
      <alignment horizontal="general" vertical="bottom" textRotation="0" wrapText="false" indent="0" shrinkToFit="false"/>
      <protection locked="true" hidden="false"/>
    </xf>
    <xf numFmtId="164" fontId="23" fillId="0" borderId="14" xfId="0" applyFont="true" applyBorder="true" applyAlignment="true" applyProtection="false">
      <alignment horizontal="left" vertical="center" textRotation="0" wrapText="false" indent="0" shrinkToFit="false"/>
      <protection locked="true" hidden="false"/>
    </xf>
    <xf numFmtId="164" fontId="23" fillId="0" borderId="14" xfId="0" applyFont="true" applyBorder="true" applyAlignment="true" applyProtection="false">
      <alignment horizontal="center" vertical="center" textRotation="0" wrapText="false" indent="0" shrinkToFit="false"/>
      <protection locked="true" hidden="false"/>
    </xf>
    <xf numFmtId="164" fontId="23" fillId="0" borderId="15" xfId="0" applyFont="true" applyBorder="true" applyAlignment="true" applyProtection="false">
      <alignment horizontal="left" vertical="center" textRotation="0" wrapText="false" indent="0" shrinkToFit="false"/>
      <protection locked="true" hidden="false"/>
    </xf>
    <xf numFmtId="164" fontId="23" fillId="0" borderId="15"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22" fillId="10" borderId="16" xfId="0" applyFont="true" applyBorder="true" applyAlignment="true" applyProtection="false">
      <alignment horizontal="general" vertical="center" textRotation="0" wrapText="false" indent="0" shrinkToFit="false"/>
      <protection locked="true" hidden="false"/>
    </xf>
    <xf numFmtId="171" fontId="23" fillId="0" borderId="11" xfId="0" applyFont="true" applyBorder="true" applyAlignment="true" applyProtection="false">
      <alignment horizontal="center" vertical="center" textRotation="0" wrapText="false" indent="0" shrinkToFit="false"/>
      <protection locked="true" hidden="false"/>
    </xf>
    <xf numFmtId="171" fontId="22" fillId="10" borderId="11" xfId="0" applyFont="true" applyBorder="true" applyAlignment="true" applyProtection="false">
      <alignment horizontal="center" vertical="center" textRotation="0" wrapText="false" indent="0" shrinkToFit="false"/>
      <protection locked="true" hidden="false"/>
    </xf>
    <xf numFmtId="164" fontId="23" fillId="0" borderId="11" xfId="0" applyFont="true" applyBorder="true" applyAlignment="true" applyProtection="false">
      <alignment horizontal="center" vertical="center" textRotation="0" wrapText="fals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2" fillId="10" borderId="13" xfId="0" applyFont="true" applyBorder="true" applyAlignment="true" applyProtection="false">
      <alignment horizontal="center" vertical="center" textRotation="0" wrapText="false" indent="0" shrinkToFit="false"/>
      <protection locked="true" hidden="false"/>
    </xf>
    <xf numFmtId="168" fontId="2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8D8D8"/>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C000"/>
      <rgbColor rgb="FFFF00FF"/>
      <rgbColor rgb="FF00FFFF"/>
      <rgbColor rgb="FF800000"/>
      <rgbColor rgb="FF196B24"/>
      <rgbColor rgb="FF000080"/>
      <rgbColor rgb="FF808000"/>
      <rgbColor rgb="FF800080"/>
      <rgbColor rgb="FF008080"/>
      <rgbColor rgb="FFBFBFBF"/>
      <rgbColor rgb="FF808080"/>
      <rgbColor rgb="FF9999FF"/>
      <rgbColor rgb="FF993366"/>
      <rgbColor rgb="FFF2F2F2"/>
      <rgbColor rgb="FFD9E1F2"/>
      <rgbColor rgb="FF660066"/>
      <rgbColor rgb="FFF79646"/>
      <rgbColor rgb="FF004EDA"/>
      <rgbColor rgb="FFD8D8D8"/>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4BACC6"/>
      <rgbColor rgb="FF92D050"/>
      <rgbColor rgb="FFFFC611"/>
      <rgbColor rgb="FFFC8920"/>
      <rgbColor rgb="FFFF6600"/>
      <rgbColor rgb="FF8064A2"/>
      <rgbColor rgb="FF9BBB59"/>
      <rgbColor rgb="FF1F4E78"/>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158040</xdr:colOff>
      <xdr:row>23</xdr:row>
      <xdr:rowOff>119880</xdr:rowOff>
    </xdr:from>
    <xdr:to>
      <xdr:col>4</xdr:col>
      <xdr:colOff>763920</xdr:colOff>
      <xdr:row>49</xdr:row>
      <xdr:rowOff>360</xdr:rowOff>
    </xdr:to>
    <xdr:pic>
      <xdr:nvPicPr>
        <xdr:cNvPr id="0" name="Imagen 1" descr=""/>
        <xdr:cNvPicPr/>
      </xdr:nvPicPr>
      <xdr:blipFill>
        <a:blip r:embed="rId1"/>
        <a:stretch/>
      </xdr:blipFill>
      <xdr:spPr>
        <a:xfrm>
          <a:off x="158040" y="4282200"/>
          <a:ext cx="4805280" cy="45860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F2F2"/>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11.4453125" defaultRowHeight="14.25" zeroHeight="false" outlineLevelRow="0" outlineLevelCol="0"/>
  <cols>
    <col collapsed="false" customWidth="true" hidden="false" outlineLevel="0" max="2" min="1" style="1" width="20.11"/>
    <col collapsed="false" customWidth="true" hidden="false" outlineLevel="0" max="4" min="4" style="1" width="13"/>
    <col collapsed="false" customWidth="true" hidden="false" outlineLevel="0" max="5" min="5" style="1" width="14.67"/>
    <col collapsed="false" customWidth="true" hidden="false" outlineLevel="0" max="6" min="6" style="1" width="6.67"/>
  </cols>
  <sheetData>
    <row r="1" customFormat="false" ht="14.25" hidden="false" customHeight="true" outlineLevel="0" collapsed="false">
      <c r="A1" s="2" t="s">
        <v>0</v>
      </c>
      <c r="B1" s="3" t="s">
        <v>1</v>
      </c>
      <c r="C1" s="3" t="s">
        <v>2</v>
      </c>
      <c r="D1" s="4" t="s">
        <v>3</v>
      </c>
      <c r="E1" s="4" t="s">
        <v>4</v>
      </c>
      <c r="F1" s="5" t="s">
        <v>5</v>
      </c>
    </row>
    <row r="2" customFormat="false" ht="14.25" hidden="false" customHeight="true" outlineLevel="0" collapsed="false">
      <c r="A2" s="6" t="s">
        <v>6</v>
      </c>
      <c r="B2" s="7" t="s">
        <v>7</v>
      </c>
      <c r="C2" s="7" t="s">
        <v>8</v>
      </c>
      <c r="D2" s="8" t="s">
        <v>9</v>
      </c>
      <c r="E2" s="8" t="s">
        <v>10</v>
      </c>
      <c r="F2" s="7" t="n">
        <v>18</v>
      </c>
    </row>
    <row r="3" customFormat="false" ht="14.25" hidden="false" customHeight="true" outlineLevel="0" collapsed="false">
      <c r="A3" s="9" t="s">
        <v>11</v>
      </c>
      <c r="B3" s="10" t="s">
        <v>7</v>
      </c>
      <c r="C3" s="10" t="s">
        <v>12</v>
      </c>
      <c r="D3" s="10" t="s">
        <v>13</v>
      </c>
      <c r="E3" s="10" t="s">
        <v>14</v>
      </c>
      <c r="F3" s="10" t="n">
        <v>54</v>
      </c>
    </row>
    <row r="4" customFormat="false" ht="14.25" hidden="false" customHeight="true" outlineLevel="0" collapsed="false">
      <c r="A4" s="11" t="s">
        <v>15</v>
      </c>
      <c r="B4" s="12" t="s">
        <v>16</v>
      </c>
      <c r="C4" s="12" t="s">
        <v>17</v>
      </c>
      <c r="D4" s="12" t="s">
        <v>18</v>
      </c>
      <c r="E4" s="12" t="s">
        <v>19</v>
      </c>
      <c r="F4" s="10" t="n">
        <v>427</v>
      </c>
    </row>
    <row r="5" customFormat="false" ht="14.25" hidden="false" customHeight="true" outlineLevel="0" collapsed="false">
      <c r="A5" s="11" t="s">
        <v>20</v>
      </c>
      <c r="B5" s="12" t="s">
        <v>21</v>
      </c>
      <c r="C5" s="12" t="s">
        <v>22</v>
      </c>
      <c r="D5" s="12" t="s">
        <v>23</v>
      </c>
      <c r="E5" s="12" t="s">
        <v>24</v>
      </c>
      <c r="F5" s="10" t="n">
        <v>564</v>
      </c>
    </row>
    <row r="6" customFormat="false" ht="14.25" hidden="false" customHeight="true" outlineLevel="0" collapsed="false">
      <c r="A6" s="9" t="s">
        <v>25</v>
      </c>
      <c r="B6" s="10" t="s">
        <v>21</v>
      </c>
      <c r="C6" s="10" t="s">
        <v>26</v>
      </c>
      <c r="D6" s="10" t="s">
        <v>27</v>
      </c>
      <c r="E6" s="10" t="s">
        <v>28</v>
      </c>
      <c r="F6" s="10" t="n">
        <v>1000</v>
      </c>
    </row>
    <row r="11" customFormat="false" ht="14.25" hidden="false" customHeight="true" outlineLevel="0" collapsed="false">
      <c r="B11" s="13"/>
    </row>
    <row r="12" customFormat="false" ht="14.25" hidden="false" customHeight="true" outlineLevel="0" collapsed="false">
      <c r="C12" s="1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3:L93"/>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25.56"/>
    <col collapsed="false" customWidth="true" hidden="false" outlineLevel="0" max="2" min="2" style="1" width="22"/>
    <col collapsed="false" customWidth="true" hidden="false" outlineLevel="0" max="3" min="3" style="1" width="34.2"/>
  </cols>
  <sheetData>
    <row r="3" customFormat="false" ht="14.25" hidden="false" customHeight="true" outlineLevel="0" collapsed="false">
      <c r="A3" s="14" t="s">
        <v>29</v>
      </c>
      <c r="B3" s="15"/>
    </row>
    <row r="5" customFormat="false" ht="14.25" hidden="false" customHeight="true" outlineLevel="0" collapsed="false">
      <c r="A5" s="16" t="s">
        <v>30</v>
      </c>
      <c r="B5" s="17" t="s">
        <v>31</v>
      </c>
      <c r="C5" s="17"/>
      <c r="D5" s="17"/>
      <c r="E5" s="17"/>
      <c r="F5" s="17"/>
      <c r="G5" s="17"/>
    </row>
    <row r="6" customFormat="false" ht="14.25" hidden="false" customHeight="true" outlineLevel="0" collapsed="false">
      <c r="A6" s="16" t="s">
        <v>32</v>
      </c>
      <c r="B6" s="17" t="s">
        <v>33</v>
      </c>
      <c r="C6" s="17"/>
      <c r="D6" s="17"/>
      <c r="E6" s="17"/>
      <c r="F6" s="17"/>
      <c r="G6" s="17"/>
    </row>
    <row r="7" customFormat="false" ht="14.25" hidden="false" customHeight="true" outlineLevel="0" collapsed="false">
      <c r="A7" s="16" t="s">
        <v>34</v>
      </c>
      <c r="B7" s="17" t="s">
        <v>35</v>
      </c>
      <c r="C7" s="17"/>
      <c r="D7" s="17"/>
      <c r="E7" s="17"/>
      <c r="F7" s="17"/>
      <c r="G7" s="17"/>
    </row>
    <row r="8" customFormat="false" ht="14.25" hidden="false" customHeight="true" outlineLevel="0" collapsed="false">
      <c r="A8" s="16" t="s">
        <v>36</v>
      </c>
      <c r="B8" s="17" t="s">
        <v>37</v>
      </c>
      <c r="C8" s="17"/>
      <c r="D8" s="17"/>
      <c r="E8" s="17"/>
      <c r="F8" s="17"/>
      <c r="G8" s="17"/>
    </row>
    <row r="11" customFormat="false" ht="14.25" hidden="false" customHeight="true" outlineLevel="0" collapsed="false">
      <c r="A11" s="15" t="s">
        <v>38</v>
      </c>
    </row>
    <row r="12" customFormat="false" ht="14.25" hidden="false" customHeight="true" outlineLevel="0" collapsed="false">
      <c r="A12" s="15"/>
    </row>
    <row r="13" customFormat="false" ht="14.25" hidden="false" customHeight="true" outlineLevel="0" collapsed="false">
      <c r="A13" s="18" t="s">
        <v>39</v>
      </c>
      <c r="B13" s="18"/>
    </row>
    <row r="14" customFormat="false" ht="14.25" hidden="false" customHeight="true" outlineLevel="0" collapsed="false">
      <c r="A14" s="15"/>
    </row>
    <row r="15" customFormat="false" ht="14.25" hidden="false" customHeight="true" outlineLevel="0" collapsed="false">
      <c r="A15" s="19" t="s">
        <v>40</v>
      </c>
      <c r="B15" s="19" t="s">
        <v>41</v>
      </c>
      <c r="C15" s="19" t="s">
        <v>42</v>
      </c>
      <c r="D15" s="20" t="s">
        <v>43</v>
      </c>
      <c r="E15" s="20"/>
      <c r="F15" s="20"/>
      <c r="G15" s="20"/>
      <c r="H15" s="20"/>
      <c r="I15" s="20"/>
      <c r="J15" s="20"/>
      <c r="K15" s="20"/>
      <c r="L15" s="20"/>
    </row>
    <row r="16" customFormat="false" ht="14.25" hidden="false" customHeight="true" outlineLevel="0" collapsed="false">
      <c r="A16" s="16" t="s">
        <v>44</v>
      </c>
      <c r="B16" s="16" t="s">
        <v>45</v>
      </c>
      <c r="C16" s="21"/>
      <c r="D16" s="17" t="s">
        <v>46</v>
      </c>
      <c r="E16" s="17"/>
      <c r="F16" s="17"/>
      <c r="G16" s="17"/>
      <c r="H16" s="17"/>
      <c r="I16" s="17"/>
      <c r="J16" s="17"/>
      <c r="K16" s="17"/>
      <c r="L16" s="17"/>
    </row>
    <row r="17" customFormat="false" ht="14.25" hidden="false" customHeight="true" outlineLevel="0" collapsed="false">
      <c r="A17" s="16" t="s">
        <v>47</v>
      </c>
      <c r="B17" s="16" t="s">
        <v>48</v>
      </c>
      <c r="C17" s="22"/>
      <c r="D17" s="17" t="s">
        <v>49</v>
      </c>
      <c r="E17" s="17"/>
      <c r="F17" s="17"/>
      <c r="G17" s="17"/>
      <c r="H17" s="17"/>
      <c r="I17" s="17"/>
      <c r="J17" s="17"/>
      <c r="K17" s="17"/>
      <c r="L17" s="17"/>
    </row>
    <row r="18" customFormat="false" ht="14.25" hidden="false" customHeight="true" outlineLevel="0" collapsed="false">
      <c r="A18" s="16" t="s">
        <v>50</v>
      </c>
      <c r="B18" s="16" t="s">
        <v>51</v>
      </c>
      <c r="C18" s="23"/>
      <c r="D18" s="17" t="s">
        <v>52</v>
      </c>
      <c r="E18" s="17"/>
      <c r="F18" s="17"/>
      <c r="G18" s="17"/>
      <c r="H18" s="17"/>
      <c r="I18" s="17"/>
      <c r="J18" s="17"/>
      <c r="K18" s="17"/>
      <c r="L18" s="17"/>
    </row>
    <row r="19" customFormat="false" ht="14.25" hidden="false" customHeight="true" outlineLevel="0" collapsed="false">
      <c r="A19" s="16" t="s">
        <v>53</v>
      </c>
      <c r="B19" s="16" t="s">
        <v>54</v>
      </c>
      <c r="C19" s="24"/>
      <c r="D19" s="17" t="s">
        <v>55</v>
      </c>
      <c r="E19" s="17"/>
      <c r="F19" s="17"/>
      <c r="G19" s="17"/>
      <c r="H19" s="17"/>
      <c r="I19" s="17"/>
      <c r="J19" s="17"/>
      <c r="K19" s="17"/>
      <c r="L19" s="17"/>
    </row>
    <row r="20" customFormat="false" ht="14.25" hidden="false" customHeight="true" outlineLevel="0" collapsed="false">
      <c r="A20" s="16" t="s">
        <v>56</v>
      </c>
      <c r="B20" s="16" t="s">
        <v>57</v>
      </c>
      <c r="C20" s="25"/>
      <c r="D20" s="17" t="s">
        <v>58</v>
      </c>
      <c r="E20" s="17"/>
      <c r="F20" s="17"/>
      <c r="G20" s="17"/>
      <c r="H20" s="17"/>
      <c r="I20" s="17"/>
      <c r="J20" s="17"/>
      <c r="K20" s="17"/>
      <c r="L20" s="17"/>
    </row>
    <row r="23" customFormat="false" ht="14.25" hidden="false" customHeight="true" outlineLevel="0" collapsed="false">
      <c r="A23" s="26" t="s">
        <v>59</v>
      </c>
    </row>
    <row r="25" customFormat="false" ht="14.25" hidden="false" customHeight="true" outlineLevel="0" collapsed="false">
      <c r="A25" s="27" t="s">
        <v>60</v>
      </c>
      <c r="B25" s="28"/>
      <c r="C25" s="28"/>
    </row>
    <row r="26" customFormat="false" ht="14.25" hidden="false" customHeight="true" outlineLevel="0" collapsed="false">
      <c r="A26" s="27" t="s">
        <v>61</v>
      </c>
      <c r="B26" s="28"/>
      <c r="C26" s="28"/>
    </row>
    <row r="27" customFormat="false" ht="14.25" hidden="false" customHeight="true" outlineLevel="0" collapsed="false">
      <c r="A27" s="27" t="s">
        <v>62</v>
      </c>
      <c r="B27" s="28"/>
      <c r="C27" s="28"/>
    </row>
    <row r="28" customFormat="false" ht="14.25" hidden="false" customHeight="true" outlineLevel="0" collapsed="false">
      <c r="A28" s="27" t="s">
        <v>63</v>
      </c>
      <c r="B28" s="28"/>
      <c r="C28" s="28"/>
    </row>
    <row r="29" customFormat="false" ht="14.25" hidden="false" customHeight="true" outlineLevel="0" collapsed="false">
      <c r="A29" s="27" t="s">
        <v>64</v>
      </c>
      <c r="B29" s="28"/>
      <c r="C29" s="28"/>
    </row>
    <row r="30" customFormat="false" ht="14.25" hidden="false" customHeight="true" outlineLevel="0" collapsed="false">
      <c r="A30" s="27" t="s">
        <v>65</v>
      </c>
      <c r="B30" s="28"/>
      <c r="C30" s="28"/>
    </row>
    <row r="31" customFormat="false" ht="14.25" hidden="false" customHeight="true" outlineLevel="0" collapsed="false">
      <c r="A31" s="27" t="s">
        <v>66</v>
      </c>
      <c r="B31" s="28"/>
      <c r="C31" s="28"/>
    </row>
    <row r="32" customFormat="false" ht="14.25" hidden="false" customHeight="true" outlineLevel="0" collapsed="false">
      <c r="A32" s="27" t="s">
        <v>67</v>
      </c>
    </row>
    <row r="35" customFormat="false" ht="14.25" hidden="false" customHeight="true" outlineLevel="0" collapsed="false">
      <c r="A35" s="26" t="s">
        <v>68</v>
      </c>
    </row>
    <row r="36" customFormat="false" ht="15" hidden="false" customHeight="true" outlineLevel="0" collapsed="false">
      <c r="A36" s="26"/>
    </row>
    <row r="37" customFormat="false" ht="14.25" hidden="false" customHeight="true" outlineLevel="0" collapsed="false">
      <c r="A37" s="29" t="s">
        <v>69</v>
      </c>
      <c r="B37" s="29"/>
      <c r="C37" s="29"/>
      <c r="D37" s="30"/>
      <c r="E37" s="30"/>
    </row>
    <row r="38" customFormat="false" ht="14.25" hidden="false" customHeight="true" outlineLevel="0" collapsed="false">
      <c r="A38" s="29"/>
      <c r="B38" s="29"/>
      <c r="C38" s="29"/>
      <c r="D38" s="30"/>
      <c r="E38" s="30"/>
    </row>
    <row r="39" customFormat="false" ht="14.25" hidden="false" customHeight="true" outlineLevel="0" collapsed="false">
      <c r="A39" s="29"/>
      <c r="B39" s="29"/>
      <c r="C39" s="29"/>
      <c r="D39" s="30"/>
      <c r="E39" s="30"/>
    </row>
    <row r="40" customFormat="false" ht="14.25" hidden="false" customHeight="true" outlineLevel="0" collapsed="false">
      <c r="A40" s="29"/>
      <c r="B40" s="29"/>
      <c r="C40" s="29"/>
      <c r="D40" s="30"/>
      <c r="E40" s="30"/>
    </row>
    <row r="41" customFormat="false" ht="14.25" hidden="false" customHeight="true" outlineLevel="0" collapsed="false">
      <c r="A41" s="29"/>
      <c r="B41" s="29"/>
      <c r="C41" s="29"/>
      <c r="D41" s="30"/>
      <c r="E41" s="30"/>
    </row>
    <row r="42" customFormat="false" ht="14.25" hidden="false" customHeight="true" outlineLevel="0" collapsed="false">
      <c r="A42" s="29"/>
      <c r="B42" s="29"/>
      <c r="C42" s="29"/>
      <c r="D42" s="30"/>
      <c r="E42" s="30"/>
    </row>
    <row r="43" customFormat="false" ht="15" hidden="false" customHeight="true" outlineLevel="0" collapsed="false">
      <c r="A43" s="29"/>
      <c r="B43" s="29"/>
      <c r="C43" s="29"/>
      <c r="D43" s="30"/>
      <c r="E43" s="30"/>
    </row>
    <row r="45" customFormat="false" ht="14.25" hidden="false" customHeight="true" outlineLevel="0" collapsed="false">
      <c r="A45" s="31" t="s">
        <v>70</v>
      </c>
      <c r="B45" s="31" t="s">
        <v>71</v>
      </c>
      <c r="C45" s="32" t="s">
        <v>72</v>
      </c>
      <c r="D45" s="32" t="s">
        <v>73</v>
      </c>
      <c r="E45" s="32"/>
      <c r="F45" s="32"/>
      <c r="G45" s="32"/>
      <c r="H45" s="32"/>
      <c r="I45" s="32"/>
      <c r="J45" s="32"/>
      <c r="K45" s="32"/>
      <c r="L45" s="32"/>
    </row>
    <row r="46" customFormat="false" ht="14.25" hidden="false" customHeight="true" outlineLevel="0" collapsed="false">
      <c r="A46" s="33" t="s">
        <v>74</v>
      </c>
      <c r="B46" s="33" t="s">
        <v>75</v>
      </c>
      <c r="C46" s="34" t="s">
        <v>76</v>
      </c>
      <c r="D46" s="34" t="s">
        <v>77</v>
      </c>
      <c r="E46" s="34"/>
      <c r="F46" s="34"/>
      <c r="G46" s="34"/>
      <c r="H46" s="34"/>
      <c r="I46" s="34"/>
      <c r="J46" s="34"/>
      <c r="K46" s="34"/>
      <c r="L46" s="34"/>
    </row>
    <row r="47" customFormat="false" ht="14.25" hidden="false" customHeight="true" outlineLevel="0" collapsed="false">
      <c r="A47" s="33" t="s">
        <v>78</v>
      </c>
      <c r="B47" s="33" t="s">
        <v>75</v>
      </c>
      <c r="C47" s="34" t="s">
        <v>79</v>
      </c>
      <c r="D47" s="34" t="s">
        <v>80</v>
      </c>
      <c r="E47" s="34"/>
      <c r="F47" s="34"/>
      <c r="G47" s="34"/>
      <c r="H47" s="34"/>
      <c r="I47" s="34"/>
      <c r="J47" s="34"/>
      <c r="K47" s="34"/>
      <c r="L47" s="34"/>
    </row>
    <row r="48" customFormat="false" ht="14.25" hidden="false" customHeight="true" outlineLevel="0" collapsed="false">
      <c r="A48" s="33" t="s">
        <v>81</v>
      </c>
      <c r="B48" s="33" t="s">
        <v>75</v>
      </c>
      <c r="C48" s="34" t="s">
        <v>82</v>
      </c>
      <c r="D48" s="34" t="s">
        <v>83</v>
      </c>
      <c r="E48" s="34"/>
      <c r="F48" s="34"/>
      <c r="G48" s="34"/>
      <c r="H48" s="34"/>
      <c r="I48" s="34"/>
      <c r="J48" s="34"/>
      <c r="K48" s="34"/>
      <c r="L48" s="34"/>
    </row>
    <row r="49" customFormat="false" ht="14.25" hidden="false" customHeight="true" outlineLevel="0" collapsed="false">
      <c r="A49" s="33" t="s">
        <v>84</v>
      </c>
      <c r="B49" s="33" t="s">
        <v>75</v>
      </c>
      <c r="C49" s="34" t="s">
        <v>85</v>
      </c>
      <c r="D49" s="34" t="s">
        <v>86</v>
      </c>
      <c r="E49" s="34"/>
      <c r="F49" s="34"/>
      <c r="G49" s="34"/>
      <c r="H49" s="34"/>
      <c r="I49" s="34"/>
      <c r="J49" s="34"/>
      <c r="K49" s="34"/>
      <c r="L49" s="34"/>
    </row>
    <row r="50" customFormat="false" ht="28.5" hidden="false" customHeight="true" outlineLevel="0" collapsed="false">
      <c r="A50" s="33" t="s">
        <v>87</v>
      </c>
      <c r="B50" s="33" t="s">
        <v>75</v>
      </c>
      <c r="C50" s="34" t="s">
        <v>88</v>
      </c>
      <c r="D50" s="34" t="s">
        <v>89</v>
      </c>
      <c r="E50" s="34"/>
      <c r="F50" s="34"/>
      <c r="G50" s="34"/>
      <c r="H50" s="34"/>
      <c r="I50" s="34"/>
      <c r="J50" s="34"/>
      <c r="K50" s="34"/>
      <c r="L50" s="34"/>
    </row>
    <row r="51" customFormat="false" ht="14.25" hidden="false" customHeight="true" outlineLevel="0" collapsed="false">
      <c r="A51" s="33" t="s">
        <v>90</v>
      </c>
      <c r="B51" s="33" t="s">
        <v>75</v>
      </c>
      <c r="C51" s="34" t="s">
        <v>91</v>
      </c>
      <c r="D51" s="34" t="s">
        <v>92</v>
      </c>
      <c r="E51" s="34"/>
      <c r="F51" s="34"/>
      <c r="G51" s="34"/>
      <c r="H51" s="34"/>
      <c r="I51" s="34"/>
      <c r="J51" s="34"/>
      <c r="K51" s="34"/>
      <c r="L51" s="34"/>
    </row>
    <row r="52" customFormat="false" ht="14.25" hidden="false" customHeight="true" outlineLevel="0" collapsed="false">
      <c r="A52" s="33" t="s">
        <v>93</v>
      </c>
      <c r="B52" s="33" t="s">
        <v>75</v>
      </c>
      <c r="C52" s="33" t="s">
        <v>94</v>
      </c>
      <c r="D52" s="34" t="s">
        <v>95</v>
      </c>
      <c r="E52" s="34"/>
      <c r="F52" s="34"/>
      <c r="G52" s="34"/>
      <c r="H52" s="34"/>
      <c r="I52" s="34"/>
      <c r="J52" s="34"/>
      <c r="K52" s="34"/>
      <c r="L52" s="34"/>
    </row>
    <row r="53" customFormat="false" ht="14.25" hidden="false" customHeight="true" outlineLevel="0" collapsed="false">
      <c r="A53" s="33" t="s">
        <v>96</v>
      </c>
      <c r="B53" s="33" t="s">
        <v>97</v>
      </c>
      <c r="C53" s="33" t="s">
        <v>98</v>
      </c>
      <c r="D53" s="34" t="s">
        <v>99</v>
      </c>
      <c r="E53" s="34"/>
      <c r="F53" s="34"/>
      <c r="G53" s="34"/>
      <c r="H53" s="34"/>
      <c r="I53" s="34"/>
      <c r="J53" s="34"/>
      <c r="K53" s="34"/>
      <c r="L53" s="34"/>
    </row>
    <row r="54" customFormat="false" ht="14.25" hidden="false" customHeight="true" outlineLevel="0" collapsed="false">
      <c r="A54" s="33" t="s">
        <v>100</v>
      </c>
      <c r="B54" s="33" t="s">
        <v>97</v>
      </c>
      <c r="C54" s="33" t="s">
        <v>98</v>
      </c>
      <c r="D54" s="34" t="s">
        <v>101</v>
      </c>
      <c r="E54" s="34"/>
      <c r="F54" s="34"/>
      <c r="G54" s="34"/>
      <c r="H54" s="34"/>
      <c r="I54" s="34"/>
      <c r="J54" s="34"/>
      <c r="K54" s="34"/>
      <c r="L54" s="34"/>
    </row>
    <row r="55" customFormat="false" ht="36.75" hidden="false" customHeight="true" outlineLevel="0" collapsed="false">
      <c r="A55" s="33" t="s">
        <v>102</v>
      </c>
      <c r="B55" s="33" t="s">
        <v>32</v>
      </c>
      <c r="C55" s="33" t="s">
        <v>98</v>
      </c>
      <c r="D55" s="34" t="s">
        <v>103</v>
      </c>
      <c r="E55" s="34"/>
      <c r="F55" s="34"/>
      <c r="G55" s="34"/>
      <c r="H55" s="34"/>
      <c r="I55" s="34"/>
      <c r="J55" s="34"/>
      <c r="K55" s="34"/>
      <c r="L55" s="34"/>
    </row>
    <row r="56" customFormat="false" ht="14.25" hidden="false" customHeight="true" outlineLevel="0" collapsed="false">
      <c r="A56" s="33" t="s">
        <v>104</v>
      </c>
      <c r="B56" s="33" t="s">
        <v>105</v>
      </c>
      <c r="C56" s="33" t="s">
        <v>98</v>
      </c>
      <c r="D56" s="34" t="s">
        <v>106</v>
      </c>
      <c r="E56" s="34"/>
      <c r="F56" s="34"/>
      <c r="G56" s="34"/>
      <c r="H56" s="34"/>
      <c r="I56" s="34"/>
      <c r="J56" s="34"/>
      <c r="K56" s="34"/>
      <c r="L56" s="34"/>
    </row>
    <row r="57" customFormat="false" ht="27.75" hidden="false" customHeight="true" outlineLevel="0" collapsed="false">
      <c r="A57" s="33" t="s">
        <v>107</v>
      </c>
      <c r="B57" s="33" t="s">
        <v>32</v>
      </c>
      <c r="C57" s="33" t="s">
        <v>98</v>
      </c>
      <c r="D57" s="34" t="s">
        <v>108</v>
      </c>
      <c r="E57" s="34"/>
      <c r="F57" s="34"/>
      <c r="G57" s="34"/>
      <c r="H57" s="34"/>
      <c r="I57" s="34"/>
      <c r="J57" s="34"/>
      <c r="K57" s="34"/>
      <c r="L57" s="34"/>
    </row>
    <row r="58" customFormat="false" ht="14.25" hidden="false" customHeight="true" outlineLevel="0" collapsed="false">
      <c r="A58" s="33" t="s">
        <v>109</v>
      </c>
      <c r="B58" s="33" t="s">
        <v>34</v>
      </c>
      <c r="C58" s="33" t="s">
        <v>98</v>
      </c>
      <c r="D58" s="34" t="s">
        <v>110</v>
      </c>
      <c r="E58" s="34"/>
      <c r="F58" s="34"/>
      <c r="G58" s="34"/>
      <c r="H58" s="34"/>
      <c r="I58" s="34"/>
      <c r="J58" s="34"/>
      <c r="K58" s="34"/>
      <c r="L58" s="34"/>
    </row>
    <row r="59" customFormat="false" ht="14.25" hidden="false" customHeight="true" outlineLevel="0" collapsed="false">
      <c r="A59" s="33" t="s">
        <v>111</v>
      </c>
      <c r="B59" s="33" t="s">
        <v>75</v>
      </c>
      <c r="C59" s="33" t="s">
        <v>98</v>
      </c>
      <c r="D59" s="34" t="s">
        <v>98</v>
      </c>
      <c r="E59" s="34"/>
      <c r="F59" s="34"/>
      <c r="G59" s="34"/>
      <c r="H59" s="34"/>
      <c r="I59" s="34"/>
      <c r="J59" s="34"/>
      <c r="K59" s="34"/>
      <c r="L59" s="34"/>
    </row>
    <row r="60" customFormat="false" ht="14.25" hidden="false" customHeight="true" outlineLevel="0" collapsed="false">
      <c r="A60" s="33" t="s">
        <v>112</v>
      </c>
      <c r="B60" s="33" t="s">
        <v>34</v>
      </c>
      <c r="C60" s="33" t="s">
        <v>98</v>
      </c>
      <c r="D60" s="34" t="s">
        <v>113</v>
      </c>
      <c r="E60" s="34"/>
      <c r="F60" s="34"/>
      <c r="G60" s="34"/>
      <c r="H60" s="34"/>
      <c r="I60" s="34"/>
      <c r="J60" s="34"/>
      <c r="K60" s="34"/>
      <c r="L60" s="34"/>
    </row>
    <row r="61" customFormat="false" ht="14.25" hidden="false" customHeight="true" outlineLevel="0" collapsed="false">
      <c r="A61" s="33" t="s">
        <v>114</v>
      </c>
      <c r="B61" s="33" t="s">
        <v>34</v>
      </c>
      <c r="C61" s="33" t="s">
        <v>98</v>
      </c>
      <c r="D61" s="34" t="s">
        <v>115</v>
      </c>
      <c r="E61" s="34"/>
      <c r="F61" s="34"/>
      <c r="G61" s="34"/>
      <c r="H61" s="34"/>
      <c r="I61" s="34"/>
      <c r="J61" s="34"/>
      <c r="K61" s="34"/>
      <c r="L61" s="34"/>
    </row>
    <row r="62" customFormat="false" ht="14.25" hidden="false" customHeight="true" outlineLevel="0" collapsed="false">
      <c r="A62" s="33" t="s">
        <v>116</v>
      </c>
      <c r="B62" s="33" t="s">
        <v>75</v>
      </c>
      <c r="C62" s="33" t="s">
        <v>98</v>
      </c>
      <c r="D62" s="34" t="s">
        <v>117</v>
      </c>
      <c r="E62" s="34"/>
      <c r="F62" s="34"/>
      <c r="G62" s="34"/>
      <c r="H62" s="34"/>
      <c r="I62" s="34"/>
      <c r="J62" s="34"/>
      <c r="K62" s="34"/>
      <c r="L62" s="34"/>
    </row>
    <row r="63" customFormat="false" ht="14.25" hidden="false" customHeight="true" outlineLevel="0" collapsed="false">
      <c r="A63" s="33" t="s">
        <v>118</v>
      </c>
      <c r="B63" s="33" t="s">
        <v>75</v>
      </c>
      <c r="C63" s="33" t="s">
        <v>98</v>
      </c>
      <c r="D63" s="34" t="s">
        <v>119</v>
      </c>
      <c r="E63" s="34"/>
      <c r="F63" s="34"/>
      <c r="G63" s="34"/>
      <c r="H63" s="34"/>
      <c r="I63" s="34"/>
      <c r="J63" s="34"/>
      <c r="K63" s="34"/>
      <c r="L63" s="34"/>
    </row>
    <row r="64" customFormat="false" ht="14.25" hidden="false" customHeight="true" outlineLevel="0" collapsed="false">
      <c r="A64" s="33" t="s">
        <v>120</v>
      </c>
      <c r="B64" s="33" t="s">
        <v>121</v>
      </c>
      <c r="C64" s="33" t="s">
        <v>98</v>
      </c>
      <c r="D64" s="34" t="s">
        <v>98</v>
      </c>
      <c r="E64" s="34"/>
      <c r="F64" s="34"/>
      <c r="G64" s="34"/>
      <c r="H64" s="34"/>
      <c r="I64" s="34"/>
      <c r="J64" s="34"/>
      <c r="K64" s="34"/>
      <c r="L64" s="34"/>
    </row>
    <row r="65" customFormat="false" ht="14.25" hidden="false" customHeight="true" outlineLevel="0" collapsed="false">
      <c r="A65" s="33" t="s">
        <v>122</v>
      </c>
      <c r="B65" s="33" t="s">
        <v>75</v>
      </c>
      <c r="C65" s="33" t="s">
        <v>98</v>
      </c>
      <c r="D65" s="34" t="s">
        <v>123</v>
      </c>
      <c r="E65" s="34"/>
      <c r="F65" s="34"/>
      <c r="G65" s="34"/>
      <c r="H65" s="34"/>
      <c r="I65" s="34"/>
      <c r="J65" s="34"/>
      <c r="K65" s="34"/>
      <c r="L65" s="34"/>
    </row>
    <row r="66" customFormat="false" ht="14.25" hidden="false" customHeight="true" outlineLevel="0" collapsed="false">
      <c r="A66" s="33" t="s">
        <v>124</v>
      </c>
      <c r="B66" s="33" t="s">
        <v>75</v>
      </c>
      <c r="C66" s="33" t="s">
        <v>98</v>
      </c>
      <c r="D66" s="34" t="s">
        <v>125</v>
      </c>
      <c r="E66" s="34"/>
      <c r="F66" s="34"/>
      <c r="G66" s="34"/>
      <c r="H66" s="34"/>
      <c r="I66" s="34"/>
      <c r="J66" s="34"/>
      <c r="K66" s="34"/>
      <c r="L66" s="34"/>
    </row>
    <row r="67" customFormat="false" ht="14.25" hidden="false" customHeight="true" outlineLevel="0" collapsed="false">
      <c r="A67" s="33" t="s">
        <v>126</v>
      </c>
      <c r="B67" s="33" t="s">
        <v>75</v>
      </c>
      <c r="C67" s="33" t="s">
        <v>98</v>
      </c>
      <c r="D67" s="34" t="s">
        <v>127</v>
      </c>
      <c r="E67" s="34"/>
      <c r="F67" s="34"/>
      <c r="G67" s="34"/>
      <c r="H67" s="34"/>
      <c r="I67" s="34"/>
      <c r="J67" s="34"/>
      <c r="K67" s="34"/>
      <c r="L67" s="34"/>
    </row>
    <row r="68" customFormat="false" ht="14.25" hidden="false" customHeight="true" outlineLevel="0" collapsed="false">
      <c r="A68" s="33" t="s">
        <v>128</v>
      </c>
      <c r="B68" s="33" t="s">
        <v>34</v>
      </c>
      <c r="C68" s="33" t="s">
        <v>98</v>
      </c>
      <c r="D68" s="34" t="s">
        <v>129</v>
      </c>
      <c r="E68" s="34"/>
      <c r="F68" s="34"/>
      <c r="G68" s="34"/>
      <c r="H68" s="34"/>
      <c r="I68" s="34"/>
      <c r="J68" s="34"/>
      <c r="K68" s="34"/>
      <c r="L68" s="34"/>
    </row>
    <row r="69" customFormat="false" ht="14.25" hidden="false" customHeight="true" outlineLevel="0" collapsed="false">
      <c r="A69" s="33" t="s">
        <v>130</v>
      </c>
      <c r="B69" s="33" t="s">
        <v>34</v>
      </c>
      <c r="C69" s="33" t="s">
        <v>98</v>
      </c>
      <c r="D69" s="34" t="s">
        <v>131</v>
      </c>
      <c r="E69" s="34"/>
      <c r="F69" s="34"/>
      <c r="G69" s="34"/>
      <c r="H69" s="34"/>
      <c r="I69" s="34"/>
      <c r="J69" s="34"/>
      <c r="K69" s="34"/>
      <c r="L69" s="34"/>
    </row>
    <row r="70" customFormat="false" ht="14.25" hidden="false" customHeight="true" outlineLevel="0" collapsed="false">
      <c r="A70" s="33" t="s">
        <v>132</v>
      </c>
      <c r="B70" s="33" t="s">
        <v>121</v>
      </c>
      <c r="C70" s="33" t="s">
        <v>98</v>
      </c>
      <c r="D70" s="34" t="s">
        <v>129</v>
      </c>
      <c r="E70" s="34"/>
      <c r="F70" s="34"/>
      <c r="G70" s="34"/>
      <c r="H70" s="34"/>
      <c r="I70" s="34"/>
      <c r="J70" s="34"/>
      <c r="K70" s="34"/>
      <c r="L70" s="34"/>
    </row>
    <row r="71" customFormat="false" ht="14.25" hidden="false" customHeight="true" outlineLevel="0" collapsed="false">
      <c r="A71" s="33" t="s">
        <v>133</v>
      </c>
      <c r="B71" s="33" t="s">
        <v>105</v>
      </c>
      <c r="C71" s="33" t="s">
        <v>98</v>
      </c>
      <c r="D71" s="34" t="s">
        <v>134</v>
      </c>
      <c r="E71" s="34"/>
      <c r="F71" s="34"/>
      <c r="G71" s="34"/>
      <c r="H71" s="34"/>
      <c r="I71" s="34"/>
      <c r="J71" s="34"/>
      <c r="K71" s="34"/>
      <c r="L71" s="34"/>
    </row>
    <row r="72" customFormat="false" ht="14.25" hidden="false" customHeight="true" outlineLevel="0" collapsed="false">
      <c r="A72" s="33" t="s">
        <v>135</v>
      </c>
      <c r="B72" s="33" t="s">
        <v>75</v>
      </c>
      <c r="C72" s="33" t="s">
        <v>98</v>
      </c>
      <c r="D72" s="34" t="s">
        <v>119</v>
      </c>
      <c r="E72" s="34"/>
      <c r="F72" s="34"/>
      <c r="G72" s="34"/>
      <c r="H72" s="34"/>
      <c r="I72" s="34"/>
      <c r="J72" s="34"/>
      <c r="K72" s="34"/>
      <c r="L72" s="34"/>
    </row>
    <row r="73" customFormat="false" ht="14.25" hidden="false" customHeight="true" outlineLevel="0" collapsed="false">
      <c r="A73" s="33" t="s">
        <v>136</v>
      </c>
      <c r="B73" s="33" t="s">
        <v>75</v>
      </c>
      <c r="C73" s="33" t="s">
        <v>98</v>
      </c>
      <c r="D73" s="34" t="s">
        <v>137</v>
      </c>
      <c r="E73" s="34"/>
      <c r="F73" s="34"/>
      <c r="G73" s="34"/>
      <c r="H73" s="34"/>
      <c r="I73" s="34"/>
      <c r="J73" s="34"/>
      <c r="K73" s="34"/>
      <c r="L73" s="34"/>
    </row>
    <row r="74" customFormat="false" ht="14.25" hidden="false" customHeight="true" outlineLevel="0" collapsed="false">
      <c r="A74" s="33" t="s">
        <v>138</v>
      </c>
      <c r="B74" s="33" t="s">
        <v>121</v>
      </c>
      <c r="C74" s="33" t="s">
        <v>98</v>
      </c>
      <c r="D74" s="34" t="s">
        <v>129</v>
      </c>
      <c r="E74" s="34"/>
      <c r="F74" s="34"/>
      <c r="G74" s="34"/>
      <c r="H74" s="34"/>
      <c r="I74" s="34"/>
      <c r="J74" s="34"/>
      <c r="K74" s="34"/>
      <c r="L74" s="34"/>
    </row>
    <row r="75" customFormat="false" ht="14.25" hidden="false" customHeight="true" outlineLevel="0" collapsed="false">
      <c r="A75" s="33" t="s">
        <v>139</v>
      </c>
      <c r="B75" s="33" t="s">
        <v>121</v>
      </c>
      <c r="C75" s="33" t="s">
        <v>98</v>
      </c>
      <c r="D75" s="34" t="s">
        <v>140</v>
      </c>
      <c r="E75" s="34"/>
      <c r="F75" s="34"/>
      <c r="G75" s="34"/>
      <c r="H75" s="34"/>
      <c r="I75" s="34"/>
      <c r="J75" s="34"/>
      <c r="K75" s="34"/>
      <c r="L75" s="34"/>
    </row>
    <row r="76" customFormat="false" ht="14.25" hidden="false" customHeight="true" outlineLevel="0" collapsed="false">
      <c r="A76" s="33" t="s">
        <v>141</v>
      </c>
      <c r="B76" s="33" t="s">
        <v>75</v>
      </c>
      <c r="C76" s="33" t="s">
        <v>98</v>
      </c>
      <c r="D76" s="34" t="s">
        <v>142</v>
      </c>
      <c r="E76" s="34"/>
      <c r="F76" s="34"/>
      <c r="G76" s="34"/>
      <c r="H76" s="34"/>
      <c r="I76" s="34"/>
      <c r="J76" s="34"/>
      <c r="K76" s="34"/>
      <c r="L76" s="34"/>
    </row>
    <row r="77" customFormat="false" ht="14.25" hidden="false" customHeight="true" outlineLevel="0" collapsed="false">
      <c r="A77" s="33" t="s">
        <v>143</v>
      </c>
      <c r="B77" s="33" t="s">
        <v>34</v>
      </c>
      <c r="C77" s="33" t="s">
        <v>98</v>
      </c>
      <c r="D77" s="34" t="s">
        <v>144</v>
      </c>
      <c r="E77" s="34"/>
      <c r="F77" s="34"/>
      <c r="G77" s="34"/>
      <c r="H77" s="34"/>
      <c r="I77" s="34"/>
      <c r="J77" s="34"/>
      <c r="K77" s="34"/>
      <c r="L77" s="34"/>
    </row>
    <row r="78" customFormat="false" ht="14.25" hidden="false" customHeight="true" outlineLevel="0" collapsed="false">
      <c r="A78" s="33" t="s">
        <v>145</v>
      </c>
      <c r="B78" s="33" t="s">
        <v>75</v>
      </c>
      <c r="C78" s="33" t="s">
        <v>98</v>
      </c>
      <c r="D78" s="34" t="s">
        <v>146</v>
      </c>
      <c r="E78" s="34"/>
      <c r="F78" s="34"/>
      <c r="G78" s="34"/>
      <c r="H78" s="34"/>
      <c r="I78" s="34"/>
      <c r="J78" s="34"/>
      <c r="K78" s="34"/>
      <c r="L78" s="34"/>
    </row>
    <row r="79" customFormat="false" ht="14.25" hidden="false" customHeight="true" outlineLevel="0" collapsed="false">
      <c r="A79" s="33" t="s">
        <v>147</v>
      </c>
      <c r="B79" s="33" t="s">
        <v>148</v>
      </c>
      <c r="C79" s="33" t="s">
        <v>98</v>
      </c>
      <c r="D79" s="34" t="s">
        <v>149</v>
      </c>
      <c r="E79" s="34"/>
      <c r="F79" s="34"/>
      <c r="G79" s="34"/>
      <c r="H79" s="34"/>
      <c r="I79" s="34"/>
      <c r="J79" s="34"/>
      <c r="K79" s="34"/>
      <c r="L79" s="34"/>
    </row>
    <row r="80" customFormat="false" ht="30.75" hidden="false" customHeight="true" outlineLevel="0" collapsed="false">
      <c r="A80" s="33" t="s">
        <v>150</v>
      </c>
      <c r="B80" s="33" t="s">
        <v>32</v>
      </c>
      <c r="C80" s="33" t="s">
        <v>98</v>
      </c>
      <c r="D80" s="34" t="s">
        <v>151</v>
      </c>
      <c r="E80" s="34"/>
      <c r="F80" s="34"/>
      <c r="G80" s="34"/>
      <c r="H80" s="34"/>
      <c r="I80" s="34"/>
      <c r="J80" s="34"/>
      <c r="K80" s="34"/>
      <c r="L80" s="34"/>
    </row>
    <row r="81" customFormat="false" ht="14.25" hidden="false" customHeight="true" outlineLevel="0" collapsed="false">
      <c r="A81" s="33" t="s">
        <v>152</v>
      </c>
      <c r="B81" s="33" t="s">
        <v>34</v>
      </c>
      <c r="C81" s="33" t="s">
        <v>98</v>
      </c>
      <c r="D81" s="34" t="s">
        <v>153</v>
      </c>
      <c r="E81" s="34"/>
      <c r="F81" s="34"/>
      <c r="G81" s="34"/>
      <c r="H81" s="34"/>
      <c r="I81" s="34"/>
      <c r="J81" s="34"/>
      <c r="K81" s="34"/>
      <c r="L81" s="34"/>
    </row>
    <row r="82" customFormat="false" ht="14.25" hidden="false" customHeight="true" outlineLevel="0" collapsed="false">
      <c r="A82" s="33" t="s">
        <v>154</v>
      </c>
      <c r="B82" s="33" t="s">
        <v>34</v>
      </c>
      <c r="C82" s="33" t="s">
        <v>98</v>
      </c>
      <c r="D82" s="34" t="s">
        <v>155</v>
      </c>
      <c r="E82" s="34"/>
      <c r="F82" s="34"/>
      <c r="G82" s="34"/>
      <c r="H82" s="34"/>
      <c r="I82" s="34"/>
      <c r="J82" s="34"/>
      <c r="K82" s="34"/>
      <c r="L82" s="34"/>
    </row>
    <row r="83" customFormat="false" ht="14.25" hidden="false" customHeight="true" outlineLevel="0" collapsed="false">
      <c r="A83" s="33" t="s">
        <v>156</v>
      </c>
      <c r="B83" s="33" t="s">
        <v>121</v>
      </c>
      <c r="C83" s="33" t="s">
        <v>98</v>
      </c>
      <c r="D83" s="34" t="s">
        <v>129</v>
      </c>
      <c r="E83" s="34"/>
      <c r="F83" s="34"/>
      <c r="G83" s="34"/>
      <c r="H83" s="34"/>
      <c r="I83" s="34"/>
      <c r="J83" s="34"/>
      <c r="K83" s="34"/>
      <c r="L83" s="34"/>
    </row>
    <row r="84" customFormat="false" ht="14.25" hidden="false" customHeight="true" outlineLevel="0" collapsed="false">
      <c r="A84" s="33" t="s">
        <v>157</v>
      </c>
      <c r="B84" s="33" t="s">
        <v>34</v>
      </c>
      <c r="C84" s="33" t="s">
        <v>98</v>
      </c>
      <c r="D84" s="34" t="s">
        <v>158</v>
      </c>
      <c r="E84" s="34"/>
      <c r="F84" s="34"/>
      <c r="G84" s="34"/>
      <c r="H84" s="34"/>
      <c r="I84" s="34"/>
      <c r="J84" s="34"/>
      <c r="K84" s="34"/>
      <c r="L84" s="34"/>
    </row>
    <row r="85" customFormat="false" ht="14.25" hidden="false" customHeight="true" outlineLevel="0" collapsed="false">
      <c r="A85" s="33" t="s">
        <v>159</v>
      </c>
      <c r="B85" s="33" t="s">
        <v>75</v>
      </c>
      <c r="C85" s="33" t="s">
        <v>98</v>
      </c>
      <c r="D85" s="34" t="s">
        <v>160</v>
      </c>
      <c r="E85" s="34"/>
      <c r="F85" s="34"/>
      <c r="G85" s="34"/>
      <c r="H85" s="34"/>
      <c r="I85" s="34"/>
      <c r="J85" s="34"/>
      <c r="K85" s="34"/>
      <c r="L85" s="34"/>
    </row>
    <row r="86" customFormat="false" ht="14.25" hidden="false" customHeight="true" outlineLevel="0" collapsed="false">
      <c r="A86" s="33" t="s">
        <v>161</v>
      </c>
      <c r="B86" s="33" t="s">
        <v>148</v>
      </c>
      <c r="C86" s="33" t="s">
        <v>98</v>
      </c>
      <c r="D86" s="34" t="s">
        <v>162</v>
      </c>
      <c r="E86" s="34"/>
      <c r="F86" s="34"/>
      <c r="G86" s="34"/>
      <c r="H86" s="34"/>
      <c r="I86" s="34"/>
      <c r="J86" s="34"/>
      <c r="K86" s="34"/>
      <c r="L86" s="34"/>
    </row>
    <row r="87" customFormat="false" ht="14.25" hidden="false" customHeight="true" outlineLevel="0" collapsed="false">
      <c r="A87" s="33" t="s">
        <v>163</v>
      </c>
      <c r="B87" s="33" t="s">
        <v>121</v>
      </c>
      <c r="C87" s="33" t="s">
        <v>98</v>
      </c>
      <c r="D87" s="34" t="s">
        <v>164</v>
      </c>
      <c r="E87" s="34"/>
      <c r="F87" s="34"/>
      <c r="G87" s="34"/>
      <c r="H87" s="34"/>
      <c r="I87" s="34"/>
      <c r="J87" s="34"/>
      <c r="K87" s="34"/>
      <c r="L87" s="34"/>
    </row>
    <row r="88" customFormat="false" ht="14.25" hidden="false" customHeight="true" outlineLevel="0" collapsed="false">
      <c r="A88" s="33" t="s">
        <v>165</v>
      </c>
      <c r="B88" s="33" t="s">
        <v>75</v>
      </c>
      <c r="C88" s="33" t="s">
        <v>98</v>
      </c>
      <c r="D88" s="34" t="s">
        <v>166</v>
      </c>
      <c r="E88" s="34"/>
      <c r="F88" s="34"/>
      <c r="G88" s="34"/>
      <c r="H88" s="34"/>
      <c r="I88" s="34"/>
      <c r="J88" s="34"/>
      <c r="K88" s="34"/>
      <c r="L88" s="34"/>
    </row>
    <row r="89" customFormat="false" ht="14.25" hidden="false" customHeight="true" outlineLevel="0" collapsed="false">
      <c r="A89" s="33" t="s">
        <v>167</v>
      </c>
      <c r="B89" s="33" t="s">
        <v>121</v>
      </c>
      <c r="C89" s="33" t="s">
        <v>98</v>
      </c>
      <c r="D89" s="34" t="s">
        <v>168</v>
      </c>
      <c r="E89" s="34"/>
      <c r="F89" s="34"/>
      <c r="G89" s="34"/>
      <c r="H89" s="34"/>
      <c r="I89" s="34"/>
      <c r="J89" s="34"/>
      <c r="K89" s="34"/>
      <c r="L89" s="34"/>
    </row>
    <row r="90" customFormat="false" ht="14.25" hidden="false" customHeight="true" outlineLevel="0" collapsed="false">
      <c r="A90" s="33" t="s">
        <v>169</v>
      </c>
      <c r="B90" s="33" t="s">
        <v>121</v>
      </c>
      <c r="C90" s="33" t="s">
        <v>98</v>
      </c>
      <c r="D90" s="34" t="s">
        <v>170</v>
      </c>
      <c r="E90" s="34"/>
      <c r="F90" s="34"/>
      <c r="G90" s="34"/>
      <c r="H90" s="34"/>
      <c r="I90" s="34"/>
      <c r="J90" s="34"/>
      <c r="K90" s="34"/>
      <c r="L90" s="34"/>
    </row>
    <row r="91" customFormat="false" ht="14.25" hidden="false" customHeight="true" outlineLevel="0" collapsed="false">
      <c r="A91" s="33" t="s">
        <v>171</v>
      </c>
      <c r="B91" s="33" t="s">
        <v>172</v>
      </c>
      <c r="C91" s="33" t="s">
        <v>98</v>
      </c>
      <c r="D91" s="34" t="s">
        <v>173</v>
      </c>
      <c r="E91" s="34"/>
      <c r="F91" s="34"/>
      <c r="G91" s="34"/>
      <c r="H91" s="34"/>
      <c r="I91" s="34"/>
      <c r="J91" s="34"/>
      <c r="K91" s="34"/>
      <c r="L91" s="34"/>
    </row>
    <row r="92" customFormat="false" ht="14.25" hidden="false" customHeight="true" outlineLevel="0" collapsed="false">
      <c r="A92" s="33" t="s">
        <v>174</v>
      </c>
      <c r="B92" s="33" t="s">
        <v>175</v>
      </c>
      <c r="C92" s="33" t="s">
        <v>98</v>
      </c>
      <c r="D92" s="34" t="s">
        <v>176</v>
      </c>
      <c r="E92" s="34"/>
      <c r="F92" s="34"/>
      <c r="G92" s="34"/>
      <c r="H92" s="34"/>
      <c r="I92" s="34"/>
      <c r="J92" s="34"/>
      <c r="K92" s="34"/>
      <c r="L92" s="34"/>
    </row>
    <row r="93" customFormat="false" ht="14.25" hidden="false" customHeight="true" outlineLevel="0" collapsed="false">
      <c r="A93" s="33" t="s">
        <v>177</v>
      </c>
      <c r="B93" s="33" t="s">
        <v>75</v>
      </c>
      <c r="C93" s="33" t="s">
        <v>98</v>
      </c>
      <c r="D93" s="34" t="s">
        <v>178</v>
      </c>
      <c r="E93" s="34"/>
      <c r="F93" s="34"/>
      <c r="G93" s="34"/>
      <c r="H93" s="34"/>
      <c r="I93" s="34"/>
      <c r="J93" s="34"/>
      <c r="K93" s="34"/>
      <c r="L93" s="34"/>
    </row>
  </sheetData>
  <mergeCells count="61">
    <mergeCell ref="B5:G5"/>
    <mergeCell ref="B6:G6"/>
    <mergeCell ref="B7:G7"/>
    <mergeCell ref="B8:G8"/>
    <mergeCell ref="A13:B13"/>
    <mergeCell ref="D15:L15"/>
    <mergeCell ref="D16:L16"/>
    <mergeCell ref="D17:L17"/>
    <mergeCell ref="D18:L18"/>
    <mergeCell ref="D19:L19"/>
    <mergeCell ref="D20:L20"/>
    <mergeCell ref="A37:C43"/>
    <mergeCell ref="D45:L45"/>
    <mergeCell ref="D46:L46"/>
    <mergeCell ref="D47:L47"/>
    <mergeCell ref="D48:L48"/>
    <mergeCell ref="D49:L49"/>
    <mergeCell ref="D50:L50"/>
    <mergeCell ref="D51:L51"/>
    <mergeCell ref="D52:L52"/>
    <mergeCell ref="D53:L53"/>
    <mergeCell ref="D54:L54"/>
    <mergeCell ref="D55:L55"/>
    <mergeCell ref="D56:L56"/>
    <mergeCell ref="D57:L57"/>
    <mergeCell ref="D58:L58"/>
    <mergeCell ref="D59:L59"/>
    <mergeCell ref="D60:L60"/>
    <mergeCell ref="D61:L61"/>
    <mergeCell ref="D62:L62"/>
    <mergeCell ref="D63:L63"/>
    <mergeCell ref="D64:L64"/>
    <mergeCell ref="D65:L65"/>
    <mergeCell ref="D66:L66"/>
    <mergeCell ref="D67:L67"/>
    <mergeCell ref="D68:L68"/>
    <mergeCell ref="D69:L69"/>
    <mergeCell ref="D70:L70"/>
    <mergeCell ref="D71:L71"/>
    <mergeCell ref="D72:L72"/>
    <mergeCell ref="D73:L73"/>
    <mergeCell ref="D74:L74"/>
    <mergeCell ref="D75:L75"/>
    <mergeCell ref="D76:L76"/>
    <mergeCell ref="D77:L77"/>
    <mergeCell ref="D78:L78"/>
    <mergeCell ref="D79:L79"/>
    <mergeCell ref="D80:L80"/>
    <mergeCell ref="D81:L81"/>
    <mergeCell ref="D82:L82"/>
    <mergeCell ref="D83:L83"/>
    <mergeCell ref="D84:L84"/>
    <mergeCell ref="D85:L85"/>
    <mergeCell ref="D86:L86"/>
    <mergeCell ref="D87:L87"/>
    <mergeCell ref="D88:L88"/>
    <mergeCell ref="D89:L89"/>
    <mergeCell ref="D90:L90"/>
    <mergeCell ref="D91:L91"/>
    <mergeCell ref="D92:L92"/>
    <mergeCell ref="D93:L9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R628"/>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K6" activeCellId="0" sqref="K6"/>
    </sheetView>
  </sheetViews>
  <sheetFormatPr defaultColWidth="11.5625" defaultRowHeight="15" zeroHeight="false" outlineLevelRow="0" outlineLevelCol="0"/>
  <cols>
    <col collapsed="false" customWidth="true" hidden="false" outlineLevel="0" max="1" min="1" style="1" width="13.44"/>
    <col collapsed="false" customWidth="true" hidden="false" outlineLevel="0" max="2" min="2" style="1" width="12.33"/>
    <col collapsed="false" customWidth="true" hidden="false" outlineLevel="0" max="4" min="3" style="1" width="13.67"/>
    <col collapsed="false" customWidth="true" hidden="false" outlineLevel="0" max="5" min="5" style="1" width="14.44"/>
    <col collapsed="false" customWidth="true" hidden="false" outlineLevel="0" max="6" min="6" style="1" width="13.88"/>
    <col collapsed="false" customWidth="true" hidden="false" outlineLevel="0" max="7" min="7" style="1" width="8.34"/>
    <col collapsed="false" customWidth="true" hidden="false" outlineLevel="0" max="8" min="8" style="1" width="14.67"/>
    <col collapsed="false" customWidth="true" hidden="false" outlineLevel="0" max="9" min="9" style="1" width="21.67"/>
    <col collapsed="false" customWidth="true" hidden="false" outlineLevel="0" max="10" min="10" style="1" width="15.56"/>
    <col collapsed="false" customWidth="true" hidden="false" outlineLevel="0" max="11" min="11" style="1" width="14.44"/>
    <col collapsed="false" customWidth="true" hidden="false" outlineLevel="0" max="14" min="12" style="1" width="17.88"/>
    <col collapsed="false" customWidth="true" hidden="false" outlineLevel="0" max="15" min="15" style="1" width="48.33"/>
    <col collapsed="false" customWidth="true" hidden="false" outlineLevel="0" max="17" min="17" style="1" width="15.44"/>
  </cols>
  <sheetData>
    <row r="1" customFormat="false" ht="14.25" hidden="false" customHeight="true" outlineLevel="0" collapsed="false">
      <c r="A1" s="15" t="s">
        <v>179</v>
      </c>
      <c r="I1" s="35"/>
      <c r="J1" s="35"/>
      <c r="K1" s="35"/>
      <c r="L1" s="35"/>
      <c r="M1" s="35"/>
      <c r="N1" s="35"/>
      <c r="O1" s="35"/>
      <c r="P1" s="35"/>
      <c r="Q1" s="35"/>
      <c r="R1" s="35"/>
    </row>
    <row r="2" customFormat="false" ht="14.25" hidden="false" customHeight="true" outlineLevel="0" collapsed="false">
      <c r="A2" s="15"/>
      <c r="I2" s="35"/>
      <c r="J2" s="35"/>
      <c r="K2" s="35"/>
      <c r="L2" s="35"/>
      <c r="M2" s="35"/>
      <c r="N2" s="35"/>
      <c r="O2" s="35"/>
      <c r="P2" s="35"/>
      <c r="Q2" s="35"/>
      <c r="R2" s="35"/>
    </row>
    <row r="3" customFormat="false" ht="14.25" hidden="false" customHeight="true" outlineLevel="0" collapsed="false">
      <c r="A3" s="15" t="s">
        <v>180</v>
      </c>
      <c r="B3" s="1" t="s">
        <v>181</v>
      </c>
    </row>
    <row r="4" customFormat="false" ht="14.25" hidden="false" customHeight="true" outlineLevel="0" collapsed="false">
      <c r="A4" s="15"/>
    </row>
    <row r="5" customFormat="false" ht="15" hidden="false" customHeight="true" outlineLevel="0" collapsed="false">
      <c r="A5" s="36"/>
      <c r="B5" s="36"/>
      <c r="C5" s="36"/>
      <c r="D5" s="37" t="s">
        <v>120</v>
      </c>
      <c r="E5" s="37"/>
      <c r="F5" s="36"/>
      <c r="G5" s="36"/>
      <c r="H5" s="36"/>
      <c r="I5" s="36"/>
      <c r="J5" s="36"/>
      <c r="K5" s="36"/>
      <c r="L5" s="36"/>
      <c r="M5" s="36"/>
      <c r="N5" s="36"/>
    </row>
    <row r="6" customFormat="false" ht="24.75" hidden="false" customHeight="true" outlineLevel="0" collapsed="false">
      <c r="A6" s="19" t="s">
        <v>133</v>
      </c>
      <c r="B6" s="19" t="s">
        <v>174</v>
      </c>
      <c r="C6" s="19" t="s">
        <v>182</v>
      </c>
      <c r="D6" s="20" t="s">
        <v>3</v>
      </c>
      <c r="E6" s="20" t="s">
        <v>4</v>
      </c>
      <c r="F6" s="19" t="s">
        <v>183</v>
      </c>
      <c r="G6" s="19" t="s">
        <v>161</v>
      </c>
      <c r="H6" s="19" t="s">
        <v>156</v>
      </c>
      <c r="I6" s="19" t="s">
        <v>184</v>
      </c>
      <c r="J6" s="19" t="s">
        <v>138</v>
      </c>
      <c r="K6" s="19" t="s">
        <v>185</v>
      </c>
      <c r="L6" s="19" t="s">
        <v>186</v>
      </c>
      <c r="M6" s="19" t="s">
        <v>187</v>
      </c>
      <c r="N6" s="19" t="s">
        <v>188</v>
      </c>
      <c r="O6" s="19" t="s">
        <v>104</v>
      </c>
      <c r="Q6" s="38" t="s">
        <v>189</v>
      </c>
    </row>
    <row r="7" customFormat="false" ht="14.25" hidden="false" customHeight="true" outlineLevel="0" collapsed="false">
      <c r="A7" s="39" t="n">
        <v>45625</v>
      </c>
      <c r="B7" s="16" t="s">
        <v>190</v>
      </c>
      <c r="C7" s="16" t="s">
        <v>15</v>
      </c>
      <c r="D7" s="16" t="s">
        <v>191</v>
      </c>
      <c r="E7" s="16" t="s">
        <v>192</v>
      </c>
      <c r="F7" s="16" t="s">
        <v>193</v>
      </c>
      <c r="G7" s="16" t="n">
        <v>2</v>
      </c>
      <c r="H7" s="16" t="s">
        <v>194</v>
      </c>
      <c r="I7" s="16" t="s">
        <v>195</v>
      </c>
      <c r="J7" s="16" t="s">
        <v>196</v>
      </c>
      <c r="K7" s="16" t="n">
        <v>1</v>
      </c>
      <c r="L7" s="40" t="n">
        <f aca="false">(K7/$Q$7)*100</f>
        <v>0.0189753320683112</v>
      </c>
      <c r="M7" s="16" t="s">
        <v>197</v>
      </c>
      <c r="N7" s="16" t="n">
        <f aca="false">IFERROR(INDEX(BMWP_COL!$B$2:$B$103,MATCH($I7,BMWP_COL!$A$2:$A$103,0)),"No aplica")</f>
        <v>8</v>
      </c>
      <c r="O7" s="16"/>
      <c r="Q7" s="16" t="n">
        <f aca="false">+SUM(K7:K628)</f>
        <v>5270</v>
      </c>
    </row>
    <row r="8" customFormat="false" ht="14.25" hidden="false" customHeight="true" outlineLevel="0" collapsed="false">
      <c r="A8" s="39" t="n">
        <v>45625</v>
      </c>
      <c r="B8" s="16" t="s">
        <v>190</v>
      </c>
      <c r="C8" s="16" t="s">
        <v>15</v>
      </c>
      <c r="D8" s="16" t="s">
        <v>191</v>
      </c>
      <c r="E8" s="16" t="s">
        <v>192</v>
      </c>
      <c r="F8" s="16" t="s">
        <v>193</v>
      </c>
      <c r="G8" s="16" t="n">
        <v>2</v>
      </c>
      <c r="H8" s="16" t="s">
        <v>198</v>
      </c>
      <c r="I8" s="16" t="s">
        <v>199</v>
      </c>
      <c r="J8" s="16" t="s">
        <v>200</v>
      </c>
      <c r="K8" s="16" t="n">
        <v>1</v>
      </c>
      <c r="L8" s="40" t="n">
        <f aca="false">(K8/$Q$7)*100</f>
        <v>0.0189753320683112</v>
      </c>
      <c r="M8" s="16" t="s">
        <v>201</v>
      </c>
      <c r="N8" s="16" t="n">
        <f aca="false">IFERROR(INDEX(BMWP_COL!$B$2:$B$103,MATCH($I8,BMWP_COL!$A$2:$A$103,0)),"No aplica")</f>
        <v>7</v>
      </c>
      <c r="O8" s="16"/>
    </row>
    <row r="9" customFormat="false" ht="14.25" hidden="false" customHeight="true" outlineLevel="0" collapsed="false">
      <c r="A9" s="39" t="n">
        <v>45625</v>
      </c>
      <c r="B9" s="16" t="s">
        <v>190</v>
      </c>
      <c r="C9" s="16" t="s">
        <v>15</v>
      </c>
      <c r="D9" s="16" t="s">
        <v>191</v>
      </c>
      <c r="E9" s="16" t="s">
        <v>192</v>
      </c>
      <c r="F9" s="16" t="s">
        <v>193</v>
      </c>
      <c r="G9" s="16" t="n">
        <v>2</v>
      </c>
      <c r="H9" s="16" t="s">
        <v>202</v>
      </c>
      <c r="I9" s="16" t="s">
        <v>203</v>
      </c>
      <c r="J9" s="41" t="s">
        <v>204</v>
      </c>
      <c r="K9" s="16" t="n">
        <v>6</v>
      </c>
      <c r="L9" s="40" t="n">
        <f aca="false">(K9/$Q$7)*100</f>
        <v>0.113851992409867</v>
      </c>
      <c r="M9" s="16" t="s">
        <v>197</v>
      </c>
      <c r="N9" s="16" t="n">
        <f aca="false">IFERROR(INDEX(BMWP_COL!$B$2:$B$103,MATCH($I9,BMWP_COL!$A$2:$A$103,0)),"No aplica")</f>
        <v>2</v>
      </c>
      <c r="O9" s="16"/>
    </row>
    <row r="10" customFormat="false" ht="14.25" hidden="false" customHeight="true" outlineLevel="0" collapsed="false">
      <c r="A10" s="39" t="n">
        <v>45625</v>
      </c>
      <c r="B10" s="16" t="s">
        <v>190</v>
      </c>
      <c r="C10" s="16" t="s">
        <v>15</v>
      </c>
      <c r="D10" s="16" t="s">
        <v>191</v>
      </c>
      <c r="E10" s="16" t="s">
        <v>192</v>
      </c>
      <c r="F10" s="16" t="s">
        <v>193</v>
      </c>
      <c r="G10" s="16" t="n">
        <v>2</v>
      </c>
      <c r="H10" s="16" t="s">
        <v>198</v>
      </c>
      <c r="I10" s="16" t="s">
        <v>205</v>
      </c>
      <c r="J10" s="16" t="s">
        <v>206</v>
      </c>
      <c r="K10" s="16" t="n">
        <v>34</v>
      </c>
      <c r="L10" s="40" t="n">
        <f aca="false">(K10/$Q$7)*100</f>
        <v>0.645161290322581</v>
      </c>
      <c r="M10" s="16" t="s">
        <v>201</v>
      </c>
      <c r="N10" s="16" t="n">
        <f aca="false">IFERROR(INDEX(BMWP_COL!$B$2:$B$103,MATCH($I10,BMWP_COL!$A$2:$A$103,0)),"No aplica")</f>
        <v>8</v>
      </c>
      <c r="O10" s="16"/>
    </row>
    <row r="11" customFormat="false" ht="14.25" hidden="false" customHeight="true" outlineLevel="0" collapsed="false">
      <c r="A11" s="39" t="n">
        <v>45625</v>
      </c>
      <c r="B11" s="16" t="s">
        <v>190</v>
      </c>
      <c r="C11" s="16" t="s">
        <v>15</v>
      </c>
      <c r="D11" s="16" t="s">
        <v>191</v>
      </c>
      <c r="E11" s="16" t="s">
        <v>192</v>
      </c>
      <c r="F11" s="16" t="s">
        <v>193</v>
      </c>
      <c r="G11" s="16" t="n">
        <v>2</v>
      </c>
      <c r="H11" s="16" t="s">
        <v>198</v>
      </c>
      <c r="I11" s="16" t="s">
        <v>205</v>
      </c>
      <c r="J11" s="16" t="s">
        <v>207</v>
      </c>
      <c r="K11" s="16" t="n">
        <v>1</v>
      </c>
      <c r="L11" s="40" t="n">
        <f aca="false">(K11/$Q$7)*100</f>
        <v>0.0189753320683112</v>
      </c>
      <c r="M11" s="16" t="s">
        <v>201</v>
      </c>
      <c r="N11" s="16" t="n">
        <f aca="false">IFERROR(INDEX(BMWP_COL!$B$2:$B$103,MATCH($I11,BMWP_COL!$A$2:$A$103,0)),"No aplica")</f>
        <v>8</v>
      </c>
      <c r="O11" s="16"/>
    </row>
    <row r="12" customFormat="false" ht="14.25" hidden="false" customHeight="true" outlineLevel="0" collapsed="false">
      <c r="A12" s="39" t="n">
        <v>45625</v>
      </c>
      <c r="B12" s="16" t="s">
        <v>190</v>
      </c>
      <c r="C12" s="16" t="s">
        <v>15</v>
      </c>
      <c r="D12" s="16" t="s">
        <v>191</v>
      </c>
      <c r="E12" s="16" t="s">
        <v>192</v>
      </c>
      <c r="F12" s="16" t="s">
        <v>193</v>
      </c>
      <c r="G12" s="16" t="n">
        <v>2</v>
      </c>
      <c r="H12" s="16" t="s">
        <v>208</v>
      </c>
      <c r="I12" s="16" t="s">
        <v>209</v>
      </c>
      <c r="J12" s="16" t="s">
        <v>210</v>
      </c>
      <c r="K12" s="16" t="n">
        <v>6</v>
      </c>
      <c r="L12" s="40" t="n">
        <f aca="false">(K12/$Q$7)*100</f>
        <v>0.113851992409867</v>
      </c>
      <c r="M12" s="16" t="s">
        <v>211</v>
      </c>
      <c r="N12" s="16" t="n">
        <f aca="false">IFERROR(INDEX(BMWP_COL!$B$2:$B$103,MATCH($I12,BMWP_COL!$A$2:$A$103,0)),"No aplica")</f>
        <v>7</v>
      </c>
      <c r="O12" s="16"/>
    </row>
    <row r="13" customFormat="false" ht="14.25" hidden="false" customHeight="true" outlineLevel="0" collapsed="false">
      <c r="A13" s="39" t="n">
        <v>45625</v>
      </c>
      <c r="B13" s="16" t="s">
        <v>190</v>
      </c>
      <c r="C13" s="16" t="s">
        <v>15</v>
      </c>
      <c r="D13" s="16" t="s">
        <v>191</v>
      </c>
      <c r="E13" s="16" t="s">
        <v>192</v>
      </c>
      <c r="F13" s="16" t="s">
        <v>193</v>
      </c>
      <c r="G13" s="16" t="n">
        <v>2</v>
      </c>
      <c r="H13" s="16" t="s">
        <v>208</v>
      </c>
      <c r="I13" s="16" t="s">
        <v>209</v>
      </c>
      <c r="J13" s="16" t="s">
        <v>212</v>
      </c>
      <c r="K13" s="16" t="n">
        <v>11</v>
      </c>
      <c r="L13" s="40" t="n">
        <f aca="false">(K13/$Q$7)*100</f>
        <v>0.208728652751423</v>
      </c>
      <c r="M13" s="16" t="s">
        <v>197</v>
      </c>
      <c r="N13" s="16" t="n">
        <f aca="false">IFERROR(INDEX(BMWP_COL!$B$2:$B$103,MATCH($I13,BMWP_COL!$A$2:$A$103,0)),"No aplica")</f>
        <v>7</v>
      </c>
      <c r="O13" s="16"/>
    </row>
    <row r="14" customFormat="false" ht="14.25" hidden="false" customHeight="true" outlineLevel="0" collapsed="false">
      <c r="A14" s="39" t="n">
        <v>45625</v>
      </c>
      <c r="B14" s="16" t="s">
        <v>190</v>
      </c>
      <c r="C14" s="16" t="s">
        <v>15</v>
      </c>
      <c r="D14" s="16" t="s">
        <v>191</v>
      </c>
      <c r="E14" s="16" t="s">
        <v>192</v>
      </c>
      <c r="F14" s="16" t="s">
        <v>193</v>
      </c>
      <c r="G14" s="16" t="n">
        <v>3</v>
      </c>
      <c r="H14" s="16" t="s">
        <v>198</v>
      </c>
      <c r="I14" s="16" t="s">
        <v>199</v>
      </c>
      <c r="J14" s="16" t="s">
        <v>200</v>
      </c>
      <c r="K14" s="16" t="n">
        <v>3</v>
      </c>
      <c r="L14" s="40" t="n">
        <f aca="false">(K14/$Q$7)*100</f>
        <v>0.0569259962049336</v>
      </c>
      <c r="M14" s="16" t="s">
        <v>201</v>
      </c>
      <c r="N14" s="16" t="n">
        <f aca="false">IFERROR(INDEX(BMWP_COL!$B$2:$B$103,MATCH($I14,BMWP_COL!$A$2:$A$103,0)),"No aplica")</f>
        <v>7</v>
      </c>
      <c r="O14" s="16"/>
    </row>
    <row r="15" customFormat="false" ht="14.25" hidden="false" customHeight="true" outlineLevel="0" collapsed="false">
      <c r="A15" s="39" t="n">
        <v>45625</v>
      </c>
      <c r="B15" s="16" t="s">
        <v>190</v>
      </c>
      <c r="C15" s="16" t="s">
        <v>15</v>
      </c>
      <c r="D15" s="16" t="s">
        <v>191</v>
      </c>
      <c r="E15" s="16" t="s">
        <v>192</v>
      </c>
      <c r="F15" s="16" t="s">
        <v>193</v>
      </c>
      <c r="G15" s="16" t="n">
        <v>3</v>
      </c>
      <c r="H15" s="16" t="s">
        <v>202</v>
      </c>
      <c r="I15" s="16" t="s">
        <v>203</v>
      </c>
      <c r="J15" s="41" t="s">
        <v>204</v>
      </c>
      <c r="K15" s="16" t="n">
        <v>5</v>
      </c>
      <c r="L15" s="40" t="n">
        <f aca="false">(K15/$Q$7)*100</f>
        <v>0.094876660341556</v>
      </c>
      <c r="M15" s="16" t="s">
        <v>197</v>
      </c>
      <c r="N15" s="16" t="n">
        <f aca="false">IFERROR(INDEX(BMWP_COL!$B$2:$B$103,MATCH($I15,BMWP_COL!$A$2:$A$103,0)),"No aplica")</f>
        <v>2</v>
      </c>
      <c r="O15" s="16"/>
    </row>
    <row r="16" customFormat="false" ht="14.25" hidden="false" customHeight="true" outlineLevel="0" collapsed="false">
      <c r="A16" s="39" t="n">
        <v>45625</v>
      </c>
      <c r="B16" s="16" t="s">
        <v>190</v>
      </c>
      <c r="C16" s="16" t="s">
        <v>15</v>
      </c>
      <c r="D16" s="16" t="s">
        <v>191</v>
      </c>
      <c r="E16" s="16" t="s">
        <v>192</v>
      </c>
      <c r="F16" s="16" t="s">
        <v>193</v>
      </c>
      <c r="G16" s="16" t="n">
        <v>3</v>
      </c>
      <c r="H16" s="16" t="s">
        <v>202</v>
      </c>
      <c r="I16" s="16" t="s">
        <v>203</v>
      </c>
      <c r="J16" s="16" t="s">
        <v>213</v>
      </c>
      <c r="K16" s="16" t="n">
        <v>1</v>
      </c>
      <c r="L16" s="40" t="n">
        <f aca="false">(K16/$Q$7)*100</f>
        <v>0.0189753320683112</v>
      </c>
      <c r="M16" s="16" t="s">
        <v>201</v>
      </c>
      <c r="N16" s="16" t="n">
        <f aca="false">IFERROR(INDEX(BMWP_COL!$B$2:$B$103,MATCH($I16,BMWP_COL!$A$2:$A$103,0)),"No aplica")</f>
        <v>2</v>
      </c>
      <c r="O16" s="16"/>
    </row>
    <row r="17" customFormat="false" ht="14.25" hidden="false" customHeight="true" outlineLevel="0" collapsed="false">
      <c r="A17" s="39" t="n">
        <v>45625</v>
      </c>
      <c r="B17" s="16" t="s">
        <v>190</v>
      </c>
      <c r="C17" s="16" t="s">
        <v>15</v>
      </c>
      <c r="D17" s="16" t="s">
        <v>191</v>
      </c>
      <c r="E17" s="16" t="s">
        <v>192</v>
      </c>
      <c r="F17" s="16" t="s">
        <v>193</v>
      </c>
      <c r="G17" s="16" t="n">
        <v>3</v>
      </c>
      <c r="H17" s="16" t="s">
        <v>198</v>
      </c>
      <c r="I17" s="16" t="s">
        <v>205</v>
      </c>
      <c r="J17" s="16" t="s">
        <v>207</v>
      </c>
      <c r="K17" s="16" t="n">
        <v>1</v>
      </c>
      <c r="L17" s="40" t="n">
        <f aca="false">(K17/$Q$7)*100</f>
        <v>0.0189753320683112</v>
      </c>
      <c r="M17" s="16" t="s">
        <v>201</v>
      </c>
      <c r="N17" s="16" t="n">
        <f aca="false">IFERROR(INDEX(BMWP_COL!$B$2:$B$103,MATCH($I17,BMWP_COL!$A$2:$A$103,0)),"No aplica")</f>
        <v>8</v>
      </c>
      <c r="O17" s="16"/>
    </row>
    <row r="18" customFormat="false" ht="14.25" hidden="false" customHeight="true" outlineLevel="0" collapsed="false">
      <c r="A18" s="39" t="n">
        <v>45625</v>
      </c>
      <c r="B18" s="16" t="s">
        <v>190</v>
      </c>
      <c r="C18" s="16" t="s">
        <v>15</v>
      </c>
      <c r="D18" s="16" t="s">
        <v>191</v>
      </c>
      <c r="E18" s="16" t="s">
        <v>192</v>
      </c>
      <c r="F18" s="16" t="s">
        <v>193</v>
      </c>
      <c r="G18" s="16" t="n">
        <v>3</v>
      </c>
      <c r="H18" s="16" t="s">
        <v>214</v>
      </c>
      <c r="I18" s="16" t="s">
        <v>215</v>
      </c>
      <c r="J18" s="16" t="s">
        <v>216</v>
      </c>
      <c r="K18" s="16" t="n">
        <v>1</v>
      </c>
      <c r="L18" s="40" t="n">
        <f aca="false">(K18/$Q$7)*100</f>
        <v>0.0189753320683112</v>
      </c>
      <c r="M18" s="16" t="s">
        <v>201</v>
      </c>
      <c r="N18" s="16" t="n">
        <f aca="false">IFERROR(INDEX(BMWP_COL!$B$2:$B$103,MATCH($I18,BMWP_COL!$A$2:$A$103,0)),"No aplica")</f>
        <v>10</v>
      </c>
      <c r="O18" s="16"/>
    </row>
    <row r="19" customFormat="false" ht="14.25" hidden="false" customHeight="true" outlineLevel="0" collapsed="false">
      <c r="A19" s="39" t="n">
        <v>45625</v>
      </c>
      <c r="B19" s="16" t="s">
        <v>190</v>
      </c>
      <c r="C19" s="16" t="s">
        <v>15</v>
      </c>
      <c r="D19" s="16" t="s">
        <v>191</v>
      </c>
      <c r="E19" s="16" t="s">
        <v>192</v>
      </c>
      <c r="F19" s="16" t="s">
        <v>193</v>
      </c>
      <c r="G19" s="16" t="n">
        <v>3</v>
      </c>
      <c r="H19" s="16" t="s">
        <v>202</v>
      </c>
      <c r="I19" s="16" t="s">
        <v>217</v>
      </c>
      <c r="J19" s="16" t="s">
        <v>218</v>
      </c>
      <c r="K19" s="16" t="n">
        <v>1</v>
      </c>
      <c r="L19" s="40" t="n">
        <f aca="false">(K19/$Q$7)*100</f>
        <v>0.0189753320683112</v>
      </c>
      <c r="M19" s="16" t="s">
        <v>201</v>
      </c>
      <c r="N19" s="16" t="n">
        <f aca="false">IFERROR(INDEX(BMWP_COL!$B$2:$B$103,MATCH($I19,BMWP_COL!$A$2:$A$103,0)),"No aplica")</f>
        <v>4</v>
      </c>
      <c r="O19" s="16"/>
    </row>
    <row r="20" customFormat="false" ht="14.25" hidden="false" customHeight="true" outlineLevel="0" collapsed="false">
      <c r="A20" s="39" t="n">
        <v>45625</v>
      </c>
      <c r="B20" s="16" t="s">
        <v>190</v>
      </c>
      <c r="C20" s="16" t="s">
        <v>15</v>
      </c>
      <c r="D20" s="16" t="s">
        <v>191</v>
      </c>
      <c r="E20" s="16" t="s">
        <v>192</v>
      </c>
      <c r="F20" s="16" t="s">
        <v>193</v>
      </c>
      <c r="G20" s="16" t="n">
        <v>3</v>
      </c>
      <c r="H20" s="16" t="s">
        <v>219</v>
      </c>
      <c r="I20" s="16" t="s">
        <v>220</v>
      </c>
      <c r="J20" s="16" t="s">
        <v>221</v>
      </c>
      <c r="K20" s="16" t="n">
        <v>3</v>
      </c>
      <c r="L20" s="40" t="n">
        <f aca="false">(K20/$Q$7)*100</f>
        <v>0.0569259962049336</v>
      </c>
      <c r="M20" s="16" t="s">
        <v>197</v>
      </c>
      <c r="N20" s="16" t="n">
        <f aca="false">IFERROR(INDEX(BMWP_COL!$B$2:$B$103,MATCH($I20,BMWP_COL!$A$2:$A$103,0)),"No aplica")</f>
        <v>6</v>
      </c>
      <c r="O20" s="16"/>
    </row>
    <row r="21" customFormat="false" ht="14.25" hidden="false" customHeight="true" outlineLevel="0" collapsed="false">
      <c r="A21" s="39" t="n">
        <v>45625</v>
      </c>
      <c r="B21" s="16" t="s">
        <v>190</v>
      </c>
      <c r="C21" s="16" t="s">
        <v>15</v>
      </c>
      <c r="D21" s="16" t="s">
        <v>191</v>
      </c>
      <c r="E21" s="16" t="s">
        <v>192</v>
      </c>
      <c r="F21" s="16" t="s">
        <v>222</v>
      </c>
      <c r="G21" s="16" t="n">
        <v>1</v>
      </c>
      <c r="H21" s="16" t="s">
        <v>198</v>
      </c>
      <c r="I21" s="16" t="s">
        <v>199</v>
      </c>
      <c r="J21" s="16" t="s">
        <v>200</v>
      </c>
      <c r="K21" s="16" t="n">
        <v>1</v>
      </c>
      <c r="L21" s="40" t="n">
        <f aca="false">(K21/$Q$7)*100</f>
        <v>0.0189753320683112</v>
      </c>
      <c r="M21" s="16" t="s">
        <v>201</v>
      </c>
      <c r="N21" s="16" t="n">
        <f aca="false">IFERROR(INDEX(BMWP_COL!$B$2:$B$103,MATCH($I21,BMWP_COL!$A$2:$A$103,0)),"No aplica")</f>
        <v>7</v>
      </c>
      <c r="O21" s="16"/>
    </row>
    <row r="22" customFormat="false" ht="14.25" hidden="false" customHeight="true" outlineLevel="0" collapsed="false">
      <c r="A22" s="39" t="n">
        <v>45625</v>
      </c>
      <c r="B22" s="16" t="s">
        <v>190</v>
      </c>
      <c r="C22" s="16" t="s">
        <v>15</v>
      </c>
      <c r="D22" s="16" t="s">
        <v>191</v>
      </c>
      <c r="E22" s="16" t="s">
        <v>192</v>
      </c>
      <c r="F22" s="16" t="s">
        <v>222</v>
      </c>
      <c r="G22" s="16" t="n">
        <v>1</v>
      </c>
      <c r="H22" s="16" t="s">
        <v>219</v>
      </c>
      <c r="I22" s="16" t="s">
        <v>220</v>
      </c>
      <c r="J22" s="16" t="s">
        <v>221</v>
      </c>
      <c r="K22" s="16" t="n">
        <v>11</v>
      </c>
      <c r="L22" s="40" t="n">
        <f aca="false">(K22/$Q$7)*100</f>
        <v>0.208728652751423</v>
      </c>
      <c r="M22" s="16" t="s">
        <v>197</v>
      </c>
      <c r="N22" s="16" t="n">
        <f aca="false">IFERROR(INDEX(BMWP_COL!$B$2:$B$103,MATCH($I22,BMWP_COL!$A$2:$A$103,0)),"No aplica")</f>
        <v>6</v>
      </c>
      <c r="O22" s="16"/>
    </row>
    <row r="23" customFormat="false" ht="15" hidden="false" customHeight="true" outlineLevel="0" collapsed="false">
      <c r="A23" s="39" t="n">
        <v>45625</v>
      </c>
      <c r="B23" s="16" t="s">
        <v>190</v>
      </c>
      <c r="C23" s="16" t="s">
        <v>15</v>
      </c>
      <c r="D23" s="16" t="s">
        <v>191</v>
      </c>
      <c r="E23" s="16" t="s">
        <v>192</v>
      </c>
      <c r="F23" s="16" t="s">
        <v>222</v>
      </c>
      <c r="G23" s="16" t="n">
        <v>1</v>
      </c>
      <c r="H23" s="16" t="s">
        <v>208</v>
      </c>
      <c r="I23" s="16" t="s">
        <v>209</v>
      </c>
      <c r="J23" s="16" t="s">
        <v>212</v>
      </c>
      <c r="K23" s="16" t="n">
        <v>4</v>
      </c>
      <c r="L23" s="40" t="n">
        <f aca="false">(K23/$Q$7)*100</f>
        <v>0.0759013282732448</v>
      </c>
      <c r="M23" s="16" t="s">
        <v>197</v>
      </c>
      <c r="N23" s="16" t="n">
        <f aca="false">IFERROR(INDEX(BMWP_COL!$B$2:$B$103,MATCH($I23,BMWP_COL!$A$2:$A$103,0)),"No aplica")</f>
        <v>7</v>
      </c>
      <c r="O23" s="16"/>
    </row>
    <row r="24" customFormat="false" ht="14.25" hidden="false" customHeight="true" outlineLevel="0" collapsed="false">
      <c r="A24" s="39" t="n">
        <v>45625</v>
      </c>
      <c r="B24" s="16" t="s">
        <v>190</v>
      </c>
      <c r="C24" s="16" t="s">
        <v>15</v>
      </c>
      <c r="D24" s="16" t="s">
        <v>191</v>
      </c>
      <c r="E24" s="16" t="s">
        <v>192</v>
      </c>
      <c r="F24" s="16" t="s">
        <v>222</v>
      </c>
      <c r="G24" s="16" t="n">
        <v>1</v>
      </c>
      <c r="H24" s="16" t="s">
        <v>194</v>
      </c>
      <c r="I24" s="16" t="s">
        <v>223</v>
      </c>
      <c r="J24" s="16" t="s">
        <v>224</v>
      </c>
      <c r="K24" s="16" t="n">
        <v>3</v>
      </c>
      <c r="L24" s="40" t="n">
        <f aca="false">(K24/$Q$7)*100</f>
        <v>0.0569259962049336</v>
      </c>
      <c r="M24" s="16" t="s">
        <v>225</v>
      </c>
      <c r="N24" s="16" t="n">
        <f aca="false">IFERROR(INDEX(BMWP_COL!$B$2:$B$103,MATCH($I24,BMWP_COL!$A$2:$A$103,0)),"No aplica")</f>
        <v>7</v>
      </c>
      <c r="O24" s="16"/>
    </row>
    <row r="25" customFormat="false" ht="14.25" hidden="false" customHeight="true" outlineLevel="0" collapsed="false">
      <c r="A25" s="39" t="n">
        <v>45625</v>
      </c>
      <c r="B25" s="16" t="s">
        <v>190</v>
      </c>
      <c r="C25" s="16" t="s">
        <v>15</v>
      </c>
      <c r="D25" s="16" t="s">
        <v>191</v>
      </c>
      <c r="E25" s="16" t="s">
        <v>192</v>
      </c>
      <c r="F25" s="16" t="s">
        <v>222</v>
      </c>
      <c r="G25" s="16" t="n">
        <v>1</v>
      </c>
      <c r="H25" s="16" t="s">
        <v>208</v>
      </c>
      <c r="I25" s="16" t="s">
        <v>226</v>
      </c>
      <c r="J25" s="16" t="s">
        <v>227</v>
      </c>
      <c r="K25" s="16" t="n">
        <v>6</v>
      </c>
      <c r="L25" s="40" t="n">
        <f aca="false">(K25/$Q$7)*100</f>
        <v>0.113851992409867</v>
      </c>
      <c r="M25" s="16" t="s">
        <v>197</v>
      </c>
      <c r="N25" s="16" t="n">
        <f aca="false">IFERROR(INDEX(BMWP_COL!$B$2:$B$103,MATCH($I25,BMWP_COL!$A$2:$A$103,0)),"No aplica")</f>
        <v>7</v>
      </c>
      <c r="O25" s="16"/>
    </row>
    <row r="26" customFormat="false" ht="14.25" hidden="false" customHeight="true" outlineLevel="0" collapsed="false">
      <c r="A26" s="39" t="n">
        <v>45625</v>
      </c>
      <c r="B26" s="16" t="s">
        <v>190</v>
      </c>
      <c r="C26" s="16" t="s">
        <v>15</v>
      </c>
      <c r="D26" s="16" t="s">
        <v>191</v>
      </c>
      <c r="E26" s="16" t="s">
        <v>192</v>
      </c>
      <c r="F26" s="16" t="s">
        <v>222</v>
      </c>
      <c r="G26" s="16" t="n">
        <v>1</v>
      </c>
      <c r="H26" s="16" t="s">
        <v>202</v>
      </c>
      <c r="I26" s="16" t="s">
        <v>228</v>
      </c>
      <c r="J26" s="16" t="s">
        <v>229</v>
      </c>
      <c r="K26" s="16" t="n">
        <v>2</v>
      </c>
      <c r="L26" s="40" t="n">
        <f aca="false">(K26/$Q$7)*100</f>
        <v>0.0379506641366224</v>
      </c>
      <c r="M26" s="16" t="s">
        <v>230</v>
      </c>
      <c r="N26" s="16" t="n">
        <f aca="false">IFERROR(INDEX(BMWP_COL!$B$2:$B$103,MATCH($I26,BMWP_COL!$A$2:$A$103,0)),"No aplica")</f>
        <v>8</v>
      </c>
      <c r="O26" s="16"/>
    </row>
    <row r="27" customFormat="false" ht="14.25" hidden="false" customHeight="true" outlineLevel="0" collapsed="false">
      <c r="A27" s="39" t="n">
        <v>45625</v>
      </c>
      <c r="B27" s="16" t="s">
        <v>190</v>
      </c>
      <c r="C27" s="16" t="s">
        <v>15</v>
      </c>
      <c r="D27" s="16" t="s">
        <v>191</v>
      </c>
      <c r="E27" s="16" t="s">
        <v>192</v>
      </c>
      <c r="F27" s="16" t="s">
        <v>222</v>
      </c>
      <c r="G27" s="16" t="n">
        <v>1</v>
      </c>
      <c r="H27" s="16" t="s">
        <v>194</v>
      </c>
      <c r="I27" s="16" t="s">
        <v>195</v>
      </c>
      <c r="J27" s="16" t="s">
        <v>196</v>
      </c>
      <c r="K27" s="16" t="n">
        <v>1</v>
      </c>
      <c r="L27" s="40" t="n">
        <f aca="false">(K27/$Q$7)*100</f>
        <v>0.0189753320683112</v>
      </c>
      <c r="M27" s="16" t="s">
        <v>197</v>
      </c>
      <c r="N27" s="16" t="n">
        <f aca="false">IFERROR(INDEX(BMWP_COL!$B$2:$B$103,MATCH($I27,BMWP_COL!$A$2:$A$103,0)),"No aplica")</f>
        <v>8</v>
      </c>
      <c r="O27" s="16"/>
    </row>
    <row r="28" customFormat="false" ht="14.25" hidden="false" customHeight="true" outlineLevel="0" collapsed="false">
      <c r="A28" s="39" t="n">
        <v>45625</v>
      </c>
      <c r="B28" s="16" t="s">
        <v>190</v>
      </c>
      <c r="C28" s="16" t="s">
        <v>15</v>
      </c>
      <c r="D28" s="16" t="s">
        <v>191</v>
      </c>
      <c r="E28" s="16" t="s">
        <v>192</v>
      </c>
      <c r="F28" s="16" t="s">
        <v>222</v>
      </c>
      <c r="G28" s="16" t="n">
        <v>1</v>
      </c>
      <c r="H28" s="16" t="s">
        <v>231</v>
      </c>
      <c r="I28" s="16" t="s">
        <v>232</v>
      </c>
      <c r="J28" s="16" t="s">
        <v>233</v>
      </c>
      <c r="K28" s="16" t="n">
        <v>1</v>
      </c>
      <c r="L28" s="40" t="n">
        <f aca="false">(K28/$Q$7)*100</f>
        <v>0.0189753320683112</v>
      </c>
      <c r="M28" s="16" t="s">
        <v>201</v>
      </c>
      <c r="N28" s="16" t="n">
        <f aca="false">IFERROR(INDEX(BMWP_COL!$B$2:$B$103,MATCH($I28,BMWP_COL!$A$2:$A$103,0)),"No aplica")</f>
        <v>6</v>
      </c>
      <c r="O28" s="16"/>
    </row>
    <row r="29" customFormat="false" ht="14.25" hidden="false" customHeight="true" outlineLevel="0" collapsed="false">
      <c r="A29" s="39" t="n">
        <v>45625</v>
      </c>
      <c r="B29" s="16" t="s">
        <v>190</v>
      </c>
      <c r="C29" s="16" t="s">
        <v>15</v>
      </c>
      <c r="D29" s="16" t="s">
        <v>191</v>
      </c>
      <c r="E29" s="16" t="s">
        <v>192</v>
      </c>
      <c r="F29" s="16" t="s">
        <v>222</v>
      </c>
      <c r="G29" s="16" t="n">
        <v>1</v>
      </c>
      <c r="H29" s="16" t="s">
        <v>194</v>
      </c>
      <c r="I29" s="16" t="s">
        <v>223</v>
      </c>
      <c r="J29" s="16" t="s">
        <v>234</v>
      </c>
      <c r="K29" s="16" t="n">
        <v>1</v>
      </c>
      <c r="L29" s="40" t="n">
        <f aca="false">(K29/$Q$7)*100</f>
        <v>0.0189753320683112</v>
      </c>
      <c r="M29" s="16" t="s">
        <v>225</v>
      </c>
      <c r="N29" s="16" t="n">
        <f aca="false">IFERROR(INDEX(BMWP_COL!$B$2:$B$103,MATCH($I29,BMWP_COL!$A$2:$A$103,0)),"No aplica")</f>
        <v>7</v>
      </c>
      <c r="O29" s="16"/>
    </row>
    <row r="30" customFormat="false" ht="14.25" hidden="false" customHeight="true" outlineLevel="0" collapsed="false">
      <c r="A30" s="39" t="n">
        <v>45625</v>
      </c>
      <c r="B30" s="16" t="s">
        <v>190</v>
      </c>
      <c r="C30" s="16" t="s">
        <v>15</v>
      </c>
      <c r="D30" s="16" t="s">
        <v>191</v>
      </c>
      <c r="E30" s="16" t="s">
        <v>192</v>
      </c>
      <c r="F30" s="16" t="s">
        <v>222</v>
      </c>
      <c r="G30" s="16" t="n">
        <v>1</v>
      </c>
      <c r="H30" s="16" t="s">
        <v>198</v>
      </c>
      <c r="I30" s="16" t="s">
        <v>235</v>
      </c>
      <c r="J30" s="16" t="s">
        <v>236</v>
      </c>
      <c r="K30" s="16" t="n">
        <v>1</v>
      </c>
      <c r="L30" s="40" t="n">
        <f aca="false">(K30/$Q$7)*100</f>
        <v>0.0189753320683112</v>
      </c>
      <c r="M30" s="16" t="s">
        <v>201</v>
      </c>
      <c r="N30" s="16" t="n">
        <f aca="false">IFERROR(INDEX(BMWP_COL!$B$2:$B$103,MATCH($I30,BMWP_COL!$A$2:$A$103,0)),"No aplica")</f>
        <v>5</v>
      </c>
      <c r="O30" s="16"/>
    </row>
    <row r="31" customFormat="false" ht="14.25" hidden="false" customHeight="true" outlineLevel="0" collapsed="false">
      <c r="A31" s="39" t="n">
        <v>45625</v>
      </c>
      <c r="B31" s="16" t="s">
        <v>190</v>
      </c>
      <c r="C31" s="16" t="s">
        <v>15</v>
      </c>
      <c r="D31" s="16" t="s">
        <v>191</v>
      </c>
      <c r="E31" s="16" t="s">
        <v>192</v>
      </c>
      <c r="F31" s="16" t="s">
        <v>222</v>
      </c>
      <c r="G31" s="16" t="n">
        <v>2</v>
      </c>
      <c r="H31" s="16" t="s">
        <v>198</v>
      </c>
      <c r="I31" s="16" t="s">
        <v>199</v>
      </c>
      <c r="J31" s="16" t="s">
        <v>200</v>
      </c>
      <c r="K31" s="16" t="n">
        <v>11</v>
      </c>
      <c r="L31" s="40" t="n">
        <f aca="false">(K31/$Q$7)*100</f>
        <v>0.208728652751423</v>
      </c>
      <c r="M31" s="16" t="s">
        <v>201</v>
      </c>
      <c r="N31" s="16" t="n">
        <f aca="false">IFERROR(INDEX(BMWP_COL!$B$2:$B$103,MATCH($I31,BMWP_COL!$A$2:$A$103,0)),"No aplica")</f>
        <v>7</v>
      </c>
      <c r="O31" s="16"/>
    </row>
    <row r="32" customFormat="false" ht="14.25" hidden="false" customHeight="true" outlineLevel="0" collapsed="false">
      <c r="A32" s="39" t="n">
        <v>45625</v>
      </c>
      <c r="B32" s="16" t="s">
        <v>190</v>
      </c>
      <c r="C32" s="16" t="s">
        <v>15</v>
      </c>
      <c r="D32" s="16" t="s">
        <v>191</v>
      </c>
      <c r="E32" s="16" t="s">
        <v>192</v>
      </c>
      <c r="F32" s="16" t="s">
        <v>222</v>
      </c>
      <c r="G32" s="16" t="n">
        <v>2</v>
      </c>
      <c r="H32" s="16" t="s">
        <v>198</v>
      </c>
      <c r="I32" s="16" t="s">
        <v>199</v>
      </c>
      <c r="J32" s="16" t="s">
        <v>237</v>
      </c>
      <c r="K32" s="16" t="n">
        <v>1</v>
      </c>
      <c r="L32" s="40" t="n">
        <f aca="false">(K32/$Q$7)*100</f>
        <v>0.0189753320683112</v>
      </c>
      <c r="M32" s="16" t="s">
        <v>201</v>
      </c>
      <c r="N32" s="16" t="n">
        <f aca="false">IFERROR(INDEX(BMWP_COL!$B$2:$B$103,MATCH($I32,BMWP_COL!$A$2:$A$103,0)),"No aplica")</f>
        <v>7</v>
      </c>
      <c r="O32" s="16"/>
    </row>
    <row r="33" customFormat="false" ht="14.25" hidden="false" customHeight="true" outlineLevel="0" collapsed="false">
      <c r="A33" s="39" t="n">
        <v>45625</v>
      </c>
      <c r="B33" s="16" t="s">
        <v>190</v>
      </c>
      <c r="C33" s="16" t="s">
        <v>15</v>
      </c>
      <c r="D33" s="16" t="s">
        <v>191</v>
      </c>
      <c r="E33" s="16" t="s">
        <v>192</v>
      </c>
      <c r="F33" s="16" t="s">
        <v>222</v>
      </c>
      <c r="G33" s="16" t="n">
        <v>2</v>
      </c>
      <c r="H33" s="16" t="s">
        <v>194</v>
      </c>
      <c r="I33" s="16" t="s">
        <v>238</v>
      </c>
      <c r="J33" s="16" t="s">
        <v>239</v>
      </c>
      <c r="K33" s="16" t="n">
        <v>4</v>
      </c>
      <c r="L33" s="40" t="n">
        <f aca="false">(K33/$Q$7)*100</f>
        <v>0.0759013282732448</v>
      </c>
      <c r="M33" s="16" t="s">
        <v>225</v>
      </c>
      <c r="N33" s="16" t="n">
        <f aca="false">IFERROR(INDEX(BMWP_COL!$B$2:$B$103,MATCH($I33,BMWP_COL!$A$2:$A$103,0)),"No aplica")</f>
        <v>10</v>
      </c>
      <c r="O33" s="16"/>
    </row>
    <row r="34" customFormat="false" ht="14.25" hidden="false" customHeight="true" outlineLevel="0" collapsed="false">
      <c r="A34" s="39" t="n">
        <v>45625</v>
      </c>
      <c r="B34" s="16" t="s">
        <v>190</v>
      </c>
      <c r="C34" s="16" t="s">
        <v>15</v>
      </c>
      <c r="D34" s="16" t="s">
        <v>191</v>
      </c>
      <c r="E34" s="16" t="s">
        <v>192</v>
      </c>
      <c r="F34" s="16" t="s">
        <v>222</v>
      </c>
      <c r="G34" s="16" t="n">
        <v>2</v>
      </c>
      <c r="H34" s="16" t="s">
        <v>240</v>
      </c>
      <c r="I34" s="16" t="s">
        <v>241</v>
      </c>
      <c r="J34" s="16" t="s">
        <v>242</v>
      </c>
      <c r="K34" s="16" t="n">
        <v>3</v>
      </c>
      <c r="L34" s="40" t="n">
        <f aca="false">(K34/$Q$7)*100</f>
        <v>0.0569259962049336</v>
      </c>
      <c r="M34" s="16" t="s">
        <v>211</v>
      </c>
      <c r="N34" s="16" t="n">
        <f aca="false">IFERROR(INDEX(BMWP_COL!$B$2:$B$103,MATCH($I34,BMWP_COL!$A$2:$A$103,0)),"No aplica")</f>
        <v>5</v>
      </c>
      <c r="O34" s="16"/>
    </row>
    <row r="35" customFormat="false" ht="14.25" hidden="false" customHeight="true" outlineLevel="0" collapsed="false">
      <c r="A35" s="39" t="n">
        <v>45625</v>
      </c>
      <c r="B35" s="16" t="s">
        <v>190</v>
      </c>
      <c r="C35" s="16" t="s">
        <v>15</v>
      </c>
      <c r="D35" s="16" t="s">
        <v>191</v>
      </c>
      <c r="E35" s="16" t="s">
        <v>192</v>
      </c>
      <c r="F35" s="16" t="s">
        <v>222</v>
      </c>
      <c r="G35" s="16" t="n">
        <v>2</v>
      </c>
      <c r="H35" s="16" t="s">
        <v>219</v>
      </c>
      <c r="I35" s="16" t="s">
        <v>220</v>
      </c>
      <c r="J35" s="16" t="s">
        <v>221</v>
      </c>
      <c r="K35" s="16" t="n">
        <v>11</v>
      </c>
      <c r="L35" s="40" t="n">
        <f aca="false">(K35/$Q$7)*100</f>
        <v>0.208728652751423</v>
      </c>
      <c r="M35" s="16" t="s">
        <v>197</v>
      </c>
      <c r="N35" s="16" t="n">
        <f aca="false">IFERROR(INDEX(BMWP_COL!$B$2:$B$103,MATCH($I35,BMWP_COL!$A$2:$A$103,0)),"No aplica")</f>
        <v>6</v>
      </c>
      <c r="O35" s="16"/>
    </row>
    <row r="36" customFormat="false" ht="14.25" hidden="false" customHeight="true" outlineLevel="0" collapsed="false">
      <c r="A36" s="39" t="n">
        <v>45625</v>
      </c>
      <c r="B36" s="16" t="s">
        <v>190</v>
      </c>
      <c r="C36" s="16" t="s">
        <v>15</v>
      </c>
      <c r="D36" s="16" t="s">
        <v>191</v>
      </c>
      <c r="E36" s="16" t="s">
        <v>192</v>
      </c>
      <c r="F36" s="16" t="s">
        <v>222</v>
      </c>
      <c r="G36" s="16" t="n">
        <v>2</v>
      </c>
      <c r="H36" s="16" t="s">
        <v>231</v>
      </c>
      <c r="I36" s="16" t="s">
        <v>232</v>
      </c>
      <c r="J36" s="16" t="s">
        <v>233</v>
      </c>
      <c r="K36" s="16" t="n">
        <v>2</v>
      </c>
      <c r="L36" s="40" t="n">
        <f aca="false">(K36/$Q$7)*100</f>
        <v>0.0379506641366224</v>
      </c>
      <c r="M36" s="16" t="s">
        <v>201</v>
      </c>
      <c r="N36" s="16" t="n">
        <f aca="false">IFERROR(INDEX(BMWP_COL!$B$2:$B$103,MATCH($I36,BMWP_COL!$A$2:$A$103,0)),"No aplica")</f>
        <v>6</v>
      </c>
      <c r="O36" s="16"/>
    </row>
    <row r="37" customFormat="false" ht="14.25" hidden="false" customHeight="true" outlineLevel="0" collapsed="false">
      <c r="A37" s="39" t="n">
        <v>45625</v>
      </c>
      <c r="B37" s="16" t="s">
        <v>190</v>
      </c>
      <c r="C37" s="16" t="s">
        <v>15</v>
      </c>
      <c r="D37" s="16" t="s">
        <v>191</v>
      </c>
      <c r="E37" s="16" t="s">
        <v>192</v>
      </c>
      <c r="F37" s="16" t="s">
        <v>222</v>
      </c>
      <c r="G37" s="16" t="n">
        <v>2</v>
      </c>
      <c r="H37" s="16" t="s">
        <v>194</v>
      </c>
      <c r="I37" s="16" t="s">
        <v>195</v>
      </c>
      <c r="J37" s="16" t="s">
        <v>196</v>
      </c>
      <c r="K37" s="16" t="n">
        <v>1</v>
      </c>
      <c r="L37" s="40" t="n">
        <f aca="false">(K37/$Q$7)*100</f>
        <v>0.0189753320683112</v>
      </c>
      <c r="M37" s="16" t="s">
        <v>197</v>
      </c>
      <c r="N37" s="16" t="n">
        <f aca="false">IFERROR(INDEX(BMWP_COL!$B$2:$B$103,MATCH($I37,BMWP_COL!$A$2:$A$103,0)),"No aplica")</f>
        <v>8</v>
      </c>
      <c r="O37" s="16"/>
    </row>
    <row r="38" customFormat="false" ht="14.25" hidden="false" customHeight="true" outlineLevel="0" collapsed="false">
      <c r="A38" s="39" t="n">
        <v>45625</v>
      </c>
      <c r="B38" s="16" t="s">
        <v>190</v>
      </c>
      <c r="C38" s="16" t="s">
        <v>15</v>
      </c>
      <c r="D38" s="16" t="s">
        <v>191</v>
      </c>
      <c r="E38" s="16" t="s">
        <v>192</v>
      </c>
      <c r="F38" s="16" t="s">
        <v>222</v>
      </c>
      <c r="G38" s="16" t="n">
        <v>2</v>
      </c>
      <c r="H38" s="16" t="s">
        <v>214</v>
      </c>
      <c r="I38" s="16" t="s">
        <v>243</v>
      </c>
      <c r="J38" s="16" t="s">
        <v>244</v>
      </c>
      <c r="K38" s="16" t="n">
        <v>1</v>
      </c>
      <c r="L38" s="40" t="n">
        <f aca="false">(K38/$Q$7)*100</f>
        <v>0.0189753320683112</v>
      </c>
      <c r="M38" s="16" t="s">
        <v>201</v>
      </c>
      <c r="N38" s="16" t="n">
        <f aca="false">IFERROR(INDEX(BMWP_COL!$B$2:$B$103,MATCH($I38,BMWP_COL!$A$2:$A$103,0)),"No aplica")</f>
        <v>7</v>
      </c>
      <c r="O38" s="16"/>
    </row>
    <row r="39" customFormat="false" ht="14.25" hidden="false" customHeight="true" outlineLevel="0" collapsed="false">
      <c r="A39" s="39" t="n">
        <v>45625</v>
      </c>
      <c r="B39" s="16" t="s">
        <v>190</v>
      </c>
      <c r="C39" s="16" t="s">
        <v>15</v>
      </c>
      <c r="D39" s="16" t="s">
        <v>191</v>
      </c>
      <c r="E39" s="16" t="s">
        <v>192</v>
      </c>
      <c r="F39" s="16" t="s">
        <v>222</v>
      </c>
      <c r="G39" s="16" t="n">
        <v>2</v>
      </c>
      <c r="H39" s="16" t="s">
        <v>245</v>
      </c>
      <c r="I39" s="16" t="s">
        <v>246</v>
      </c>
      <c r="J39" s="16" t="s">
        <v>246</v>
      </c>
      <c r="K39" s="16" t="n">
        <v>1</v>
      </c>
      <c r="L39" s="40" t="n">
        <f aca="false">(K39/$Q$7)*100</f>
        <v>0.0189753320683112</v>
      </c>
      <c r="M39" s="16" t="s">
        <v>201</v>
      </c>
      <c r="N39" s="16" t="n">
        <f aca="false">IFERROR(INDEX(BMWP_COL!$B$2:$B$103,MATCH($I39,BMWP_COL!$A$2:$A$103,0)),"No aplica")</f>
        <v>5</v>
      </c>
      <c r="O39" s="16"/>
    </row>
    <row r="40" customFormat="false" ht="14.25" hidden="false" customHeight="true" outlineLevel="0" collapsed="false">
      <c r="A40" s="39" t="n">
        <v>45625</v>
      </c>
      <c r="B40" s="16" t="s">
        <v>190</v>
      </c>
      <c r="C40" s="16" t="s">
        <v>15</v>
      </c>
      <c r="D40" s="16" t="s">
        <v>191</v>
      </c>
      <c r="E40" s="16" t="s">
        <v>192</v>
      </c>
      <c r="F40" s="16" t="s">
        <v>222</v>
      </c>
      <c r="G40" s="16" t="n">
        <v>2</v>
      </c>
      <c r="H40" s="16" t="s">
        <v>202</v>
      </c>
      <c r="I40" s="16" t="s">
        <v>203</v>
      </c>
      <c r="J40" s="41" t="s">
        <v>204</v>
      </c>
      <c r="K40" s="16" t="n">
        <v>1</v>
      </c>
      <c r="L40" s="40" t="n">
        <f aca="false">(K40/$Q$7)*100</f>
        <v>0.0189753320683112</v>
      </c>
      <c r="M40" s="16" t="s">
        <v>197</v>
      </c>
      <c r="N40" s="16" t="n">
        <f aca="false">IFERROR(INDEX(BMWP_COL!$B$2:$B$103,MATCH($I40,BMWP_COL!$A$2:$A$103,0)),"No aplica")</f>
        <v>2</v>
      </c>
      <c r="O40" s="16"/>
    </row>
    <row r="41" customFormat="false" ht="14.25" hidden="false" customHeight="true" outlineLevel="0" collapsed="false">
      <c r="A41" s="39" t="n">
        <v>45625</v>
      </c>
      <c r="B41" s="16" t="s">
        <v>190</v>
      </c>
      <c r="C41" s="16" t="s">
        <v>15</v>
      </c>
      <c r="D41" s="16" t="s">
        <v>191</v>
      </c>
      <c r="E41" s="16" t="s">
        <v>192</v>
      </c>
      <c r="F41" s="16" t="s">
        <v>222</v>
      </c>
      <c r="G41" s="16" t="n">
        <v>2</v>
      </c>
      <c r="H41" s="16" t="s">
        <v>208</v>
      </c>
      <c r="I41" s="16" t="s">
        <v>247</v>
      </c>
      <c r="J41" s="16" t="s">
        <v>248</v>
      </c>
      <c r="K41" s="16" t="n">
        <v>3</v>
      </c>
      <c r="L41" s="40" t="n">
        <f aca="false">(K41/$Q$7)*100</f>
        <v>0.0569259962049336</v>
      </c>
      <c r="M41" s="16" t="s">
        <v>197</v>
      </c>
      <c r="N41" s="16" t="n">
        <f aca="false">IFERROR(INDEX(BMWP_COL!$B$2:$B$103,MATCH($I41,BMWP_COL!$A$2:$A$103,0)),"No aplica")</f>
        <v>9</v>
      </c>
      <c r="O41" s="16"/>
    </row>
    <row r="42" customFormat="false" ht="14.25" hidden="false" customHeight="true" outlineLevel="0" collapsed="false">
      <c r="A42" s="39" t="n">
        <v>45625</v>
      </c>
      <c r="B42" s="16" t="s">
        <v>190</v>
      </c>
      <c r="C42" s="16" t="s">
        <v>15</v>
      </c>
      <c r="D42" s="16" t="s">
        <v>191</v>
      </c>
      <c r="E42" s="16" t="s">
        <v>192</v>
      </c>
      <c r="F42" s="16" t="s">
        <v>222</v>
      </c>
      <c r="G42" s="16" t="n">
        <v>2</v>
      </c>
      <c r="H42" s="16" t="s">
        <v>208</v>
      </c>
      <c r="I42" s="16" t="s">
        <v>226</v>
      </c>
      <c r="J42" s="16" t="s">
        <v>227</v>
      </c>
      <c r="K42" s="16" t="n">
        <v>4</v>
      </c>
      <c r="L42" s="40" t="n">
        <f aca="false">(K42/$Q$7)*100</f>
        <v>0.0759013282732448</v>
      </c>
      <c r="M42" s="16" t="s">
        <v>197</v>
      </c>
      <c r="N42" s="16" t="n">
        <f aca="false">IFERROR(INDEX(BMWP_COL!$B$2:$B$103,MATCH($I42,BMWP_COL!$A$2:$A$103,0)),"No aplica")</f>
        <v>7</v>
      </c>
      <c r="O42" s="16"/>
    </row>
    <row r="43" customFormat="false" ht="14.25" hidden="false" customHeight="true" outlineLevel="0" collapsed="false">
      <c r="A43" s="39" t="n">
        <v>45625</v>
      </c>
      <c r="B43" s="16" t="s">
        <v>190</v>
      </c>
      <c r="C43" s="16" t="s">
        <v>15</v>
      </c>
      <c r="D43" s="16" t="s">
        <v>191</v>
      </c>
      <c r="E43" s="16" t="s">
        <v>192</v>
      </c>
      <c r="F43" s="16" t="s">
        <v>222</v>
      </c>
      <c r="G43" s="16" t="n">
        <v>2</v>
      </c>
      <c r="H43" s="16" t="s">
        <v>214</v>
      </c>
      <c r="I43" s="16" t="s">
        <v>215</v>
      </c>
      <c r="J43" s="16" t="s">
        <v>216</v>
      </c>
      <c r="K43" s="16" t="n">
        <v>1</v>
      </c>
      <c r="L43" s="40" t="n">
        <f aca="false">(K43/$Q$7)*100</f>
        <v>0.0189753320683112</v>
      </c>
      <c r="M43" s="16" t="s">
        <v>201</v>
      </c>
      <c r="N43" s="16" t="n">
        <f aca="false">IFERROR(INDEX(BMWP_COL!$B$2:$B$103,MATCH($I43,BMWP_COL!$A$2:$A$103,0)),"No aplica")</f>
        <v>10</v>
      </c>
      <c r="O43" s="16"/>
    </row>
    <row r="44" customFormat="false" ht="14.25" hidden="false" customHeight="true" outlineLevel="0" collapsed="false">
      <c r="A44" s="39" t="n">
        <v>45625</v>
      </c>
      <c r="B44" s="16" t="s">
        <v>190</v>
      </c>
      <c r="C44" s="16" t="s">
        <v>15</v>
      </c>
      <c r="D44" s="16" t="s">
        <v>191</v>
      </c>
      <c r="E44" s="16" t="s">
        <v>192</v>
      </c>
      <c r="F44" s="16" t="s">
        <v>222</v>
      </c>
      <c r="G44" s="16" t="n">
        <v>2</v>
      </c>
      <c r="H44" s="16" t="s">
        <v>249</v>
      </c>
      <c r="I44" s="16" t="s">
        <v>250</v>
      </c>
      <c r="J44" s="16" t="s">
        <v>251</v>
      </c>
      <c r="K44" s="16" t="n">
        <v>2</v>
      </c>
      <c r="L44" s="40" t="n">
        <f aca="false">(K44/$Q$7)*100</f>
        <v>0.0379506641366224</v>
      </c>
      <c r="M44" s="16" t="s">
        <v>201</v>
      </c>
      <c r="N44" s="16" t="n">
        <f aca="false">IFERROR(INDEX(BMWP_COL!$B$2:$B$103,MATCH($I44,BMWP_COL!$A$2:$A$103,0)),"No aplica")</f>
        <v>10</v>
      </c>
      <c r="O44" s="16"/>
    </row>
    <row r="45" customFormat="false" ht="14.25" hidden="false" customHeight="true" outlineLevel="0" collapsed="false">
      <c r="A45" s="39" t="n">
        <v>45625</v>
      </c>
      <c r="B45" s="16" t="s">
        <v>190</v>
      </c>
      <c r="C45" s="16" t="s">
        <v>15</v>
      </c>
      <c r="D45" s="16" t="s">
        <v>191</v>
      </c>
      <c r="E45" s="16" t="s">
        <v>192</v>
      </c>
      <c r="F45" s="16" t="s">
        <v>222</v>
      </c>
      <c r="G45" s="16" t="n">
        <v>2</v>
      </c>
      <c r="H45" s="16" t="s">
        <v>214</v>
      </c>
      <c r="I45" s="16" t="s">
        <v>252</v>
      </c>
      <c r="J45" s="16" t="s">
        <v>253</v>
      </c>
      <c r="K45" s="16" t="n">
        <v>2</v>
      </c>
      <c r="L45" s="40" t="n">
        <f aca="false">(K45/$Q$7)*100</f>
        <v>0.0379506641366224</v>
      </c>
      <c r="M45" s="16" t="s">
        <v>201</v>
      </c>
      <c r="N45" s="16" t="n">
        <f aca="false">IFERROR(INDEX(BMWP_COL!$B$2:$B$103,MATCH($I45,BMWP_COL!$A$2:$A$103,0)),"No aplica")</f>
        <v>6</v>
      </c>
      <c r="O45" s="16"/>
    </row>
    <row r="46" customFormat="false" ht="14.25" hidden="false" customHeight="true" outlineLevel="0" collapsed="false">
      <c r="A46" s="39" t="n">
        <v>45625</v>
      </c>
      <c r="B46" s="16" t="s">
        <v>190</v>
      </c>
      <c r="C46" s="16" t="s">
        <v>15</v>
      </c>
      <c r="D46" s="16" t="s">
        <v>191</v>
      </c>
      <c r="E46" s="16" t="s">
        <v>192</v>
      </c>
      <c r="F46" s="16" t="s">
        <v>222</v>
      </c>
      <c r="G46" s="16" t="n">
        <v>2</v>
      </c>
      <c r="H46" s="16" t="s">
        <v>198</v>
      </c>
      <c r="I46" s="16" t="s">
        <v>205</v>
      </c>
      <c r="J46" s="16" t="s">
        <v>206</v>
      </c>
      <c r="K46" s="16" t="n">
        <v>1</v>
      </c>
      <c r="L46" s="40" t="n">
        <f aca="false">(K46/$Q$7)*100</f>
        <v>0.0189753320683112</v>
      </c>
      <c r="M46" s="16" t="s">
        <v>201</v>
      </c>
      <c r="N46" s="16" t="n">
        <f aca="false">IFERROR(INDEX(BMWP_COL!$B$2:$B$103,MATCH($I46,BMWP_COL!$A$2:$A$103,0)),"No aplica")</f>
        <v>8</v>
      </c>
      <c r="O46" s="16"/>
    </row>
    <row r="47" customFormat="false" ht="14.25" hidden="false" customHeight="true" outlineLevel="0" collapsed="false">
      <c r="A47" s="39" t="n">
        <v>45625</v>
      </c>
      <c r="B47" s="16" t="s">
        <v>190</v>
      </c>
      <c r="C47" s="16" t="s">
        <v>15</v>
      </c>
      <c r="D47" s="16" t="s">
        <v>191</v>
      </c>
      <c r="E47" s="16" t="s">
        <v>192</v>
      </c>
      <c r="F47" s="16" t="s">
        <v>222</v>
      </c>
      <c r="G47" s="16" t="n">
        <v>2</v>
      </c>
      <c r="H47" s="16" t="s">
        <v>198</v>
      </c>
      <c r="I47" s="16" t="s">
        <v>199</v>
      </c>
      <c r="J47" s="16" t="s">
        <v>200</v>
      </c>
      <c r="K47" s="16" t="n">
        <v>2</v>
      </c>
      <c r="L47" s="40" t="n">
        <f aca="false">(K47/$Q$7)*100</f>
        <v>0.0379506641366224</v>
      </c>
      <c r="M47" s="16" t="s">
        <v>201</v>
      </c>
      <c r="N47" s="16" t="n">
        <f aca="false">IFERROR(INDEX(BMWP_COL!$B$2:$B$103,MATCH($I47,BMWP_COL!$A$2:$A$103,0)),"No aplica")</f>
        <v>7</v>
      </c>
      <c r="O47" s="16"/>
    </row>
    <row r="48" customFormat="false" ht="14.25" hidden="false" customHeight="true" outlineLevel="0" collapsed="false">
      <c r="A48" s="39" t="n">
        <v>45625</v>
      </c>
      <c r="B48" s="16" t="s">
        <v>190</v>
      </c>
      <c r="C48" s="16" t="s">
        <v>15</v>
      </c>
      <c r="D48" s="16" t="s">
        <v>191</v>
      </c>
      <c r="E48" s="16" t="s">
        <v>192</v>
      </c>
      <c r="F48" s="16" t="s">
        <v>222</v>
      </c>
      <c r="G48" s="16" t="n">
        <v>2</v>
      </c>
      <c r="H48" s="16" t="s">
        <v>198</v>
      </c>
      <c r="I48" s="16" t="s">
        <v>205</v>
      </c>
      <c r="J48" s="16" t="s">
        <v>207</v>
      </c>
      <c r="K48" s="16" t="n">
        <v>1</v>
      </c>
      <c r="L48" s="40" t="n">
        <f aca="false">(K48/$Q$7)*100</f>
        <v>0.0189753320683112</v>
      </c>
      <c r="M48" s="16" t="s">
        <v>201</v>
      </c>
      <c r="N48" s="16" t="n">
        <f aca="false">IFERROR(INDEX(BMWP_COL!$B$2:$B$103,MATCH($I48,BMWP_COL!$A$2:$A$103,0)),"No aplica")</f>
        <v>8</v>
      </c>
      <c r="O48" s="16"/>
    </row>
    <row r="49" customFormat="false" ht="14.25" hidden="false" customHeight="true" outlineLevel="0" collapsed="false">
      <c r="A49" s="39" t="n">
        <v>45625</v>
      </c>
      <c r="B49" s="16" t="s">
        <v>190</v>
      </c>
      <c r="C49" s="16" t="s">
        <v>15</v>
      </c>
      <c r="D49" s="16" t="s">
        <v>191</v>
      </c>
      <c r="E49" s="16" t="s">
        <v>192</v>
      </c>
      <c r="F49" s="16" t="s">
        <v>222</v>
      </c>
      <c r="G49" s="16" t="n">
        <v>2</v>
      </c>
      <c r="H49" s="16" t="s">
        <v>202</v>
      </c>
      <c r="I49" s="16" t="s">
        <v>203</v>
      </c>
      <c r="J49" s="41" t="s">
        <v>204</v>
      </c>
      <c r="K49" s="16" t="n">
        <v>1</v>
      </c>
      <c r="L49" s="40" t="n">
        <f aca="false">(K49/$Q$7)*100</f>
        <v>0.0189753320683112</v>
      </c>
      <c r="M49" s="16" t="s">
        <v>197</v>
      </c>
      <c r="N49" s="16" t="n">
        <f aca="false">IFERROR(INDEX(BMWP_COL!$B$2:$B$103,MATCH($I49,BMWP_COL!$A$2:$A$103,0)),"No aplica")</f>
        <v>2</v>
      </c>
      <c r="O49" s="16"/>
    </row>
    <row r="50" customFormat="false" ht="14.25" hidden="false" customHeight="true" outlineLevel="0" collapsed="false">
      <c r="A50" s="39" t="n">
        <v>45625</v>
      </c>
      <c r="B50" s="16" t="s">
        <v>190</v>
      </c>
      <c r="C50" s="16" t="s">
        <v>15</v>
      </c>
      <c r="D50" s="16" t="s">
        <v>191</v>
      </c>
      <c r="E50" s="16" t="s">
        <v>192</v>
      </c>
      <c r="F50" s="16" t="s">
        <v>222</v>
      </c>
      <c r="G50" s="16" t="n">
        <v>2</v>
      </c>
      <c r="H50" s="16" t="s">
        <v>194</v>
      </c>
      <c r="I50" s="16" t="s">
        <v>195</v>
      </c>
      <c r="J50" s="16" t="s">
        <v>196</v>
      </c>
      <c r="K50" s="16" t="n">
        <v>4</v>
      </c>
      <c r="L50" s="40" t="n">
        <f aca="false">(K50/$Q$7)*100</f>
        <v>0.0759013282732448</v>
      </c>
      <c r="M50" s="16" t="s">
        <v>197</v>
      </c>
      <c r="N50" s="16" t="n">
        <f aca="false">IFERROR(INDEX(BMWP_COL!$B$2:$B$103,MATCH($I50,BMWP_COL!$A$2:$A$103,0)),"No aplica")</f>
        <v>8</v>
      </c>
      <c r="O50" s="16"/>
    </row>
    <row r="51" customFormat="false" ht="14.25" hidden="false" customHeight="true" outlineLevel="0" collapsed="false">
      <c r="A51" s="39" t="n">
        <v>45625</v>
      </c>
      <c r="B51" s="16" t="s">
        <v>190</v>
      </c>
      <c r="C51" s="16" t="s">
        <v>15</v>
      </c>
      <c r="D51" s="16" t="s">
        <v>191</v>
      </c>
      <c r="E51" s="16" t="s">
        <v>192</v>
      </c>
      <c r="F51" s="16" t="s">
        <v>222</v>
      </c>
      <c r="G51" s="16" t="n">
        <v>2</v>
      </c>
      <c r="H51" s="16" t="s">
        <v>194</v>
      </c>
      <c r="I51" s="16" t="s">
        <v>195</v>
      </c>
      <c r="J51" s="16" t="s">
        <v>254</v>
      </c>
      <c r="K51" s="16" t="n">
        <v>1</v>
      </c>
      <c r="L51" s="40" t="n">
        <f aca="false">(K51/$Q$7)*100</f>
        <v>0.0189753320683112</v>
      </c>
      <c r="M51" s="16" t="s">
        <v>197</v>
      </c>
      <c r="N51" s="16" t="n">
        <f aca="false">IFERROR(INDEX(BMWP_COL!$B$2:$B$103,MATCH($I51,BMWP_COL!$A$2:$A$103,0)),"No aplica")</f>
        <v>8</v>
      </c>
      <c r="O51" s="16"/>
    </row>
    <row r="52" customFormat="false" ht="14.25" hidden="false" customHeight="true" outlineLevel="0" collapsed="false">
      <c r="A52" s="39" t="n">
        <v>45625</v>
      </c>
      <c r="B52" s="16" t="s">
        <v>190</v>
      </c>
      <c r="C52" s="16" t="s">
        <v>15</v>
      </c>
      <c r="D52" s="16" t="s">
        <v>191</v>
      </c>
      <c r="E52" s="16" t="s">
        <v>192</v>
      </c>
      <c r="F52" s="16" t="s">
        <v>255</v>
      </c>
      <c r="G52" s="16" t="n">
        <v>1</v>
      </c>
      <c r="H52" s="16" t="s">
        <v>198</v>
      </c>
      <c r="I52" s="16" t="s">
        <v>199</v>
      </c>
      <c r="J52" s="16" t="s">
        <v>200</v>
      </c>
      <c r="K52" s="16" t="n">
        <v>1</v>
      </c>
      <c r="L52" s="40" t="n">
        <f aca="false">(K52/$Q$7)*100</f>
        <v>0.0189753320683112</v>
      </c>
      <c r="M52" s="16" t="s">
        <v>201</v>
      </c>
      <c r="N52" s="16" t="n">
        <f aca="false">IFERROR(INDEX(BMWP_COL!$B$2:$B$103,MATCH($I52,BMWP_COL!$A$2:$A$103,0)),"No aplica")</f>
        <v>7</v>
      </c>
      <c r="O52" s="16"/>
    </row>
    <row r="53" customFormat="false" ht="14.25" hidden="false" customHeight="true" outlineLevel="0" collapsed="false">
      <c r="A53" s="39" t="n">
        <v>45625</v>
      </c>
      <c r="B53" s="16" t="s">
        <v>190</v>
      </c>
      <c r="C53" s="16" t="s">
        <v>15</v>
      </c>
      <c r="D53" s="16" t="s">
        <v>191</v>
      </c>
      <c r="E53" s="16" t="s">
        <v>192</v>
      </c>
      <c r="F53" s="16" t="s">
        <v>255</v>
      </c>
      <c r="G53" s="16" t="n">
        <v>1</v>
      </c>
      <c r="H53" s="16" t="s">
        <v>194</v>
      </c>
      <c r="I53" s="16" t="s">
        <v>256</v>
      </c>
      <c r="J53" s="16" t="s">
        <v>257</v>
      </c>
      <c r="K53" s="16" t="n">
        <v>1</v>
      </c>
      <c r="L53" s="40" t="n">
        <f aca="false">(K53/$Q$7)*100</f>
        <v>0.0189753320683112</v>
      </c>
      <c r="M53" s="16" t="s">
        <v>225</v>
      </c>
      <c r="N53" s="16" t="n">
        <f aca="false">IFERROR(INDEX(BMWP_COL!$B$2:$B$103,MATCH($I53,BMWP_COL!$A$2:$A$103,0)),"No aplica")</f>
        <v>10</v>
      </c>
      <c r="O53" s="16"/>
    </row>
    <row r="54" customFormat="false" ht="14.25" hidden="false" customHeight="true" outlineLevel="0" collapsed="false">
      <c r="A54" s="39" t="n">
        <v>45625</v>
      </c>
      <c r="B54" s="16" t="s">
        <v>190</v>
      </c>
      <c r="C54" s="16" t="s">
        <v>15</v>
      </c>
      <c r="D54" s="16" t="s">
        <v>191</v>
      </c>
      <c r="E54" s="16" t="s">
        <v>192</v>
      </c>
      <c r="F54" s="16" t="s">
        <v>255</v>
      </c>
      <c r="G54" s="16" t="n">
        <v>1</v>
      </c>
      <c r="H54" s="16" t="s">
        <v>194</v>
      </c>
      <c r="I54" s="16" t="s">
        <v>223</v>
      </c>
      <c r="J54" s="16" t="s">
        <v>224</v>
      </c>
      <c r="K54" s="16" t="n">
        <v>1</v>
      </c>
      <c r="L54" s="40" t="n">
        <f aca="false">(K54/$Q$7)*100</f>
        <v>0.0189753320683112</v>
      </c>
      <c r="M54" s="16" t="s">
        <v>225</v>
      </c>
      <c r="N54" s="16" t="n">
        <f aca="false">IFERROR(INDEX(BMWP_COL!$B$2:$B$103,MATCH($I54,BMWP_COL!$A$2:$A$103,0)),"No aplica")</f>
        <v>7</v>
      </c>
      <c r="O54" s="16"/>
    </row>
    <row r="55" customFormat="false" ht="14.25" hidden="false" customHeight="true" outlineLevel="0" collapsed="false">
      <c r="A55" s="39" t="n">
        <v>45625</v>
      </c>
      <c r="B55" s="16" t="s">
        <v>190</v>
      </c>
      <c r="C55" s="16" t="s">
        <v>15</v>
      </c>
      <c r="D55" s="16" t="s">
        <v>191</v>
      </c>
      <c r="E55" s="16" t="s">
        <v>192</v>
      </c>
      <c r="F55" s="16" t="s">
        <v>255</v>
      </c>
      <c r="G55" s="16" t="n">
        <v>1</v>
      </c>
      <c r="H55" s="16" t="s">
        <v>208</v>
      </c>
      <c r="I55" s="16" t="s">
        <v>209</v>
      </c>
      <c r="J55" s="16" t="s">
        <v>212</v>
      </c>
      <c r="K55" s="16" t="n">
        <v>5</v>
      </c>
      <c r="L55" s="40" t="n">
        <f aca="false">(K55/$Q$7)*100</f>
        <v>0.094876660341556</v>
      </c>
      <c r="M55" s="16" t="s">
        <v>197</v>
      </c>
      <c r="N55" s="16" t="n">
        <f aca="false">IFERROR(INDEX(BMWP_COL!$B$2:$B$103,MATCH($I55,BMWP_COL!$A$2:$A$103,0)),"No aplica")</f>
        <v>7</v>
      </c>
      <c r="O55" s="16"/>
    </row>
    <row r="56" customFormat="false" ht="14.25" hidden="false" customHeight="true" outlineLevel="0" collapsed="false">
      <c r="A56" s="39" t="n">
        <v>45625</v>
      </c>
      <c r="B56" s="16" t="s">
        <v>190</v>
      </c>
      <c r="C56" s="16" t="s">
        <v>15</v>
      </c>
      <c r="D56" s="16" t="s">
        <v>191</v>
      </c>
      <c r="E56" s="16" t="s">
        <v>192</v>
      </c>
      <c r="F56" s="16" t="s">
        <v>255</v>
      </c>
      <c r="G56" s="16" t="n">
        <v>1</v>
      </c>
      <c r="H56" s="16" t="s">
        <v>208</v>
      </c>
      <c r="I56" s="16" t="s">
        <v>226</v>
      </c>
      <c r="J56" s="16" t="s">
        <v>227</v>
      </c>
      <c r="K56" s="16" t="n">
        <v>5</v>
      </c>
      <c r="L56" s="40" t="n">
        <f aca="false">(K56/$Q$7)*100</f>
        <v>0.094876660341556</v>
      </c>
      <c r="M56" s="16" t="s">
        <v>197</v>
      </c>
      <c r="N56" s="16" t="n">
        <f aca="false">IFERROR(INDEX(BMWP_COL!$B$2:$B$103,MATCH($I56,BMWP_COL!$A$2:$A$103,0)),"No aplica")</f>
        <v>7</v>
      </c>
      <c r="O56" s="16"/>
    </row>
    <row r="57" customFormat="false" ht="14.25" hidden="false" customHeight="true" outlineLevel="0" collapsed="false">
      <c r="A57" s="39" t="n">
        <v>45625</v>
      </c>
      <c r="B57" s="16" t="s">
        <v>190</v>
      </c>
      <c r="C57" s="16" t="s">
        <v>15</v>
      </c>
      <c r="D57" s="16" t="s">
        <v>191</v>
      </c>
      <c r="E57" s="16" t="s">
        <v>192</v>
      </c>
      <c r="F57" s="16" t="s">
        <v>255</v>
      </c>
      <c r="G57" s="16" t="n">
        <v>1</v>
      </c>
      <c r="H57" s="16" t="s">
        <v>214</v>
      </c>
      <c r="I57" s="16" t="s">
        <v>258</v>
      </c>
      <c r="J57" s="16" t="s">
        <v>259</v>
      </c>
      <c r="K57" s="16" t="n">
        <v>1</v>
      </c>
      <c r="L57" s="40" t="n">
        <f aca="false">(K57/$Q$7)*100</f>
        <v>0.0189753320683112</v>
      </c>
      <c r="M57" s="16" t="s">
        <v>201</v>
      </c>
      <c r="N57" s="16" t="n">
        <f aca="false">IFERROR(INDEX(BMWP_COL!$B$2:$B$103,MATCH($I57,BMWP_COL!$A$2:$A$103,0)),"No aplica")</f>
        <v>6</v>
      </c>
      <c r="O57" s="16"/>
    </row>
    <row r="58" customFormat="false" ht="14.25" hidden="false" customHeight="true" outlineLevel="0" collapsed="false">
      <c r="A58" s="39" t="n">
        <v>45625</v>
      </c>
      <c r="B58" s="16" t="s">
        <v>190</v>
      </c>
      <c r="C58" s="16" t="s">
        <v>15</v>
      </c>
      <c r="D58" s="16" t="s">
        <v>191</v>
      </c>
      <c r="E58" s="16" t="s">
        <v>192</v>
      </c>
      <c r="F58" s="16" t="s">
        <v>255</v>
      </c>
      <c r="G58" s="16" t="n">
        <v>1</v>
      </c>
      <c r="H58" s="16" t="s">
        <v>202</v>
      </c>
      <c r="I58" s="16" t="s">
        <v>203</v>
      </c>
      <c r="J58" s="41" t="s">
        <v>204</v>
      </c>
      <c r="K58" s="16" t="n">
        <v>2</v>
      </c>
      <c r="L58" s="40" t="n">
        <f aca="false">(K58/$Q$7)*100</f>
        <v>0.0379506641366224</v>
      </c>
      <c r="M58" s="16" t="s">
        <v>197</v>
      </c>
      <c r="N58" s="16" t="n">
        <f aca="false">IFERROR(INDEX(BMWP_COL!$B$2:$B$103,MATCH($I58,BMWP_COL!$A$2:$A$103,0)),"No aplica")</f>
        <v>2</v>
      </c>
      <c r="O58" s="16"/>
    </row>
    <row r="59" customFormat="false" ht="14.25" hidden="false" customHeight="true" outlineLevel="0" collapsed="false">
      <c r="A59" s="39" t="n">
        <v>45625</v>
      </c>
      <c r="B59" s="16" t="s">
        <v>190</v>
      </c>
      <c r="C59" s="16" t="s">
        <v>15</v>
      </c>
      <c r="D59" s="16" t="s">
        <v>191</v>
      </c>
      <c r="E59" s="16" t="s">
        <v>192</v>
      </c>
      <c r="F59" s="16" t="s">
        <v>255</v>
      </c>
      <c r="G59" s="16" t="n">
        <v>1</v>
      </c>
      <c r="H59" s="16" t="s">
        <v>194</v>
      </c>
      <c r="I59" s="16" t="s">
        <v>223</v>
      </c>
      <c r="J59" s="16" t="s">
        <v>234</v>
      </c>
      <c r="K59" s="16" t="n">
        <v>1</v>
      </c>
      <c r="L59" s="40" t="n">
        <f aca="false">(K59/$Q$7)*100</f>
        <v>0.0189753320683112</v>
      </c>
      <c r="M59" s="16" t="s">
        <v>225</v>
      </c>
      <c r="N59" s="16" t="n">
        <f aca="false">IFERROR(INDEX(BMWP_COL!$B$2:$B$103,MATCH($I59,BMWP_COL!$A$2:$A$103,0)),"No aplica")</f>
        <v>7</v>
      </c>
      <c r="O59" s="16"/>
    </row>
    <row r="60" customFormat="false" ht="14.25" hidden="false" customHeight="true" outlineLevel="0" collapsed="false">
      <c r="A60" s="39" t="n">
        <v>45625</v>
      </c>
      <c r="B60" s="16" t="s">
        <v>190</v>
      </c>
      <c r="C60" s="16" t="s">
        <v>15</v>
      </c>
      <c r="D60" s="16" t="s">
        <v>191</v>
      </c>
      <c r="E60" s="16" t="s">
        <v>192</v>
      </c>
      <c r="F60" s="16" t="s">
        <v>255</v>
      </c>
      <c r="G60" s="16" t="n">
        <v>1</v>
      </c>
      <c r="H60" s="16" t="s">
        <v>214</v>
      </c>
      <c r="I60" s="16" t="s">
        <v>252</v>
      </c>
      <c r="J60" s="16" t="s">
        <v>253</v>
      </c>
      <c r="K60" s="16" t="n">
        <v>1</v>
      </c>
      <c r="L60" s="40" t="n">
        <f aca="false">(K60/$Q$7)*100</f>
        <v>0.0189753320683112</v>
      </c>
      <c r="M60" s="16" t="s">
        <v>201</v>
      </c>
      <c r="N60" s="16" t="n">
        <f aca="false">IFERROR(INDEX(BMWP_COL!$B$2:$B$103,MATCH($I60,BMWP_COL!$A$2:$A$103,0)),"No aplica")</f>
        <v>6</v>
      </c>
      <c r="O60" s="16"/>
    </row>
    <row r="61" customFormat="false" ht="14.25" hidden="false" customHeight="true" outlineLevel="0" collapsed="false">
      <c r="A61" s="39" t="n">
        <v>45625</v>
      </c>
      <c r="B61" s="16" t="s">
        <v>190</v>
      </c>
      <c r="C61" s="16" t="s">
        <v>15</v>
      </c>
      <c r="D61" s="16" t="s">
        <v>191</v>
      </c>
      <c r="E61" s="16" t="s">
        <v>192</v>
      </c>
      <c r="F61" s="16" t="s">
        <v>255</v>
      </c>
      <c r="G61" s="16" t="n">
        <v>1</v>
      </c>
      <c r="H61" s="16" t="s">
        <v>208</v>
      </c>
      <c r="I61" s="16" t="s">
        <v>247</v>
      </c>
      <c r="J61" s="16" t="s">
        <v>248</v>
      </c>
      <c r="K61" s="16" t="n">
        <v>1</v>
      </c>
      <c r="L61" s="40" t="n">
        <f aca="false">(K61/$Q$7)*100</f>
        <v>0.0189753320683112</v>
      </c>
      <c r="M61" s="16" t="s">
        <v>197</v>
      </c>
      <c r="N61" s="16" t="n">
        <f aca="false">IFERROR(INDEX(BMWP_COL!$B$2:$B$103,MATCH($I61,BMWP_COL!$A$2:$A$103,0)),"No aplica")</f>
        <v>9</v>
      </c>
      <c r="O61" s="16"/>
    </row>
    <row r="62" customFormat="false" ht="14.25" hidden="false" customHeight="true" outlineLevel="0" collapsed="false">
      <c r="A62" s="39" t="n">
        <v>45625</v>
      </c>
      <c r="B62" s="16" t="s">
        <v>190</v>
      </c>
      <c r="C62" s="16" t="s">
        <v>15</v>
      </c>
      <c r="D62" s="16" t="s">
        <v>191</v>
      </c>
      <c r="E62" s="16" t="s">
        <v>192</v>
      </c>
      <c r="F62" s="16" t="s">
        <v>255</v>
      </c>
      <c r="G62" s="16" t="n">
        <v>1</v>
      </c>
      <c r="H62" s="16" t="s">
        <v>208</v>
      </c>
      <c r="I62" s="16" t="s">
        <v>209</v>
      </c>
      <c r="J62" s="16" t="s">
        <v>210</v>
      </c>
      <c r="K62" s="16" t="n">
        <v>2</v>
      </c>
      <c r="L62" s="40" t="n">
        <f aca="false">(K62/$Q$7)*100</f>
        <v>0.0379506641366224</v>
      </c>
      <c r="M62" s="16" t="s">
        <v>211</v>
      </c>
      <c r="N62" s="16" t="n">
        <f aca="false">IFERROR(INDEX(BMWP_COL!$B$2:$B$103,MATCH($I62,BMWP_COL!$A$2:$A$103,0)),"No aplica")</f>
        <v>7</v>
      </c>
      <c r="O62" s="16"/>
    </row>
    <row r="63" customFormat="false" ht="14.25" hidden="false" customHeight="true" outlineLevel="0" collapsed="false">
      <c r="A63" s="39" t="n">
        <v>45625</v>
      </c>
      <c r="B63" s="16" t="s">
        <v>190</v>
      </c>
      <c r="C63" s="16" t="s">
        <v>15</v>
      </c>
      <c r="D63" s="16" t="s">
        <v>191</v>
      </c>
      <c r="E63" s="16" t="s">
        <v>192</v>
      </c>
      <c r="F63" s="16" t="s">
        <v>255</v>
      </c>
      <c r="G63" s="16" t="n">
        <v>2</v>
      </c>
      <c r="H63" s="16" t="s">
        <v>208</v>
      </c>
      <c r="I63" s="16" t="s">
        <v>209</v>
      </c>
      <c r="J63" s="16" t="s">
        <v>210</v>
      </c>
      <c r="K63" s="16" t="n">
        <v>8</v>
      </c>
      <c r="L63" s="40" t="n">
        <f aca="false">(K63/$Q$7)*100</f>
        <v>0.15180265654649</v>
      </c>
      <c r="M63" s="16" t="s">
        <v>211</v>
      </c>
      <c r="N63" s="16" t="n">
        <f aca="false">IFERROR(INDEX(BMWP_COL!$B$2:$B$103,MATCH($I63,BMWP_COL!$A$2:$A$103,0)),"No aplica")</f>
        <v>7</v>
      </c>
      <c r="O63" s="16"/>
    </row>
    <row r="64" customFormat="false" ht="14.25" hidden="false" customHeight="true" outlineLevel="0" collapsed="false">
      <c r="A64" s="39" t="n">
        <v>45625</v>
      </c>
      <c r="B64" s="16" t="s">
        <v>190</v>
      </c>
      <c r="C64" s="16" t="s">
        <v>15</v>
      </c>
      <c r="D64" s="16" t="s">
        <v>191</v>
      </c>
      <c r="E64" s="16" t="s">
        <v>192</v>
      </c>
      <c r="F64" s="16" t="s">
        <v>255</v>
      </c>
      <c r="G64" s="16" t="n">
        <v>2</v>
      </c>
      <c r="H64" s="16" t="s">
        <v>249</v>
      </c>
      <c r="I64" s="16" t="s">
        <v>250</v>
      </c>
      <c r="J64" s="16" t="s">
        <v>251</v>
      </c>
      <c r="K64" s="16" t="n">
        <v>2</v>
      </c>
      <c r="L64" s="40" t="n">
        <f aca="false">(K64/$Q$7)*100</f>
        <v>0.0379506641366224</v>
      </c>
      <c r="M64" s="16" t="s">
        <v>201</v>
      </c>
      <c r="N64" s="16" t="n">
        <f aca="false">IFERROR(INDEX(BMWP_COL!$B$2:$B$103,MATCH($I64,BMWP_COL!$A$2:$A$103,0)),"No aplica")</f>
        <v>10</v>
      </c>
      <c r="O64" s="16"/>
    </row>
    <row r="65" customFormat="false" ht="14.25" hidden="false" customHeight="true" outlineLevel="0" collapsed="false">
      <c r="A65" s="39" t="n">
        <v>45625</v>
      </c>
      <c r="B65" s="16" t="s">
        <v>190</v>
      </c>
      <c r="C65" s="16" t="s">
        <v>15</v>
      </c>
      <c r="D65" s="16" t="s">
        <v>191</v>
      </c>
      <c r="E65" s="16" t="s">
        <v>192</v>
      </c>
      <c r="F65" s="16" t="s">
        <v>255</v>
      </c>
      <c r="G65" s="16" t="n">
        <v>2</v>
      </c>
      <c r="H65" s="16" t="s">
        <v>202</v>
      </c>
      <c r="I65" s="16" t="s">
        <v>203</v>
      </c>
      <c r="J65" s="41" t="s">
        <v>204</v>
      </c>
      <c r="K65" s="16" t="n">
        <v>4</v>
      </c>
      <c r="L65" s="40" t="n">
        <f aca="false">(K65/$Q$7)*100</f>
        <v>0.0759013282732448</v>
      </c>
      <c r="M65" s="16" t="s">
        <v>197</v>
      </c>
      <c r="N65" s="16" t="n">
        <f aca="false">IFERROR(INDEX(BMWP_COL!$B$2:$B$103,MATCH($I65,BMWP_COL!$A$2:$A$103,0)),"No aplica")</f>
        <v>2</v>
      </c>
      <c r="O65" s="16"/>
    </row>
    <row r="66" customFormat="false" ht="14.25" hidden="false" customHeight="true" outlineLevel="0" collapsed="false">
      <c r="A66" s="39" t="n">
        <v>45625</v>
      </c>
      <c r="B66" s="16" t="s">
        <v>190</v>
      </c>
      <c r="C66" s="16" t="s">
        <v>15</v>
      </c>
      <c r="D66" s="16" t="s">
        <v>191</v>
      </c>
      <c r="E66" s="16" t="s">
        <v>192</v>
      </c>
      <c r="F66" s="16" t="s">
        <v>255</v>
      </c>
      <c r="G66" s="16" t="n">
        <v>2</v>
      </c>
      <c r="H66" s="16" t="s">
        <v>219</v>
      </c>
      <c r="I66" s="16" t="s">
        <v>260</v>
      </c>
      <c r="J66" s="16" t="s">
        <v>261</v>
      </c>
      <c r="K66" s="16" t="n">
        <v>1</v>
      </c>
      <c r="L66" s="40" t="n">
        <f aca="false">(K66/$Q$7)*100</f>
        <v>0.0189753320683112</v>
      </c>
      <c r="M66" s="16" t="s">
        <v>225</v>
      </c>
      <c r="N66" s="16" t="n">
        <f aca="false">IFERROR(INDEX(BMWP_COL!$B$2:$B$103,MATCH($I66,BMWP_COL!$A$2:$A$103,0)),"No aplica")</f>
        <v>10</v>
      </c>
      <c r="O66" s="16"/>
    </row>
    <row r="67" customFormat="false" ht="14.25" hidden="false" customHeight="true" outlineLevel="0" collapsed="false">
      <c r="A67" s="39" t="n">
        <v>45625</v>
      </c>
      <c r="B67" s="16" t="s">
        <v>190</v>
      </c>
      <c r="C67" s="16" t="s">
        <v>15</v>
      </c>
      <c r="D67" s="16" t="s">
        <v>191</v>
      </c>
      <c r="E67" s="16" t="s">
        <v>192</v>
      </c>
      <c r="F67" s="16" t="s">
        <v>255</v>
      </c>
      <c r="G67" s="16" t="n">
        <v>2</v>
      </c>
      <c r="H67" s="16" t="s">
        <v>214</v>
      </c>
      <c r="I67" s="16" t="s">
        <v>262</v>
      </c>
      <c r="J67" s="16" t="s">
        <v>263</v>
      </c>
      <c r="K67" s="16" t="n">
        <v>1</v>
      </c>
      <c r="L67" s="40" t="n">
        <f aca="false">(K67/$Q$7)*100</f>
        <v>0.0189753320683112</v>
      </c>
      <c r="M67" s="16" t="s">
        <v>201</v>
      </c>
      <c r="N67" s="16" t="n">
        <f aca="false">IFERROR(INDEX(BMWP_COL!$B$2:$B$103,MATCH($I67,BMWP_COL!$A$2:$A$103,0)),"No aplica")</f>
        <v>7</v>
      </c>
      <c r="O67" s="16"/>
    </row>
    <row r="68" customFormat="false" ht="14.25" hidden="false" customHeight="true" outlineLevel="0" collapsed="false">
      <c r="A68" s="39" t="n">
        <v>45625</v>
      </c>
      <c r="B68" s="16" t="s">
        <v>190</v>
      </c>
      <c r="C68" s="16" t="s">
        <v>15</v>
      </c>
      <c r="D68" s="16" t="s">
        <v>191</v>
      </c>
      <c r="E68" s="16" t="s">
        <v>192</v>
      </c>
      <c r="F68" s="16" t="s">
        <v>255</v>
      </c>
      <c r="G68" s="16" t="n">
        <v>2</v>
      </c>
      <c r="H68" s="16" t="s">
        <v>231</v>
      </c>
      <c r="I68" s="16" t="s">
        <v>232</v>
      </c>
      <c r="J68" s="16" t="s">
        <v>233</v>
      </c>
      <c r="K68" s="16" t="n">
        <v>2</v>
      </c>
      <c r="L68" s="40" t="n">
        <f aca="false">(K68/$Q$7)*100</f>
        <v>0.0379506641366224</v>
      </c>
      <c r="M68" s="16" t="s">
        <v>201</v>
      </c>
      <c r="N68" s="16" t="n">
        <f aca="false">IFERROR(INDEX(BMWP_COL!$B$2:$B$103,MATCH($I68,BMWP_COL!$A$2:$A$103,0)),"No aplica")</f>
        <v>6</v>
      </c>
      <c r="O68" s="16"/>
    </row>
    <row r="69" customFormat="false" ht="14.25" hidden="false" customHeight="true" outlineLevel="0" collapsed="false">
      <c r="A69" s="39" t="n">
        <v>45625</v>
      </c>
      <c r="B69" s="16" t="s">
        <v>190</v>
      </c>
      <c r="C69" s="16" t="s">
        <v>15</v>
      </c>
      <c r="D69" s="16" t="s">
        <v>191</v>
      </c>
      <c r="E69" s="16" t="s">
        <v>192</v>
      </c>
      <c r="F69" s="16" t="s">
        <v>255</v>
      </c>
      <c r="G69" s="16" t="n">
        <v>2</v>
      </c>
      <c r="H69" s="16" t="s">
        <v>202</v>
      </c>
      <c r="I69" s="16" t="s">
        <v>203</v>
      </c>
      <c r="J69" s="16" t="s">
        <v>264</v>
      </c>
      <c r="K69" s="16" t="n">
        <v>1</v>
      </c>
      <c r="L69" s="40" t="n">
        <f aca="false">(K69/$Q$7)*100</f>
        <v>0.0189753320683112</v>
      </c>
      <c r="M69" s="16" t="s">
        <v>197</v>
      </c>
      <c r="N69" s="16" t="n">
        <f aca="false">IFERROR(INDEX(BMWP_COL!$B$2:$B$103,MATCH($I69,BMWP_COL!$A$2:$A$103,0)),"No aplica")</f>
        <v>2</v>
      </c>
      <c r="O69" s="16"/>
    </row>
    <row r="70" customFormat="false" ht="14.25" hidden="false" customHeight="true" outlineLevel="0" collapsed="false">
      <c r="A70" s="39" t="n">
        <v>45625</v>
      </c>
      <c r="B70" s="16" t="s">
        <v>190</v>
      </c>
      <c r="C70" s="16" t="s">
        <v>15</v>
      </c>
      <c r="D70" s="16" t="s">
        <v>191</v>
      </c>
      <c r="E70" s="16" t="s">
        <v>192</v>
      </c>
      <c r="F70" s="16" t="s">
        <v>255</v>
      </c>
      <c r="G70" s="16" t="n">
        <v>2</v>
      </c>
      <c r="H70" s="16" t="s">
        <v>202</v>
      </c>
      <c r="I70" s="16" t="s">
        <v>203</v>
      </c>
      <c r="J70" s="16" t="s">
        <v>213</v>
      </c>
      <c r="K70" s="16" t="n">
        <v>2</v>
      </c>
      <c r="L70" s="40" t="n">
        <f aca="false">(K70/$Q$7)*100</f>
        <v>0.0379506641366224</v>
      </c>
      <c r="M70" s="16" t="s">
        <v>201</v>
      </c>
      <c r="N70" s="16" t="n">
        <f aca="false">IFERROR(INDEX(BMWP_COL!$B$2:$B$103,MATCH($I70,BMWP_COL!$A$2:$A$103,0)),"No aplica")</f>
        <v>2</v>
      </c>
      <c r="O70" s="16"/>
    </row>
    <row r="71" customFormat="false" ht="14.25" hidden="false" customHeight="true" outlineLevel="0" collapsed="false">
      <c r="A71" s="39" t="n">
        <v>45625</v>
      </c>
      <c r="B71" s="16" t="s">
        <v>190</v>
      </c>
      <c r="C71" s="16" t="s">
        <v>15</v>
      </c>
      <c r="D71" s="16" t="s">
        <v>191</v>
      </c>
      <c r="E71" s="16" t="s">
        <v>192</v>
      </c>
      <c r="F71" s="16" t="s">
        <v>255</v>
      </c>
      <c r="G71" s="16" t="n">
        <v>2</v>
      </c>
      <c r="H71" s="16" t="s">
        <v>208</v>
      </c>
      <c r="I71" s="16" t="s">
        <v>247</v>
      </c>
      <c r="J71" s="16" t="s">
        <v>248</v>
      </c>
      <c r="K71" s="16" t="n">
        <v>2</v>
      </c>
      <c r="L71" s="40" t="n">
        <f aca="false">(K71/$Q$7)*100</f>
        <v>0.0379506641366224</v>
      </c>
      <c r="M71" s="16" t="s">
        <v>197</v>
      </c>
      <c r="N71" s="16" t="n">
        <f aca="false">IFERROR(INDEX(BMWP_COL!$B$2:$B$103,MATCH($I71,BMWP_COL!$A$2:$A$103,0)),"No aplica")</f>
        <v>9</v>
      </c>
      <c r="O71" s="16"/>
    </row>
    <row r="72" customFormat="false" ht="14.25" hidden="false" customHeight="true" outlineLevel="0" collapsed="false">
      <c r="A72" s="39" t="n">
        <v>45625</v>
      </c>
      <c r="B72" s="16" t="s">
        <v>190</v>
      </c>
      <c r="C72" s="16" t="s">
        <v>15</v>
      </c>
      <c r="D72" s="16" t="s">
        <v>191</v>
      </c>
      <c r="E72" s="16" t="s">
        <v>192</v>
      </c>
      <c r="F72" s="16" t="s">
        <v>255</v>
      </c>
      <c r="G72" s="16" t="n">
        <v>2</v>
      </c>
      <c r="H72" s="16" t="s">
        <v>194</v>
      </c>
      <c r="I72" s="16" t="s">
        <v>223</v>
      </c>
      <c r="J72" s="16" t="s">
        <v>224</v>
      </c>
      <c r="K72" s="16" t="n">
        <v>2</v>
      </c>
      <c r="L72" s="40" t="n">
        <f aca="false">(K72/$Q$7)*100</f>
        <v>0.0379506641366224</v>
      </c>
      <c r="M72" s="16" t="s">
        <v>225</v>
      </c>
      <c r="N72" s="16" t="n">
        <f aca="false">IFERROR(INDEX(BMWP_COL!$B$2:$B$103,MATCH($I72,BMWP_COL!$A$2:$A$103,0)),"No aplica")</f>
        <v>7</v>
      </c>
      <c r="O72" s="16"/>
    </row>
    <row r="73" customFormat="false" ht="14.25" hidden="false" customHeight="true" outlineLevel="0" collapsed="false">
      <c r="A73" s="39" t="n">
        <v>45625</v>
      </c>
      <c r="B73" s="16" t="s">
        <v>190</v>
      </c>
      <c r="C73" s="16" t="s">
        <v>15</v>
      </c>
      <c r="D73" s="16" t="s">
        <v>191</v>
      </c>
      <c r="E73" s="16" t="s">
        <v>192</v>
      </c>
      <c r="F73" s="16" t="s">
        <v>255</v>
      </c>
      <c r="G73" s="16" t="n">
        <v>2</v>
      </c>
      <c r="H73" s="16" t="s">
        <v>219</v>
      </c>
      <c r="I73" s="16" t="s">
        <v>265</v>
      </c>
      <c r="J73" s="16" t="s">
        <v>266</v>
      </c>
      <c r="K73" s="16" t="n">
        <v>1</v>
      </c>
      <c r="L73" s="40" t="n">
        <f aca="false">(K73/$Q$7)*100</f>
        <v>0.0189753320683112</v>
      </c>
      <c r="M73" s="16" t="s">
        <v>211</v>
      </c>
      <c r="N73" s="16" t="n">
        <f aca="false">IFERROR(INDEX(BMWP_COL!$B$2:$B$103,MATCH($I73,BMWP_COL!$A$2:$A$103,0)),"No aplica")</f>
        <v>10</v>
      </c>
      <c r="O73" s="16"/>
    </row>
    <row r="74" customFormat="false" ht="14.25" hidden="false" customHeight="true" outlineLevel="0" collapsed="false">
      <c r="A74" s="39" t="n">
        <v>45625</v>
      </c>
      <c r="B74" s="16" t="s">
        <v>190</v>
      </c>
      <c r="C74" s="16" t="s">
        <v>15</v>
      </c>
      <c r="D74" s="16" t="s">
        <v>191</v>
      </c>
      <c r="E74" s="16" t="s">
        <v>192</v>
      </c>
      <c r="F74" s="16" t="s">
        <v>255</v>
      </c>
      <c r="G74" s="16" t="n">
        <v>2</v>
      </c>
      <c r="H74" s="16" t="s">
        <v>214</v>
      </c>
      <c r="I74" s="16" t="s">
        <v>215</v>
      </c>
      <c r="J74" s="16" t="s">
        <v>216</v>
      </c>
      <c r="K74" s="16" t="n">
        <v>1</v>
      </c>
      <c r="L74" s="40" t="n">
        <f aca="false">(K74/$Q$7)*100</f>
        <v>0.0189753320683112</v>
      </c>
      <c r="M74" s="16" t="s">
        <v>201</v>
      </c>
      <c r="N74" s="16" t="n">
        <f aca="false">IFERROR(INDEX(BMWP_COL!$B$2:$B$103,MATCH($I74,BMWP_COL!$A$2:$A$103,0)),"No aplica")</f>
        <v>10</v>
      </c>
      <c r="O74" s="16"/>
    </row>
    <row r="75" customFormat="false" ht="14.25" hidden="false" customHeight="true" outlineLevel="0" collapsed="false">
      <c r="A75" s="39" t="n">
        <v>45625</v>
      </c>
      <c r="B75" s="16" t="s">
        <v>190</v>
      </c>
      <c r="C75" s="16" t="s">
        <v>15</v>
      </c>
      <c r="D75" s="16" t="s">
        <v>191</v>
      </c>
      <c r="E75" s="16" t="s">
        <v>192</v>
      </c>
      <c r="F75" s="16" t="s">
        <v>255</v>
      </c>
      <c r="G75" s="16" t="n">
        <v>2</v>
      </c>
      <c r="H75" s="16" t="s">
        <v>214</v>
      </c>
      <c r="I75" s="16" t="s">
        <v>252</v>
      </c>
      <c r="J75" s="16" t="s">
        <v>267</v>
      </c>
      <c r="K75" s="16" t="n">
        <v>1</v>
      </c>
      <c r="L75" s="40" t="n">
        <f aca="false">(K75/$Q$7)*100</f>
        <v>0.0189753320683112</v>
      </c>
      <c r="M75" s="16" t="s">
        <v>201</v>
      </c>
      <c r="N75" s="16" t="n">
        <f aca="false">IFERROR(INDEX(BMWP_COL!$B$2:$B$103,MATCH($I75,BMWP_COL!$A$2:$A$103,0)),"No aplica")</f>
        <v>6</v>
      </c>
      <c r="O75" s="16"/>
    </row>
    <row r="76" customFormat="false" ht="14.25" hidden="false" customHeight="true" outlineLevel="0" collapsed="false">
      <c r="A76" s="39" t="n">
        <v>45625</v>
      </c>
      <c r="B76" s="16" t="s">
        <v>190</v>
      </c>
      <c r="C76" s="16" t="s">
        <v>15</v>
      </c>
      <c r="D76" s="16" t="s">
        <v>191</v>
      </c>
      <c r="E76" s="16" t="s">
        <v>192</v>
      </c>
      <c r="F76" s="16" t="s">
        <v>255</v>
      </c>
      <c r="G76" s="16" t="n">
        <v>3</v>
      </c>
      <c r="H76" s="16" t="s">
        <v>198</v>
      </c>
      <c r="I76" s="16" t="s">
        <v>199</v>
      </c>
      <c r="J76" s="16" t="s">
        <v>200</v>
      </c>
      <c r="K76" s="16" t="n">
        <v>7</v>
      </c>
      <c r="L76" s="40" t="n">
        <f aca="false">(K76/$Q$7)*100</f>
        <v>0.132827324478178</v>
      </c>
      <c r="M76" s="16" t="s">
        <v>201</v>
      </c>
      <c r="N76" s="16" t="n">
        <f aca="false">IFERROR(INDEX(BMWP_COL!$B$2:$B$103,MATCH($I76,BMWP_COL!$A$2:$A$103,0)),"No aplica")</f>
        <v>7</v>
      </c>
      <c r="O76" s="16"/>
    </row>
    <row r="77" customFormat="false" ht="14.25" hidden="false" customHeight="true" outlineLevel="0" collapsed="false">
      <c r="A77" s="39" t="n">
        <v>45625</v>
      </c>
      <c r="B77" s="16" t="s">
        <v>190</v>
      </c>
      <c r="C77" s="16" t="s">
        <v>15</v>
      </c>
      <c r="D77" s="16" t="s">
        <v>191</v>
      </c>
      <c r="E77" s="16" t="s">
        <v>192</v>
      </c>
      <c r="F77" s="16" t="s">
        <v>255</v>
      </c>
      <c r="G77" s="16" t="n">
        <v>3</v>
      </c>
      <c r="H77" s="16" t="s">
        <v>219</v>
      </c>
      <c r="I77" s="16" t="s">
        <v>260</v>
      </c>
      <c r="J77" s="16" t="s">
        <v>261</v>
      </c>
      <c r="K77" s="16" t="n">
        <v>1</v>
      </c>
      <c r="L77" s="40" t="n">
        <f aca="false">(K77/$Q$7)*100</f>
        <v>0.0189753320683112</v>
      </c>
      <c r="M77" s="16" t="s">
        <v>225</v>
      </c>
      <c r="N77" s="16" t="n">
        <f aca="false">IFERROR(INDEX(BMWP_COL!$B$2:$B$103,MATCH($I77,BMWP_COL!$A$2:$A$103,0)),"No aplica")</f>
        <v>10</v>
      </c>
      <c r="O77" s="16"/>
    </row>
    <row r="78" customFormat="false" ht="14.25" hidden="false" customHeight="true" outlineLevel="0" collapsed="false">
      <c r="A78" s="39" t="n">
        <v>45625</v>
      </c>
      <c r="B78" s="16" t="s">
        <v>190</v>
      </c>
      <c r="C78" s="16" t="s">
        <v>15</v>
      </c>
      <c r="D78" s="16" t="s">
        <v>191</v>
      </c>
      <c r="E78" s="16" t="s">
        <v>192</v>
      </c>
      <c r="F78" s="16" t="s">
        <v>255</v>
      </c>
      <c r="G78" s="16" t="n">
        <v>3</v>
      </c>
      <c r="H78" s="16" t="s">
        <v>219</v>
      </c>
      <c r="I78" s="16" t="s">
        <v>220</v>
      </c>
      <c r="J78" s="16" t="s">
        <v>221</v>
      </c>
      <c r="K78" s="16" t="n">
        <v>5</v>
      </c>
      <c r="L78" s="40" t="n">
        <f aca="false">(K78/$Q$7)*100</f>
        <v>0.094876660341556</v>
      </c>
      <c r="M78" s="16" t="s">
        <v>197</v>
      </c>
      <c r="N78" s="16" t="n">
        <f aca="false">IFERROR(INDEX(BMWP_COL!$B$2:$B$103,MATCH($I78,BMWP_COL!$A$2:$A$103,0)),"No aplica")</f>
        <v>6</v>
      </c>
      <c r="O78" s="16"/>
    </row>
    <row r="79" customFormat="false" ht="14.25" hidden="false" customHeight="true" outlineLevel="0" collapsed="false">
      <c r="A79" s="39" t="n">
        <v>45625</v>
      </c>
      <c r="B79" s="16" t="s">
        <v>190</v>
      </c>
      <c r="C79" s="16" t="s">
        <v>15</v>
      </c>
      <c r="D79" s="16" t="s">
        <v>191</v>
      </c>
      <c r="E79" s="16" t="s">
        <v>192</v>
      </c>
      <c r="F79" s="16" t="s">
        <v>255</v>
      </c>
      <c r="G79" s="16" t="n">
        <v>3</v>
      </c>
      <c r="H79" s="16" t="s">
        <v>208</v>
      </c>
      <c r="I79" s="16" t="s">
        <v>226</v>
      </c>
      <c r="J79" s="16" t="s">
        <v>227</v>
      </c>
      <c r="K79" s="16" t="n">
        <v>1</v>
      </c>
      <c r="L79" s="40" t="n">
        <f aca="false">(K79/$Q$7)*100</f>
        <v>0.0189753320683112</v>
      </c>
      <c r="M79" s="16" t="s">
        <v>197</v>
      </c>
      <c r="N79" s="16" t="n">
        <f aca="false">IFERROR(INDEX(BMWP_COL!$B$2:$B$103,MATCH($I79,BMWP_COL!$A$2:$A$103,0)),"No aplica")</f>
        <v>7</v>
      </c>
      <c r="O79" s="16"/>
    </row>
    <row r="80" customFormat="false" ht="14.25" hidden="false" customHeight="true" outlineLevel="0" collapsed="false">
      <c r="A80" s="39" t="n">
        <v>45625</v>
      </c>
      <c r="B80" s="16" t="s">
        <v>190</v>
      </c>
      <c r="C80" s="16" t="s">
        <v>15</v>
      </c>
      <c r="D80" s="16" t="s">
        <v>191</v>
      </c>
      <c r="E80" s="16" t="s">
        <v>192</v>
      </c>
      <c r="F80" s="16" t="s">
        <v>255</v>
      </c>
      <c r="G80" s="16" t="n">
        <v>3</v>
      </c>
      <c r="H80" s="16" t="s">
        <v>202</v>
      </c>
      <c r="I80" s="16" t="s">
        <v>203</v>
      </c>
      <c r="J80" s="41" t="s">
        <v>204</v>
      </c>
      <c r="K80" s="16" t="n">
        <v>1</v>
      </c>
      <c r="L80" s="40" t="n">
        <f aca="false">(K80/$Q$7)*100</f>
        <v>0.0189753320683112</v>
      </c>
      <c r="M80" s="16" t="s">
        <v>197</v>
      </c>
      <c r="N80" s="16" t="n">
        <f aca="false">IFERROR(INDEX(BMWP_COL!$B$2:$B$103,MATCH($I80,BMWP_COL!$A$2:$A$103,0)),"No aplica")</f>
        <v>2</v>
      </c>
      <c r="O80" s="16"/>
    </row>
    <row r="81" customFormat="false" ht="14.25" hidden="false" customHeight="true" outlineLevel="0" collapsed="false">
      <c r="A81" s="39" t="n">
        <v>45625</v>
      </c>
      <c r="B81" s="16" t="s">
        <v>190</v>
      </c>
      <c r="C81" s="16" t="s">
        <v>15</v>
      </c>
      <c r="D81" s="16" t="s">
        <v>191</v>
      </c>
      <c r="E81" s="16" t="s">
        <v>192</v>
      </c>
      <c r="F81" s="16" t="s">
        <v>255</v>
      </c>
      <c r="G81" s="16" t="n">
        <v>3</v>
      </c>
      <c r="H81" s="16" t="s">
        <v>249</v>
      </c>
      <c r="I81" s="16" t="s">
        <v>250</v>
      </c>
      <c r="J81" s="16" t="s">
        <v>251</v>
      </c>
      <c r="K81" s="16" t="n">
        <v>2</v>
      </c>
      <c r="L81" s="40" t="n">
        <f aca="false">(K81/$Q$7)*100</f>
        <v>0.0379506641366224</v>
      </c>
      <c r="M81" s="16" t="s">
        <v>201</v>
      </c>
      <c r="N81" s="16" t="n">
        <f aca="false">IFERROR(INDEX(BMWP_COL!$B$2:$B$103,MATCH($I81,BMWP_COL!$A$2:$A$103,0)),"No aplica")</f>
        <v>10</v>
      </c>
      <c r="O81" s="16"/>
    </row>
    <row r="82" customFormat="false" ht="14.25" hidden="false" customHeight="true" outlineLevel="0" collapsed="false">
      <c r="A82" s="39" t="n">
        <v>45625</v>
      </c>
      <c r="B82" s="16" t="s">
        <v>190</v>
      </c>
      <c r="C82" s="16" t="s">
        <v>15</v>
      </c>
      <c r="D82" s="16" t="s">
        <v>191</v>
      </c>
      <c r="E82" s="16" t="s">
        <v>192</v>
      </c>
      <c r="F82" s="16" t="s">
        <v>255</v>
      </c>
      <c r="G82" s="16" t="n">
        <v>3</v>
      </c>
      <c r="H82" s="16" t="s">
        <v>219</v>
      </c>
      <c r="I82" s="16" t="s">
        <v>220</v>
      </c>
      <c r="J82" s="16" t="s">
        <v>268</v>
      </c>
      <c r="K82" s="16" t="n">
        <v>3</v>
      </c>
      <c r="L82" s="40" t="n">
        <f aca="false">(K82/$Q$7)*100</f>
        <v>0.0569259962049336</v>
      </c>
      <c r="M82" s="16" t="s">
        <v>197</v>
      </c>
      <c r="N82" s="16" t="n">
        <f aca="false">IFERROR(INDEX(BMWP_COL!$B$2:$B$103,MATCH($I82,BMWP_COL!$A$2:$A$103,0)),"No aplica")</f>
        <v>6</v>
      </c>
      <c r="O82" s="16"/>
    </row>
    <row r="83" customFormat="false" ht="14.25" hidden="false" customHeight="true" outlineLevel="0" collapsed="false">
      <c r="A83" s="39" t="n">
        <v>45625</v>
      </c>
      <c r="B83" s="16" t="s">
        <v>190</v>
      </c>
      <c r="C83" s="16" t="s">
        <v>15</v>
      </c>
      <c r="D83" s="16" t="s">
        <v>191</v>
      </c>
      <c r="E83" s="16" t="s">
        <v>192</v>
      </c>
      <c r="F83" s="16" t="s">
        <v>255</v>
      </c>
      <c r="G83" s="16" t="n">
        <v>3</v>
      </c>
      <c r="H83" s="16" t="s">
        <v>208</v>
      </c>
      <c r="I83" s="16" t="s">
        <v>209</v>
      </c>
      <c r="J83" s="16" t="s">
        <v>212</v>
      </c>
      <c r="K83" s="16" t="n">
        <v>4</v>
      </c>
      <c r="L83" s="40" t="n">
        <f aca="false">(K83/$Q$7)*100</f>
        <v>0.0759013282732448</v>
      </c>
      <c r="M83" s="16" t="s">
        <v>197</v>
      </c>
      <c r="N83" s="16" t="n">
        <f aca="false">IFERROR(INDEX(BMWP_COL!$B$2:$B$103,MATCH($I83,BMWP_COL!$A$2:$A$103,0)),"No aplica")</f>
        <v>7</v>
      </c>
      <c r="O83" s="16"/>
    </row>
    <row r="84" customFormat="false" ht="14.25" hidden="false" customHeight="true" outlineLevel="0" collapsed="false">
      <c r="A84" s="39" t="n">
        <v>45625</v>
      </c>
      <c r="B84" s="16" t="s">
        <v>190</v>
      </c>
      <c r="C84" s="16" t="s">
        <v>15</v>
      </c>
      <c r="D84" s="16" t="s">
        <v>191</v>
      </c>
      <c r="E84" s="16" t="s">
        <v>192</v>
      </c>
      <c r="F84" s="16" t="s">
        <v>255</v>
      </c>
      <c r="G84" s="16" t="n">
        <v>3</v>
      </c>
      <c r="H84" s="16" t="s">
        <v>208</v>
      </c>
      <c r="I84" s="16" t="s">
        <v>226</v>
      </c>
      <c r="J84" s="16" t="s">
        <v>269</v>
      </c>
      <c r="K84" s="16" t="n">
        <v>1</v>
      </c>
      <c r="L84" s="40" t="n">
        <f aca="false">(K84/$Q$7)*100</f>
        <v>0.0189753320683112</v>
      </c>
      <c r="M84" s="16" t="s">
        <v>197</v>
      </c>
      <c r="N84" s="16" t="n">
        <f aca="false">IFERROR(INDEX(BMWP_COL!$B$2:$B$103,MATCH($I84,BMWP_COL!$A$2:$A$103,0)),"No aplica")</f>
        <v>7</v>
      </c>
      <c r="O84" s="16"/>
    </row>
    <row r="85" customFormat="false" ht="14.25" hidden="false" customHeight="true" outlineLevel="0" collapsed="false">
      <c r="A85" s="39" t="n">
        <v>45625</v>
      </c>
      <c r="B85" s="16" t="s">
        <v>190</v>
      </c>
      <c r="C85" s="16" t="s">
        <v>15</v>
      </c>
      <c r="D85" s="16" t="s">
        <v>191</v>
      </c>
      <c r="E85" s="16" t="s">
        <v>192</v>
      </c>
      <c r="F85" s="16" t="s">
        <v>255</v>
      </c>
      <c r="G85" s="16" t="n">
        <v>3</v>
      </c>
      <c r="H85" s="16" t="s">
        <v>208</v>
      </c>
      <c r="I85" s="16" t="s">
        <v>209</v>
      </c>
      <c r="J85" s="16" t="s">
        <v>210</v>
      </c>
      <c r="K85" s="16" t="n">
        <v>17</v>
      </c>
      <c r="L85" s="40" t="n">
        <f aca="false">(K85/$Q$7)*100</f>
        <v>0.32258064516129</v>
      </c>
      <c r="M85" s="16" t="s">
        <v>211</v>
      </c>
      <c r="N85" s="16" t="n">
        <f aca="false">IFERROR(INDEX(BMWP_COL!$B$2:$B$103,MATCH($I85,BMWP_COL!$A$2:$A$103,0)),"No aplica")</f>
        <v>7</v>
      </c>
      <c r="O85" s="16"/>
    </row>
    <row r="86" customFormat="false" ht="14.25" hidden="false" customHeight="true" outlineLevel="0" collapsed="false">
      <c r="A86" s="39" t="n">
        <v>45625</v>
      </c>
      <c r="B86" s="16" t="s">
        <v>190</v>
      </c>
      <c r="C86" s="16" t="s">
        <v>15</v>
      </c>
      <c r="D86" s="16" t="s">
        <v>191</v>
      </c>
      <c r="E86" s="16" t="s">
        <v>192</v>
      </c>
      <c r="F86" s="16" t="s">
        <v>255</v>
      </c>
      <c r="G86" s="16" t="n">
        <v>3</v>
      </c>
      <c r="H86" s="16" t="s">
        <v>208</v>
      </c>
      <c r="I86" s="16" t="s">
        <v>247</v>
      </c>
      <c r="J86" s="16" t="s">
        <v>248</v>
      </c>
      <c r="K86" s="16" t="n">
        <v>1</v>
      </c>
      <c r="L86" s="40" t="n">
        <f aca="false">(K86/$Q$7)*100</f>
        <v>0.0189753320683112</v>
      </c>
      <c r="M86" s="16" t="s">
        <v>197</v>
      </c>
      <c r="N86" s="16" t="n">
        <f aca="false">IFERROR(INDEX(BMWP_COL!$B$2:$B$103,MATCH($I86,BMWP_COL!$A$2:$A$103,0)),"No aplica")</f>
        <v>9</v>
      </c>
      <c r="O86" s="16"/>
    </row>
    <row r="87" customFormat="false" ht="14.25" hidden="false" customHeight="true" outlineLevel="0" collapsed="false">
      <c r="A87" s="39" t="n">
        <v>45625</v>
      </c>
      <c r="B87" s="16" t="s">
        <v>190</v>
      </c>
      <c r="C87" s="16" t="s">
        <v>15</v>
      </c>
      <c r="D87" s="16" t="s">
        <v>191</v>
      </c>
      <c r="E87" s="16" t="s">
        <v>192</v>
      </c>
      <c r="F87" s="16" t="s">
        <v>255</v>
      </c>
      <c r="G87" s="16" t="n">
        <v>3</v>
      </c>
      <c r="H87" s="16" t="s">
        <v>198</v>
      </c>
      <c r="I87" s="16" t="s">
        <v>205</v>
      </c>
      <c r="J87" s="16" t="s">
        <v>206</v>
      </c>
      <c r="K87" s="16" t="n">
        <v>2</v>
      </c>
      <c r="L87" s="40" t="n">
        <f aca="false">(K87/$Q$7)*100</f>
        <v>0.0379506641366224</v>
      </c>
      <c r="M87" s="16" t="s">
        <v>201</v>
      </c>
      <c r="N87" s="16" t="n">
        <f aca="false">IFERROR(INDEX(BMWP_COL!$B$2:$B$103,MATCH($I87,BMWP_COL!$A$2:$A$103,0)),"No aplica")</f>
        <v>8</v>
      </c>
      <c r="O87" s="16"/>
    </row>
    <row r="88" customFormat="false" ht="14.25" hidden="false" customHeight="true" outlineLevel="0" collapsed="false">
      <c r="A88" s="39" t="n">
        <v>45625</v>
      </c>
      <c r="B88" s="16" t="s">
        <v>190</v>
      </c>
      <c r="C88" s="16" t="s">
        <v>15</v>
      </c>
      <c r="D88" s="16" t="s">
        <v>191</v>
      </c>
      <c r="E88" s="16" t="s">
        <v>192</v>
      </c>
      <c r="F88" s="16" t="s">
        <v>255</v>
      </c>
      <c r="G88" s="16" t="n">
        <v>3</v>
      </c>
      <c r="H88" s="16" t="s">
        <v>219</v>
      </c>
      <c r="I88" s="16" t="s">
        <v>265</v>
      </c>
      <c r="J88" s="16" t="s">
        <v>266</v>
      </c>
      <c r="K88" s="16" t="n">
        <v>4</v>
      </c>
      <c r="L88" s="40" t="n">
        <f aca="false">(K88/$Q$7)*100</f>
        <v>0.0759013282732448</v>
      </c>
      <c r="M88" s="16" t="s">
        <v>211</v>
      </c>
      <c r="N88" s="16" t="n">
        <f aca="false">IFERROR(INDEX(BMWP_COL!$B$2:$B$103,MATCH($I88,BMWP_COL!$A$2:$A$103,0)),"No aplica")</f>
        <v>10</v>
      </c>
      <c r="O88" s="16"/>
    </row>
    <row r="89" customFormat="false" ht="14.25" hidden="false" customHeight="true" outlineLevel="0" collapsed="false">
      <c r="A89" s="39" t="n">
        <v>45625</v>
      </c>
      <c r="B89" s="16" t="s">
        <v>190</v>
      </c>
      <c r="C89" s="16" t="s">
        <v>15</v>
      </c>
      <c r="D89" s="16" t="s">
        <v>191</v>
      </c>
      <c r="E89" s="16" t="s">
        <v>192</v>
      </c>
      <c r="F89" s="16" t="s">
        <v>255</v>
      </c>
      <c r="G89" s="16" t="n">
        <v>3</v>
      </c>
      <c r="H89" s="16" t="s">
        <v>194</v>
      </c>
      <c r="I89" s="16" t="s">
        <v>270</v>
      </c>
      <c r="J89" s="16" t="s">
        <v>271</v>
      </c>
      <c r="K89" s="16" t="n">
        <v>2</v>
      </c>
      <c r="L89" s="40" t="n">
        <f aca="false">(K89/$Q$7)*100</f>
        <v>0.0379506641366224</v>
      </c>
      <c r="M89" s="16" t="s">
        <v>230</v>
      </c>
      <c r="N89" s="16" t="n">
        <f aca="false">IFERROR(INDEX(BMWP_COL!$B$2:$B$103,MATCH($I89,BMWP_COL!$A$2:$A$103,0)),"No aplica")</f>
        <v>9</v>
      </c>
      <c r="O89" s="16"/>
    </row>
    <row r="90" customFormat="false" ht="14.25" hidden="false" customHeight="true" outlineLevel="0" collapsed="false">
      <c r="A90" s="39" t="n">
        <v>45625</v>
      </c>
      <c r="B90" s="16" t="s">
        <v>190</v>
      </c>
      <c r="C90" s="16" t="s">
        <v>15</v>
      </c>
      <c r="D90" s="16" t="s">
        <v>191</v>
      </c>
      <c r="E90" s="16" t="s">
        <v>192</v>
      </c>
      <c r="F90" s="16" t="s">
        <v>255</v>
      </c>
      <c r="G90" s="16" t="n">
        <v>3</v>
      </c>
      <c r="H90" s="16" t="s">
        <v>214</v>
      </c>
      <c r="I90" s="16" t="s">
        <v>252</v>
      </c>
      <c r="J90" s="16" t="s">
        <v>252</v>
      </c>
      <c r="K90" s="16" t="n">
        <v>5</v>
      </c>
      <c r="L90" s="40" t="n">
        <f aca="false">(K90/$Q$7)*100</f>
        <v>0.094876660341556</v>
      </c>
      <c r="M90" s="16" t="s">
        <v>201</v>
      </c>
      <c r="N90" s="16" t="n">
        <f aca="false">IFERROR(INDEX(BMWP_COL!$B$2:$B$103,MATCH($I90,BMWP_COL!$A$2:$A$103,0)),"No aplica")</f>
        <v>6</v>
      </c>
      <c r="O90" s="16"/>
    </row>
    <row r="91" customFormat="false" ht="14.25" hidden="false" customHeight="true" outlineLevel="0" collapsed="false">
      <c r="A91" s="39" t="n">
        <v>45625</v>
      </c>
      <c r="B91" s="16" t="s">
        <v>190</v>
      </c>
      <c r="C91" s="16" t="s">
        <v>15</v>
      </c>
      <c r="D91" s="16" t="s">
        <v>191</v>
      </c>
      <c r="E91" s="16" t="s">
        <v>192</v>
      </c>
      <c r="F91" s="16" t="s">
        <v>255</v>
      </c>
      <c r="G91" s="16" t="n">
        <v>3</v>
      </c>
      <c r="H91" s="16" t="s">
        <v>272</v>
      </c>
      <c r="I91" s="16" t="s">
        <v>273</v>
      </c>
      <c r="J91" s="16" t="s">
        <v>274</v>
      </c>
      <c r="K91" s="16" t="n">
        <v>3</v>
      </c>
      <c r="L91" s="40" t="n">
        <f aca="false">(K91/$Q$7)*100</f>
        <v>0.0569259962049336</v>
      </c>
      <c r="M91" s="16" t="s">
        <v>201</v>
      </c>
      <c r="N91" s="16" t="n">
        <f aca="false">IFERROR(INDEX(BMWP_COL!$B$2:$B$103,MATCH($I91,BMWP_COL!$A$2:$A$103,0)),"No aplica")</f>
        <v>6</v>
      </c>
      <c r="O91" s="16"/>
    </row>
    <row r="92" customFormat="false" ht="14.25" hidden="false" customHeight="true" outlineLevel="0" collapsed="false">
      <c r="A92" s="39" t="n">
        <v>45625</v>
      </c>
      <c r="B92" s="16" t="s">
        <v>190</v>
      </c>
      <c r="C92" s="16" t="s">
        <v>15</v>
      </c>
      <c r="D92" s="16" t="s">
        <v>191</v>
      </c>
      <c r="E92" s="16" t="s">
        <v>192</v>
      </c>
      <c r="F92" s="16" t="s">
        <v>255</v>
      </c>
      <c r="G92" s="16" t="n">
        <v>3</v>
      </c>
      <c r="H92" s="16" t="s">
        <v>208</v>
      </c>
      <c r="I92" s="16" t="s">
        <v>247</v>
      </c>
      <c r="J92" s="16" t="s">
        <v>275</v>
      </c>
      <c r="K92" s="16" t="n">
        <v>1</v>
      </c>
      <c r="L92" s="40" t="n">
        <f aca="false">(K92/$Q$7)*100</f>
        <v>0.0189753320683112</v>
      </c>
      <c r="M92" s="16" t="s">
        <v>197</v>
      </c>
      <c r="N92" s="16" t="n">
        <f aca="false">IFERROR(INDEX(BMWP_COL!$B$2:$B$103,MATCH($I92,BMWP_COL!$A$2:$A$103,0)),"No aplica")</f>
        <v>9</v>
      </c>
      <c r="O92" s="16"/>
    </row>
    <row r="93" customFormat="false" ht="14.25" hidden="false" customHeight="true" outlineLevel="0" collapsed="false">
      <c r="A93" s="39" t="n">
        <v>45625</v>
      </c>
      <c r="B93" s="16" t="s">
        <v>190</v>
      </c>
      <c r="C93" s="16" t="s">
        <v>15</v>
      </c>
      <c r="D93" s="16" t="s">
        <v>191</v>
      </c>
      <c r="E93" s="16" t="s">
        <v>192</v>
      </c>
      <c r="F93" s="16" t="s">
        <v>255</v>
      </c>
      <c r="G93" s="16" t="n">
        <v>3</v>
      </c>
      <c r="H93" s="16" t="s">
        <v>208</v>
      </c>
      <c r="I93" s="16" t="s">
        <v>209</v>
      </c>
      <c r="J93" s="16" t="s">
        <v>276</v>
      </c>
      <c r="K93" s="16" t="n">
        <v>2</v>
      </c>
      <c r="L93" s="40" t="n">
        <f aca="false">(K93/$Q$7)*100</f>
        <v>0.0379506641366224</v>
      </c>
      <c r="M93" s="16" t="s">
        <v>211</v>
      </c>
      <c r="N93" s="16" t="n">
        <f aca="false">IFERROR(INDEX(BMWP_COL!$B$2:$B$103,MATCH($I93,BMWP_COL!$A$2:$A$103,0)),"No aplica")</f>
        <v>7</v>
      </c>
      <c r="O93" s="16"/>
    </row>
    <row r="94" customFormat="false" ht="14.25" hidden="false" customHeight="true" outlineLevel="0" collapsed="false">
      <c r="A94" s="39" t="n">
        <v>45625</v>
      </c>
      <c r="B94" s="16" t="s">
        <v>190</v>
      </c>
      <c r="C94" s="16" t="s">
        <v>15</v>
      </c>
      <c r="D94" s="16" t="s">
        <v>191</v>
      </c>
      <c r="E94" s="16" t="s">
        <v>192</v>
      </c>
      <c r="F94" s="16" t="s">
        <v>255</v>
      </c>
      <c r="G94" s="16" t="n">
        <v>3</v>
      </c>
      <c r="H94" s="16" t="s">
        <v>202</v>
      </c>
      <c r="I94" s="16" t="s">
        <v>228</v>
      </c>
      <c r="J94" s="16" t="s">
        <v>229</v>
      </c>
      <c r="K94" s="16" t="n">
        <v>1</v>
      </c>
      <c r="L94" s="40" t="n">
        <f aca="false">(K94/$Q$7)*100</f>
        <v>0.0189753320683112</v>
      </c>
      <c r="M94" s="16" t="s">
        <v>230</v>
      </c>
      <c r="N94" s="16" t="n">
        <f aca="false">IFERROR(INDEX(BMWP_COL!$B$2:$B$103,MATCH($I94,BMWP_COL!$A$2:$A$103,0)),"No aplica")</f>
        <v>8</v>
      </c>
      <c r="O94" s="16"/>
    </row>
    <row r="95" customFormat="false" ht="14.25" hidden="false" customHeight="true" outlineLevel="0" collapsed="false">
      <c r="A95" s="39" t="n">
        <v>45625</v>
      </c>
      <c r="B95" s="16" t="s">
        <v>190</v>
      </c>
      <c r="C95" s="16" t="s">
        <v>15</v>
      </c>
      <c r="D95" s="16" t="s">
        <v>191</v>
      </c>
      <c r="E95" s="16" t="s">
        <v>192</v>
      </c>
      <c r="F95" s="16" t="s">
        <v>277</v>
      </c>
      <c r="G95" s="16" t="n">
        <v>1</v>
      </c>
      <c r="H95" s="16" t="s">
        <v>272</v>
      </c>
      <c r="I95" s="16" t="s">
        <v>273</v>
      </c>
      <c r="J95" s="16" t="s">
        <v>274</v>
      </c>
      <c r="K95" s="16" t="n">
        <v>2</v>
      </c>
      <c r="L95" s="40" t="n">
        <f aca="false">(K95/$Q$7)*100</f>
        <v>0.0379506641366224</v>
      </c>
      <c r="M95" s="16" t="s">
        <v>201</v>
      </c>
      <c r="N95" s="16" t="n">
        <f aca="false">IFERROR(INDEX(BMWP_COL!$B$2:$B$103,MATCH($I95,BMWP_COL!$A$2:$A$103,0)),"No aplica")</f>
        <v>6</v>
      </c>
      <c r="O95" s="16"/>
    </row>
    <row r="96" customFormat="false" ht="14.25" hidden="false" customHeight="true" outlineLevel="0" collapsed="false">
      <c r="A96" s="39" t="n">
        <v>45625</v>
      </c>
      <c r="B96" s="16" t="s">
        <v>190</v>
      </c>
      <c r="C96" s="16" t="s">
        <v>15</v>
      </c>
      <c r="D96" s="16" t="s">
        <v>191</v>
      </c>
      <c r="E96" s="16" t="s">
        <v>192</v>
      </c>
      <c r="F96" s="16" t="s">
        <v>277</v>
      </c>
      <c r="G96" s="16" t="n">
        <v>1</v>
      </c>
      <c r="H96" s="16" t="s">
        <v>202</v>
      </c>
      <c r="I96" s="16" t="s">
        <v>203</v>
      </c>
      <c r="J96" s="41" t="s">
        <v>204</v>
      </c>
      <c r="K96" s="16" t="n">
        <v>33</v>
      </c>
      <c r="L96" s="40" t="n">
        <f aca="false">(K96/$Q$7)*100</f>
        <v>0.62618595825427</v>
      </c>
      <c r="M96" s="16" t="s">
        <v>197</v>
      </c>
      <c r="N96" s="16" t="n">
        <f aca="false">IFERROR(INDEX(BMWP_COL!$B$2:$B$103,MATCH($I96,BMWP_COL!$A$2:$A$103,0)),"No aplica")</f>
        <v>2</v>
      </c>
      <c r="O96" s="16"/>
    </row>
    <row r="97" customFormat="false" ht="14.25" hidden="false" customHeight="true" outlineLevel="0" collapsed="false">
      <c r="A97" s="39" t="n">
        <v>45625</v>
      </c>
      <c r="B97" s="16" t="s">
        <v>190</v>
      </c>
      <c r="C97" s="16" t="s">
        <v>15</v>
      </c>
      <c r="D97" s="16" t="s">
        <v>191</v>
      </c>
      <c r="E97" s="16" t="s">
        <v>192</v>
      </c>
      <c r="F97" s="16" t="s">
        <v>277</v>
      </c>
      <c r="G97" s="16" t="n">
        <v>1</v>
      </c>
      <c r="H97" s="16" t="s">
        <v>219</v>
      </c>
      <c r="I97" s="16" t="s">
        <v>220</v>
      </c>
      <c r="J97" s="16" t="s">
        <v>221</v>
      </c>
      <c r="K97" s="16" t="n">
        <v>24</v>
      </c>
      <c r="L97" s="40" t="n">
        <f aca="false">(K97/$Q$7)*100</f>
        <v>0.455407969639469</v>
      </c>
      <c r="M97" s="16" t="s">
        <v>197</v>
      </c>
      <c r="N97" s="16" t="n">
        <f aca="false">IFERROR(INDEX(BMWP_COL!$B$2:$B$103,MATCH($I97,BMWP_COL!$A$2:$A$103,0)),"No aplica")</f>
        <v>6</v>
      </c>
      <c r="O97" s="16"/>
    </row>
    <row r="98" customFormat="false" ht="14.25" hidden="false" customHeight="true" outlineLevel="0" collapsed="false">
      <c r="A98" s="39" t="n">
        <v>45625</v>
      </c>
      <c r="B98" s="16" t="s">
        <v>190</v>
      </c>
      <c r="C98" s="16" t="s">
        <v>15</v>
      </c>
      <c r="D98" s="16" t="s">
        <v>191</v>
      </c>
      <c r="E98" s="16" t="s">
        <v>192</v>
      </c>
      <c r="F98" s="16" t="s">
        <v>277</v>
      </c>
      <c r="G98" s="16" t="n">
        <v>1</v>
      </c>
      <c r="H98" s="16" t="s">
        <v>202</v>
      </c>
      <c r="I98" s="16" t="s">
        <v>203</v>
      </c>
      <c r="J98" s="16" t="s">
        <v>213</v>
      </c>
      <c r="K98" s="16" t="n">
        <v>46</v>
      </c>
      <c r="L98" s="40" t="n">
        <f aca="false">(K98/$Q$7)*100</f>
        <v>0.872865275142315</v>
      </c>
      <c r="M98" s="16" t="s">
        <v>201</v>
      </c>
      <c r="N98" s="16" t="n">
        <f aca="false">IFERROR(INDEX(BMWP_COL!$B$2:$B$103,MATCH($I98,BMWP_COL!$A$2:$A$103,0)),"No aplica")</f>
        <v>2</v>
      </c>
      <c r="O98" s="16"/>
    </row>
    <row r="99" customFormat="false" ht="14.25" hidden="false" customHeight="true" outlineLevel="0" collapsed="false">
      <c r="A99" s="39" t="n">
        <v>45625</v>
      </c>
      <c r="B99" s="16" t="s">
        <v>190</v>
      </c>
      <c r="C99" s="16" t="s">
        <v>15</v>
      </c>
      <c r="D99" s="16" t="s">
        <v>191</v>
      </c>
      <c r="E99" s="16" t="s">
        <v>192</v>
      </c>
      <c r="F99" s="16" t="s">
        <v>277</v>
      </c>
      <c r="G99" s="16" t="n">
        <v>1</v>
      </c>
      <c r="H99" s="16" t="s">
        <v>208</v>
      </c>
      <c r="I99" s="16" t="s">
        <v>226</v>
      </c>
      <c r="J99" s="16" t="s">
        <v>227</v>
      </c>
      <c r="K99" s="16" t="n">
        <v>5</v>
      </c>
      <c r="L99" s="40" t="n">
        <f aca="false">(K99/$Q$7)*100</f>
        <v>0.094876660341556</v>
      </c>
      <c r="M99" s="16" t="s">
        <v>197</v>
      </c>
      <c r="N99" s="16" t="n">
        <f aca="false">IFERROR(INDEX(BMWP_COL!$B$2:$B$103,MATCH($I99,BMWP_COL!$A$2:$A$103,0)),"No aplica")</f>
        <v>7</v>
      </c>
      <c r="O99" s="16"/>
    </row>
    <row r="100" customFormat="false" ht="14.25" hidden="false" customHeight="true" outlineLevel="0" collapsed="false">
      <c r="A100" s="39" t="n">
        <v>45625</v>
      </c>
      <c r="B100" s="16" t="s">
        <v>190</v>
      </c>
      <c r="C100" s="16" t="s">
        <v>15</v>
      </c>
      <c r="D100" s="16" t="s">
        <v>191</v>
      </c>
      <c r="E100" s="16" t="s">
        <v>192</v>
      </c>
      <c r="F100" s="16" t="s">
        <v>277</v>
      </c>
      <c r="G100" s="16" t="n">
        <v>1</v>
      </c>
      <c r="H100" s="16" t="s">
        <v>249</v>
      </c>
      <c r="I100" s="16" t="s">
        <v>250</v>
      </c>
      <c r="J100" s="16" t="s">
        <v>251</v>
      </c>
      <c r="K100" s="16" t="n">
        <v>1</v>
      </c>
      <c r="L100" s="40" t="n">
        <f aca="false">(K100/$Q$7)*100</f>
        <v>0.0189753320683112</v>
      </c>
      <c r="M100" s="16" t="s">
        <v>201</v>
      </c>
      <c r="N100" s="16" t="n">
        <f aca="false">IFERROR(INDEX(BMWP_COL!$B$2:$B$103,MATCH($I100,BMWP_COL!$A$2:$A$103,0)),"No aplica")</f>
        <v>10</v>
      </c>
      <c r="O100" s="16"/>
    </row>
    <row r="101" customFormat="false" ht="14.25" hidden="false" customHeight="true" outlineLevel="0" collapsed="false">
      <c r="A101" s="39" t="n">
        <v>45625</v>
      </c>
      <c r="B101" s="16" t="s">
        <v>190</v>
      </c>
      <c r="C101" s="16" t="s">
        <v>15</v>
      </c>
      <c r="D101" s="16" t="s">
        <v>191</v>
      </c>
      <c r="E101" s="16" t="s">
        <v>192</v>
      </c>
      <c r="F101" s="16" t="s">
        <v>277</v>
      </c>
      <c r="G101" s="16" t="n">
        <v>1</v>
      </c>
      <c r="H101" s="16" t="s">
        <v>208</v>
      </c>
      <c r="I101" s="16" t="s">
        <v>209</v>
      </c>
      <c r="J101" s="16" t="s">
        <v>210</v>
      </c>
      <c r="K101" s="16" t="n">
        <v>1</v>
      </c>
      <c r="L101" s="40" t="n">
        <f aca="false">(K101/$Q$7)*100</f>
        <v>0.0189753320683112</v>
      </c>
      <c r="M101" s="16" t="s">
        <v>211</v>
      </c>
      <c r="N101" s="16" t="n">
        <f aca="false">IFERROR(INDEX(BMWP_COL!$B$2:$B$103,MATCH($I101,BMWP_COL!$A$2:$A$103,0)),"No aplica")</f>
        <v>7</v>
      </c>
      <c r="O101" s="16"/>
    </row>
    <row r="102" customFormat="false" ht="14.25" hidden="false" customHeight="true" outlineLevel="0" collapsed="false">
      <c r="A102" s="39" t="n">
        <v>45625</v>
      </c>
      <c r="B102" s="16" t="s">
        <v>190</v>
      </c>
      <c r="C102" s="16" t="s">
        <v>15</v>
      </c>
      <c r="D102" s="16" t="s">
        <v>191</v>
      </c>
      <c r="E102" s="16" t="s">
        <v>192</v>
      </c>
      <c r="F102" s="16" t="s">
        <v>277</v>
      </c>
      <c r="G102" s="16" t="n">
        <v>1</v>
      </c>
      <c r="H102" s="16" t="s">
        <v>202</v>
      </c>
      <c r="I102" s="16" t="s">
        <v>228</v>
      </c>
      <c r="J102" s="16" t="s">
        <v>229</v>
      </c>
      <c r="K102" s="16" t="n">
        <v>6</v>
      </c>
      <c r="L102" s="40" t="n">
        <f aca="false">(K102/$Q$7)*100</f>
        <v>0.113851992409867</v>
      </c>
      <c r="M102" s="16" t="s">
        <v>230</v>
      </c>
      <c r="N102" s="16" t="n">
        <f aca="false">IFERROR(INDEX(BMWP_COL!$B$2:$B$103,MATCH($I102,BMWP_COL!$A$2:$A$103,0)),"No aplica")</f>
        <v>8</v>
      </c>
      <c r="O102" s="16"/>
    </row>
    <row r="103" customFormat="false" ht="14.25" hidden="false" customHeight="true" outlineLevel="0" collapsed="false">
      <c r="A103" s="39" t="n">
        <v>45625</v>
      </c>
      <c r="B103" s="16" t="s">
        <v>190</v>
      </c>
      <c r="C103" s="16" t="s">
        <v>15</v>
      </c>
      <c r="D103" s="16" t="s">
        <v>191</v>
      </c>
      <c r="E103" s="16" t="s">
        <v>192</v>
      </c>
      <c r="F103" s="16" t="s">
        <v>277</v>
      </c>
      <c r="G103" s="16" t="n">
        <v>1</v>
      </c>
      <c r="H103" s="16" t="s">
        <v>194</v>
      </c>
      <c r="I103" s="16" t="s">
        <v>223</v>
      </c>
      <c r="J103" s="16" t="s">
        <v>234</v>
      </c>
      <c r="K103" s="16" t="n">
        <v>2</v>
      </c>
      <c r="L103" s="40" t="n">
        <f aca="false">(K103/$Q$7)*100</f>
        <v>0.0379506641366224</v>
      </c>
      <c r="M103" s="16" t="s">
        <v>225</v>
      </c>
      <c r="N103" s="16" t="n">
        <f aca="false">IFERROR(INDEX(BMWP_COL!$B$2:$B$103,MATCH($I103,BMWP_COL!$A$2:$A$103,0)),"No aplica")</f>
        <v>7</v>
      </c>
      <c r="O103" s="16"/>
    </row>
    <row r="104" customFormat="false" ht="14.25" hidden="false" customHeight="true" outlineLevel="0" collapsed="false">
      <c r="A104" s="39" t="n">
        <v>45625</v>
      </c>
      <c r="B104" s="16" t="s">
        <v>190</v>
      </c>
      <c r="C104" s="16" t="s">
        <v>15</v>
      </c>
      <c r="D104" s="16" t="s">
        <v>191</v>
      </c>
      <c r="E104" s="16" t="s">
        <v>192</v>
      </c>
      <c r="F104" s="16" t="s">
        <v>277</v>
      </c>
      <c r="G104" s="16" t="n">
        <v>1</v>
      </c>
      <c r="H104" s="16" t="s">
        <v>219</v>
      </c>
      <c r="I104" s="16" t="s">
        <v>220</v>
      </c>
      <c r="J104" s="16" t="s">
        <v>278</v>
      </c>
      <c r="K104" s="16" t="n">
        <v>2</v>
      </c>
      <c r="L104" s="40" t="n">
        <f aca="false">(K104/$Q$7)*100</f>
        <v>0.0379506641366224</v>
      </c>
      <c r="M104" s="16" t="s">
        <v>197</v>
      </c>
      <c r="N104" s="16" t="n">
        <f aca="false">IFERROR(INDEX(BMWP_COL!$B$2:$B$103,MATCH($I104,BMWP_COL!$A$2:$A$103,0)),"No aplica")</f>
        <v>6</v>
      </c>
      <c r="O104" s="16"/>
    </row>
    <row r="105" customFormat="false" ht="14.25" hidden="false" customHeight="true" outlineLevel="0" collapsed="false">
      <c r="A105" s="39" t="n">
        <v>45625</v>
      </c>
      <c r="B105" s="16" t="s">
        <v>190</v>
      </c>
      <c r="C105" s="16" t="s">
        <v>15</v>
      </c>
      <c r="D105" s="16" t="s">
        <v>191</v>
      </c>
      <c r="E105" s="16" t="s">
        <v>192</v>
      </c>
      <c r="F105" s="16" t="s">
        <v>277</v>
      </c>
      <c r="G105" s="16" t="n">
        <v>1</v>
      </c>
      <c r="H105" s="16" t="s">
        <v>194</v>
      </c>
      <c r="I105" s="16" t="s">
        <v>238</v>
      </c>
      <c r="J105" s="16" t="s">
        <v>239</v>
      </c>
      <c r="K105" s="16" t="n">
        <v>1</v>
      </c>
      <c r="L105" s="40" t="n">
        <f aca="false">(K105/$Q$7)*100</f>
        <v>0.0189753320683112</v>
      </c>
      <c r="M105" s="16" t="s">
        <v>225</v>
      </c>
      <c r="N105" s="16" t="n">
        <f aca="false">IFERROR(INDEX(BMWP_COL!$B$2:$B$103,MATCH($I105,BMWP_COL!$A$2:$A$103,0)),"No aplica")</f>
        <v>10</v>
      </c>
      <c r="O105" s="16"/>
    </row>
    <row r="106" customFormat="false" ht="14.25" hidden="false" customHeight="true" outlineLevel="0" collapsed="false">
      <c r="A106" s="39" t="n">
        <v>45625</v>
      </c>
      <c r="B106" s="16" t="s">
        <v>190</v>
      </c>
      <c r="C106" s="16" t="s">
        <v>15</v>
      </c>
      <c r="D106" s="16" t="s">
        <v>191</v>
      </c>
      <c r="E106" s="16" t="s">
        <v>192</v>
      </c>
      <c r="F106" s="16" t="s">
        <v>277</v>
      </c>
      <c r="G106" s="16" t="n">
        <v>1</v>
      </c>
      <c r="H106" s="16" t="s">
        <v>219</v>
      </c>
      <c r="I106" s="16" t="s">
        <v>279</v>
      </c>
      <c r="J106" s="16" t="s">
        <v>279</v>
      </c>
      <c r="K106" s="16" t="n">
        <v>2</v>
      </c>
      <c r="L106" s="40" t="n">
        <f aca="false">(K106/$Q$7)*100</f>
        <v>0.0379506641366224</v>
      </c>
      <c r="M106" s="16" t="s">
        <v>201</v>
      </c>
      <c r="N106" s="16" t="n">
        <f aca="false">IFERROR(INDEX(BMWP_COL!$B$2:$B$103,MATCH($I106,BMWP_COL!$A$2:$A$103,0)),"No aplica")</f>
        <v>6</v>
      </c>
      <c r="O106" s="16"/>
    </row>
    <row r="107" customFormat="false" ht="14.25" hidden="false" customHeight="true" outlineLevel="0" collapsed="false">
      <c r="A107" s="39" t="n">
        <v>45625</v>
      </c>
      <c r="B107" s="16" t="s">
        <v>190</v>
      </c>
      <c r="C107" s="16" t="s">
        <v>15</v>
      </c>
      <c r="D107" s="16" t="s">
        <v>191</v>
      </c>
      <c r="E107" s="16" t="s">
        <v>192</v>
      </c>
      <c r="F107" s="16" t="s">
        <v>277</v>
      </c>
      <c r="G107" s="16" t="n">
        <v>1</v>
      </c>
      <c r="H107" s="16" t="s">
        <v>208</v>
      </c>
      <c r="I107" s="16" t="s">
        <v>209</v>
      </c>
      <c r="J107" s="16" t="s">
        <v>212</v>
      </c>
      <c r="K107" s="16" t="n">
        <v>7</v>
      </c>
      <c r="L107" s="40" t="n">
        <f aca="false">(K107/$Q$7)*100</f>
        <v>0.132827324478178</v>
      </c>
      <c r="M107" s="16" t="s">
        <v>197</v>
      </c>
      <c r="N107" s="16" t="n">
        <f aca="false">IFERROR(INDEX(BMWP_COL!$B$2:$B$103,MATCH($I107,BMWP_COL!$A$2:$A$103,0)),"No aplica")</f>
        <v>7</v>
      </c>
      <c r="O107" s="16"/>
    </row>
    <row r="108" customFormat="false" ht="14.25" hidden="false" customHeight="true" outlineLevel="0" collapsed="false">
      <c r="A108" s="39" t="n">
        <v>45625</v>
      </c>
      <c r="B108" s="16" t="s">
        <v>190</v>
      </c>
      <c r="C108" s="16" t="s">
        <v>15</v>
      </c>
      <c r="D108" s="16" t="s">
        <v>191</v>
      </c>
      <c r="E108" s="16" t="s">
        <v>192</v>
      </c>
      <c r="F108" s="16" t="s">
        <v>277</v>
      </c>
      <c r="G108" s="16" t="n">
        <v>1</v>
      </c>
      <c r="H108" s="16" t="s">
        <v>198</v>
      </c>
      <c r="I108" s="16" t="s">
        <v>199</v>
      </c>
      <c r="J108" s="16" t="s">
        <v>200</v>
      </c>
      <c r="K108" s="16" t="n">
        <v>3</v>
      </c>
      <c r="L108" s="40" t="n">
        <f aca="false">(K108/$Q$7)*100</f>
        <v>0.0569259962049336</v>
      </c>
      <c r="M108" s="16" t="s">
        <v>201</v>
      </c>
      <c r="N108" s="16" t="n">
        <f aca="false">IFERROR(INDEX(BMWP_COL!$B$2:$B$103,MATCH($I108,BMWP_COL!$A$2:$A$103,0)),"No aplica")</f>
        <v>7</v>
      </c>
      <c r="O108" s="16"/>
    </row>
    <row r="109" customFormat="false" ht="14.25" hidden="false" customHeight="true" outlineLevel="0" collapsed="false">
      <c r="A109" s="39" t="n">
        <v>45625</v>
      </c>
      <c r="B109" s="16" t="s">
        <v>190</v>
      </c>
      <c r="C109" s="16" t="s">
        <v>15</v>
      </c>
      <c r="D109" s="16" t="s">
        <v>191</v>
      </c>
      <c r="E109" s="16" t="s">
        <v>192</v>
      </c>
      <c r="F109" s="16" t="s">
        <v>277</v>
      </c>
      <c r="G109" s="16" t="n">
        <v>1</v>
      </c>
      <c r="H109" s="16" t="s">
        <v>272</v>
      </c>
      <c r="I109" s="16" t="s">
        <v>273</v>
      </c>
      <c r="J109" s="16" t="s">
        <v>274</v>
      </c>
      <c r="K109" s="16" t="n">
        <v>3</v>
      </c>
      <c r="L109" s="40" t="n">
        <f aca="false">(K109/$Q$7)*100</f>
        <v>0.0569259962049336</v>
      </c>
      <c r="M109" s="16" t="s">
        <v>201</v>
      </c>
      <c r="N109" s="16" t="n">
        <f aca="false">IFERROR(INDEX(BMWP_COL!$B$2:$B$103,MATCH($I109,BMWP_COL!$A$2:$A$103,0)),"No aplica")</f>
        <v>6</v>
      </c>
      <c r="O109" s="16"/>
    </row>
    <row r="110" customFormat="false" ht="14.25" hidden="false" customHeight="true" outlineLevel="0" collapsed="false">
      <c r="A110" s="39" t="n">
        <v>45625</v>
      </c>
      <c r="B110" s="16" t="s">
        <v>190</v>
      </c>
      <c r="C110" s="16" t="s">
        <v>15</v>
      </c>
      <c r="D110" s="16" t="s">
        <v>191</v>
      </c>
      <c r="E110" s="16" t="s">
        <v>192</v>
      </c>
      <c r="F110" s="16" t="s">
        <v>277</v>
      </c>
      <c r="G110" s="16" t="n">
        <v>1</v>
      </c>
      <c r="H110" s="16" t="s">
        <v>202</v>
      </c>
      <c r="I110" s="16" t="s">
        <v>203</v>
      </c>
      <c r="J110" s="41" t="s">
        <v>204</v>
      </c>
      <c r="K110" s="16" t="n">
        <v>4</v>
      </c>
      <c r="L110" s="40" t="n">
        <f aca="false">(K110/$Q$7)*100</f>
        <v>0.0759013282732448</v>
      </c>
      <c r="M110" s="16" t="s">
        <v>197</v>
      </c>
      <c r="N110" s="16" t="n">
        <f aca="false">IFERROR(INDEX(BMWP_COL!$B$2:$B$103,MATCH($I110,BMWP_COL!$A$2:$A$103,0)),"No aplica")</f>
        <v>2</v>
      </c>
      <c r="O110" s="16"/>
    </row>
    <row r="111" customFormat="false" ht="14.25" hidden="false" customHeight="true" outlineLevel="0" collapsed="false">
      <c r="A111" s="39" t="n">
        <v>45625</v>
      </c>
      <c r="B111" s="16" t="s">
        <v>190</v>
      </c>
      <c r="C111" s="16" t="s">
        <v>15</v>
      </c>
      <c r="D111" s="16" t="s">
        <v>191</v>
      </c>
      <c r="E111" s="16" t="s">
        <v>192</v>
      </c>
      <c r="F111" s="16" t="s">
        <v>277</v>
      </c>
      <c r="G111" s="16" t="n">
        <v>1</v>
      </c>
      <c r="H111" s="16" t="s">
        <v>280</v>
      </c>
      <c r="I111" s="16" t="s">
        <v>281</v>
      </c>
      <c r="J111" s="16" t="s">
        <v>282</v>
      </c>
      <c r="K111" s="16" t="n">
        <v>1</v>
      </c>
      <c r="L111" s="40" t="n">
        <f aca="false">(K111/$Q$7)*100</f>
        <v>0.0189753320683112</v>
      </c>
      <c r="M111" s="16" t="s">
        <v>197</v>
      </c>
      <c r="N111" s="16" t="n">
        <f aca="false">IFERROR(INDEX(BMWP_COL!$B$2:$B$103,MATCH($I111,BMWP_COL!$A$2:$A$103,0)),"No aplica")</f>
        <v>6</v>
      </c>
      <c r="O111" s="16"/>
    </row>
    <row r="112" customFormat="false" ht="14.25" hidden="false" customHeight="true" outlineLevel="0" collapsed="false">
      <c r="A112" s="39" t="n">
        <v>45625</v>
      </c>
      <c r="B112" s="16" t="s">
        <v>190</v>
      </c>
      <c r="C112" s="16" t="s">
        <v>15</v>
      </c>
      <c r="D112" s="16" t="s">
        <v>191</v>
      </c>
      <c r="E112" s="16" t="s">
        <v>192</v>
      </c>
      <c r="F112" s="16" t="s">
        <v>277</v>
      </c>
      <c r="G112" s="16" t="n">
        <v>2</v>
      </c>
      <c r="H112" s="16" t="s">
        <v>219</v>
      </c>
      <c r="I112" s="16" t="s">
        <v>220</v>
      </c>
      <c r="J112" s="16" t="s">
        <v>221</v>
      </c>
      <c r="K112" s="16" t="n">
        <v>36</v>
      </c>
      <c r="L112" s="40" t="n">
        <f aca="false">(K112/$Q$7)*100</f>
        <v>0.683111954459203</v>
      </c>
      <c r="M112" s="16" t="s">
        <v>197</v>
      </c>
      <c r="N112" s="16" t="n">
        <f aca="false">IFERROR(INDEX(BMWP_COL!$B$2:$B$103,MATCH($I112,BMWP_COL!$A$2:$A$103,0)),"No aplica")</f>
        <v>6</v>
      </c>
      <c r="O112" s="16"/>
    </row>
    <row r="113" customFormat="false" ht="14.25" hidden="false" customHeight="true" outlineLevel="0" collapsed="false">
      <c r="A113" s="39" t="n">
        <v>45625</v>
      </c>
      <c r="B113" s="16" t="s">
        <v>190</v>
      </c>
      <c r="C113" s="16" t="s">
        <v>15</v>
      </c>
      <c r="D113" s="16" t="s">
        <v>191</v>
      </c>
      <c r="E113" s="16" t="s">
        <v>192</v>
      </c>
      <c r="F113" s="16" t="s">
        <v>277</v>
      </c>
      <c r="G113" s="16" t="n">
        <v>2</v>
      </c>
      <c r="H113" s="16" t="s">
        <v>249</v>
      </c>
      <c r="I113" s="16" t="s">
        <v>250</v>
      </c>
      <c r="J113" s="16" t="s">
        <v>251</v>
      </c>
      <c r="K113" s="16" t="n">
        <v>5</v>
      </c>
      <c r="L113" s="40" t="n">
        <f aca="false">(K113/$Q$7)*100</f>
        <v>0.094876660341556</v>
      </c>
      <c r="M113" s="16" t="s">
        <v>201</v>
      </c>
      <c r="N113" s="16" t="n">
        <f aca="false">IFERROR(INDEX(BMWP_COL!$B$2:$B$103,MATCH($I113,BMWP_COL!$A$2:$A$103,0)),"No aplica")</f>
        <v>10</v>
      </c>
      <c r="O113" s="16"/>
    </row>
    <row r="114" customFormat="false" ht="14.25" hidden="false" customHeight="true" outlineLevel="0" collapsed="false">
      <c r="A114" s="39" t="n">
        <v>45625</v>
      </c>
      <c r="B114" s="16" t="s">
        <v>190</v>
      </c>
      <c r="C114" s="16" t="s">
        <v>15</v>
      </c>
      <c r="D114" s="16" t="s">
        <v>191</v>
      </c>
      <c r="E114" s="16" t="s">
        <v>192</v>
      </c>
      <c r="F114" s="16" t="s">
        <v>277</v>
      </c>
      <c r="G114" s="16" t="n">
        <v>2</v>
      </c>
      <c r="H114" s="16" t="s">
        <v>202</v>
      </c>
      <c r="I114" s="16" t="s">
        <v>203</v>
      </c>
      <c r="J114" s="41" t="s">
        <v>204</v>
      </c>
      <c r="K114" s="16" t="n">
        <v>50</v>
      </c>
      <c r="L114" s="40" t="n">
        <f aca="false">(K114/$Q$7)*100</f>
        <v>0.94876660341556</v>
      </c>
      <c r="M114" s="16" t="s">
        <v>197</v>
      </c>
      <c r="N114" s="16" t="n">
        <f aca="false">IFERROR(INDEX(BMWP_COL!$B$2:$B$103,MATCH($I114,BMWP_COL!$A$2:$A$103,0)),"No aplica")</f>
        <v>2</v>
      </c>
      <c r="O114" s="16"/>
    </row>
    <row r="115" customFormat="false" ht="14.25" hidden="false" customHeight="true" outlineLevel="0" collapsed="false">
      <c r="A115" s="39" t="n">
        <v>45625</v>
      </c>
      <c r="B115" s="16" t="s">
        <v>190</v>
      </c>
      <c r="C115" s="16" t="s">
        <v>15</v>
      </c>
      <c r="D115" s="16" t="s">
        <v>191</v>
      </c>
      <c r="E115" s="16" t="s">
        <v>192</v>
      </c>
      <c r="F115" s="16" t="s">
        <v>277</v>
      </c>
      <c r="G115" s="16" t="n">
        <v>2</v>
      </c>
      <c r="H115" s="16" t="s">
        <v>202</v>
      </c>
      <c r="I115" s="16" t="s">
        <v>203</v>
      </c>
      <c r="J115" s="16" t="s">
        <v>213</v>
      </c>
      <c r="K115" s="16" t="n">
        <v>8</v>
      </c>
      <c r="L115" s="40" t="n">
        <f aca="false">(K115/$Q$7)*100</f>
        <v>0.15180265654649</v>
      </c>
      <c r="M115" s="16" t="s">
        <v>201</v>
      </c>
      <c r="N115" s="16" t="n">
        <f aca="false">IFERROR(INDEX(BMWP_COL!$B$2:$B$103,MATCH($I115,BMWP_COL!$A$2:$A$103,0)),"No aplica")</f>
        <v>2</v>
      </c>
      <c r="O115" s="16"/>
    </row>
    <row r="116" customFormat="false" ht="14.25" hidden="false" customHeight="true" outlineLevel="0" collapsed="false">
      <c r="A116" s="39" t="n">
        <v>45625</v>
      </c>
      <c r="B116" s="16" t="s">
        <v>190</v>
      </c>
      <c r="C116" s="16" t="s">
        <v>15</v>
      </c>
      <c r="D116" s="16" t="s">
        <v>191</v>
      </c>
      <c r="E116" s="16" t="s">
        <v>192</v>
      </c>
      <c r="F116" s="16" t="s">
        <v>277</v>
      </c>
      <c r="G116" s="16" t="n">
        <v>2</v>
      </c>
      <c r="H116" s="16" t="s">
        <v>202</v>
      </c>
      <c r="I116" s="16" t="s">
        <v>228</v>
      </c>
      <c r="J116" s="16" t="s">
        <v>229</v>
      </c>
      <c r="K116" s="16" t="n">
        <v>29</v>
      </c>
      <c r="L116" s="40" t="n">
        <f aca="false">(K116/$Q$7)*100</f>
        <v>0.550284629981025</v>
      </c>
      <c r="M116" s="16" t="s">
        <v>230</v>
      </c>
      <c r="N116" s="16" t="n">
        <f aca="false">IFERROR(INDEX(BMWP_COL!$B$2:$B$103,MATCH($I116,BMWP_COL!$A$2:$A$103,0)),"No aplica")</f>
        <v>8</v>
      </c>
      <c r="O116" s="16"/>
    </row>
    <row r="117" customFormat="false" ht="14.25" hidden="false" customHeight="true" outlineLevel="0" collapsed="false">
      <c r="A117" s="39" t="n">
        <v>45625</v>
      </c>
      <c r="B117" s="16" t="s">
        <v>190</v>
      </c>
      <c r="C117" s="16" t="s">
        <v>15</v>
      </c>
      <c r="D117" s="16" t="s">
        <v>191</v>
      </c>
      <c r="E117" s="16" t="s">
        <v>192</v>
      </c>
      <c r="F117" s="16" t="s">
        <v>277</v>
      </c>
      <c r="G117" s="16" t="n">
        <v>2</v>
      </c>
      <c r="H117" s="16" t="s">
        <v>194</v>
      </c>
      <c r="I117" s="16" t="s">
        <v>223</v>
      </c>
      <c r="J117" s="16" t="s">
        <v>224</v>
      </c>
      <c r="K117" s="16" t="n">
        <v>13</v>
      </c>
      <c r="L117" s="40" t="n">
        <f aca="false">(K117/$Q$7)*100</f>
        <v>0.246679316888046</v>
      </c>
      <c r="M117" s="16" t="s">
        <v>225</v>
      </c>
      <c r="N117" s="16" t="n">
        <f aca="false">IFERROR(INDEX(BMWP_COL!$B$2:$B$103,MATCH($I117,BMWP_COL!$A$2:$A$103,0)),"No aplica")</f>
        <v>7</v>
      </c>
      <c r="O117" s="16"/>
    </row>
    <row r="118" customFormat="false" ht="14.25" hidden="false" customHeight="true" outlineLevel="0" collapsed="false">
      <c r="A118" s="39" t="n">
        <v>45625</v>
      </c>
      <c r="B118" s="16" t="s">
        <v>190</v>
      </c>
      <c r="C118" s="16" t="s">
        <v>15</v>
      </c>
      <c r="D118" s="16" t="s">
        <v>191</v>
      </c>
      <c r="E118" s="16" t="s">
        <v>192</v>
      </c>
      <c r="F118" s="16" t="s">
        <v>277</v>
      </c>
      <c r="G118" s="16" t="n">
        <v>2</v>
      </c>
      <c r="H118" s="16" t="s">
        <v>219</v>
      </c>
      <c r="I118" s="16" t="s">
        <v>260</v>
      </c>
      <c r="J118" s="16" t="s">
        <v>261</v>
      </c>
      <c r="K118" s="16" t="n">
        <v>4</v>
      </c>
      <c r="L118" s="40" t="n">
        <f aca="false">(K118/$Q$7)*100</f>
        <v>0.0759013282732448</v>
      </c>
      <c r="M118" s="16" t="s">
        <v>225</v>
      </c>
      <c r="N118" s="16" t="n">
        <f aca="false">IFERROR(INDEX(BMWP_COL!$B$2:$B$103,MATCH($I118,BMWP_COL!$A$2:$A$103,0)),"No aplica")</f>
        <v>10</v>
      </c>
      <c r="O118" s="16"/>
    </row>
    <row r="119" customFormat="false" ht="14.25" hidden="false" customHeight="true" outlineLevel="0" collapsed="false">
      <c r="A119" s="39" t="n">
        <v>45625</v>
      </c>
      <c r="B119" s="16" t="s">
        <v>190</v>
      </c>
      <c r="C119" s="16" t="s">
        <v>15</v>
      </c>
      <c r="D119" s="16" t="s">
        <v>191</v>
      </c>
      <c r="E119" s="16" t="s">
        <v>192</v>
      </c>
      <c r="F119" s="16" t="s">
        <v>277</v>
      </c>
      <c r="G119" s="16" t="n">
        <v>2</v>
      </c>
      <c r="H119" s="16" t="s">
        <v>194</v>
      </c>
      <c r="I119" s="16" t="s">
        <v>238</v>
      </c>
      <c r="J119" s="16" t="s">
        <v>239</v>
      </c>
      <c r="K119" s="16" t="n">
        <v>2</v>
      </c>
      <c r="L119" s="40" t="n">
        <f aca="false">(K119/$Q$7)*100</f>
        <v>0.0379506641366224</v>
      </c>
      <c r="M119" s="16" t="s">
        <v>225</v>
      </c>
      <c r="N119" s="16" t="n">
        <f aca="false">IFERROR(INDEX(BMWP_COL!$B$2:$B$103,MATCH($I119,BMWP_COL!$A$2:$A$103,0)),"No aplica")</f>
        <v>10</v>
      </c>
      <c r="O119" s="16"/>
    </row>
    <row r="120" customFormat="false" ht="14.25" hidden="false" customHeight="true" outlineLevel="0" collapsed="false">
      <c r="A120" s="39" t="n">
        <v>45625</v>
      </c>
      <c r="B120" s="16" t="s">
        <v>190</v>
      </c>
      <c r="C120" s="16" t="s">
        <v>15</v>
      </c>
      <c r="D120" s="16" t="s">
        <v>191</v>
      </c>
      <c r="E120" s="16" t="s">
        <v>192</v>
      </c>
      <c r="F120" s="16" t="s">
        <v>277</v>
      </c>
      <c r="G120" s="16" t="n">
        <v>2</v>
      </c>
      <c r="H120" s="16" t="s">
        <v>208</v>
      </c>
      <c r="I120" s="16" t="s">
        <v>209</v>
      </c>
      <c r="J120" s="16" t="s">
        <v>210</v>
      </c>
      <c r="K120" s="16" t="n">
        <v>15</v>
      </c>
      <c r="L120" s="40" t="n">
        <f aca="false">(K120/$Q$7)*100</f>
        <v>0.284629981024668</v>
      </c>
      <c r="M120" s="16" t="s">
        <v>211</v>
      </c>
      <c r="N120" s="16" t="n">
        <f aca="false">IFERROR(INDEX(BMWP_COL!$B$2:$B$103,MATCH($I120,BMWP_COL!$A$2:$A$103,0)),"No aplica")</f>
        <v>7</v>
      </c>
      <c r="O120" s="16"/>
    </row>
    <row r="121" customFormat="false" ht="14.25" hidden="false" customHeight="true" outlineLevel="0" collapsed="false">
      <c r="A121" s="39" t="n">
        <v>45625</v>
      </c>
      <c r="B121" s="16" t="s">
        <v>190</v>
      </c>
      <c r="C121" s="16" t="s">
        <v>15</v>
      </c>
      <c r="D121" s="16" t="s">
        <v>191</v>
      </c>
      <c r="E121" s="16" t="s">
        <v>192</v>
      </c>
      <c r="F121" s="16" t="s">
        <v>277</v>
      </c>
      <c r="G121" s="16" t="n">
        <v>2</v>
      </c>
      <c r="H121" s="16" t="s">
        <v>272</v>
      </c>
      <c r="I121" s="16" t="s">
        <v>273</v>
      </c>
      <c r="J121" s="16" t="s">
        <v>274</v>
      </c>
      <c r="K121" s="16" t="n">
        <v>7</v>
      </c>
      <c r="L121" s="40" t="n">
        <f aca="false">(K121/$Q$7)*100</f>
        <v>0.132827324478178</v>
      </c>
      <c r="M121" s="16" t="s">
        <v>201</v>
      </c>
      <c r="N121" s="16" t="n">
        <f aca="false">IFERROR(INDEX(BMWP_COL!$B$2:$B$103,MATCH($I121,BMWP_COL!$A$2:$A$103,0)),"No aplica")</f>
        <v>6</v>
      </c>
      <c r="O121" s="16"/>
    </row>
    <row r="122" customFormat="false" ht="14.25" hidden="false" customHeight="true" outlineLevel="0" collapsed="false">
      <c r="A122" s="39" t="n">
        <v>45625</v>
      </c>
      <c r="B122" s="16" t="s">
        <v>190</v>
      </c>
      <c r="C122" s="16" t="s">
        <v>15</v>
      </c>
      <c r="D122" s="16" t="s">
        <v>191</v>
      </c>
      <c r="E122" s="16" t="s">
        <v>192</v>
      </c>
      <c r="F122" s="16" t="s">
        <v>277</v>
      </c>
      <c r="G122" s="16" t="n">
        <v>2</v>
      </c>
      <c r="H122" s="16" t="s">
        <v>208</v>
      </c>
      <c r="I122" s="16" t="s">
        <v>226</v>
      </c>
      <c r="J122" s="16" t="s">
        <v>227</v>
      </c>
      <c r="K122" s="16" t="n">
        <v>11</v>
      </c>
      <c r="L122" s="40" t="n">
        <f aca="false">(K122/$Q$7)*100</f>
        <v>0.208728652751423</v>
      </c>
      <c r="M122" s="16" t="s">
        <v>197</v>
      </c>
      <c r="N122" s="16" t="n">
        <f aca="false">IFERROR(INDEX(BMWP_COL!$B$2:$B$103,MATCH($I122,BMWP_COL!$A$2:$A$103,0)),"No aplica")</f>
        <v>7</v>
      </c>
      <c r="O122" s="16"/>
    </row>
    <row r="123" customFormat="false" ht="14.25" hidden="false" customHeight="true" outlineLevel="0" collapsed="false">
      <c r="A123" s="39" t="n">
        <v>45625</v>
      </c>
      <c r="B123" s="16" t="s">
        <v>190</v>
      </c>
      <c r="C123" s="16" t="s">
        <v>15</v>
      </c>
      <c r="D123" s="16" t="s">
        <v>191</v>
      </c>
      <c r="E123" s="16" t="s">
        <v>192</v>
      </c>
      <c r="F123" s="16" t="s">
        <v>277</v>
      </c>
      <c r="G123" s="16" t="n">
        <v>2</v>
      </c>
      <c r="H123" s="16" t="s">
        <v>208</v>
      </c>
      <c r="I123" s="16" t="s">
        <v>209</v>
      </c>
      <c r="J123" s="16" t="s">
        <v>212</v>
      </c>
      <c r="K123" s="16" t="n">
        <v>20</v>
      </c>
      <c r="L123" s="40" t="n">
        <f aca="false">(K123/$Q$7)*100</f>
        <v>0.379506641366224</v>
      </c>
      <c r="M123" s="16" t="s">
        <v>197</v>
      </c>
      <c r="N123" s="16" t="n">
        <f aca="false">IFERROR(INDEX(BMWP_COL!$B$2:$B$103,MATCH($I123,BMWP_COL!$A$2:$A$103,0)),"No aplica")</f>
        <v>7</v>
      </c>
      <c r="O123" s="16"/>
    </row>
    <row r="124" customFormat="false" ht="14.25" hidden="false" customHeight="true" outlineLevel="0" collapsed="false">
      <c r="A124" s="39" t="n">
        <v>45625</v>
      </c>
      <c r="B124" s="16" t="s">
        <v>190</v>
      </c>
      <c r="C124" s="16" t="s">
        <v>15</v>
      </c>
      <c r="D124" s="16" t="s">
        <v>191</v>
      </c>
      <c r="E124" s="16" t="s">
        <v>192</v>
      </c>
      <c r="F124" s="16" t="s">
        <v>277</v>
      </c>
      <c r="G124" s="16" t="n">
        <v>2</v>
      </c>
      <c r="H124" s="16" t="s">
        <v>208</v>
      </c>
      <c r="I124" s="16" t="s">
        <v>209</v>
      </c>
      <c r="J124" s="16" t="s">
        <v>276</v>
      </c>
      <c r="K124" s="16" t="n">
        <v>3</v>
      </c>
      <c r="L124" s="40" t="n">
        <f aca="false">(K124/$Q$7)*100</f>
        <v>0.0569259962049336</v>
      </c>
      <c r="M124" s="16" t="s">
        <v>211</v>
      </c>
      <c r="N124" s="16" t="n">
        <f aca="false">IFERROR(INDEX(BMWP_COL!$B$2:$B$103,MATCH($I124,BMWP_COL!$A$2:$A$103,0)),"No aplica")</f>
        <v>7</v>
      </c>
      <c r="O124" s="16"/>
    </row>
    <row r="125" customFormat="false" ht="14.25" hidden="false" customHeight="true" outlineLevel="0" collapsed="false">
      <c r="A125" s="39" t="n">
        <v>45625</v>
      </c>
      <c r="B125" s="16" t="s">
        <v>190</v>
      </c>
      <c r="C125" s="16" t="s">
        <v>15</v>
      </c>
      <c r="D125" s="16" t="s">
        <v>191</v>
      </c>
      <c r="E125" s="16" t="s">
        <v>192</v>
      </c>
      <c r="F125" s="16" t="s">
        <v>277</v>
      </c>
      <c r="G125" s="16" t="n">
        <v>3</v>
      </c>
      <c r="H125" s="16" t="s">
        <v>272</v>
      </c>
      <c r="I125" s="16" t="s">
        <v>273</v>
      </c>
      <c r="J125" s="16" t="s">
        <v>274</v>
      </c>
      <c r="K125" s="16" t="n">
        <v>11</v>
      </c>
      <c r="L125" s="40" t="n">
        <f aca="false">(K125/$Q$7)*100</f>
        <v>0.208728652751423</v>
      </c>
      <c r="M125" s="16" t="s">
        <v>201</v>
      </c>
      <c r="N125" s="16" t="n">
        <f aca="false">IFERROR(INDEX(BMWP_COL!$B$2:$B$103,MATCH($I125,BMWP_COL!$A$2:$A$103,0)),"No aplica")</f>
        <v>6</v>
      </c>
      <c r="O125" s="16"/>
    </row>
    <row r="126" customFormat="false" ht="14.25" hidden="false" customHeight="true" outlineLevel="0" collapsed="false">
      <c r="A126" s="39" t="n">
        <v>45625</v>
      </c>
      <c r="B126" s="16" t="s">
        <v>190</v>
      </c>
      <c r="C126" s="16" t="s">
        <v>15</v>
      </c>
      <c r="D126" s="16" t="s">
        <v>191</v>
      </c>
      <c r="E126" s="16" t="s">
        <v>192</v>
      </c>
      <c r="F126" s="16" t="s">
        <v>277</v>
      </c>
      <c r="G126" s="16" t="n">
        <v>3</v>
      </c>
      <c r="H126" s="16" t="s">
        <v>249</v>
      </c>
      <c r="I126" s="16" t="s">
        <v>250</v>
      </c>
      <c r="J126" s="16" t="s">
        <v>251</v>
      </c>
      <c r="K126" s="16" t="n">
        <v>11</v>
      </c>
      <c r="L126" s="40" t="n">
        <f aca="false">(K126/$Q$7)*100</f>
        <v>0.208728652751423</v>
      </c>
      <c r="M126" s="16" t="s">
        <v>201</v>
      </c>
      <c r="N126" s="16" t="n">
        <f aca="false">IFERROR(INDEX(BMWP_COL!$B$2:$B$103,MATCH($I126,BMWP_COL!$A$2:$A$103,0)),"No aplica")</f>
        <v>10</v>
      </c>
      <c r="O126" s="16"/>
    </row>
    <row r="127" customFormat="false" ht="14.25" hidden="false" customHeight="true" outlineLevel="0" collapsed="false">
      <c r="A127" s="39" t="n">
        <v>45625</v>
      </c>
      <c r="B127" s="16" t="s">
        <v>190</v>
      </c>
      <c r="C127" s="16" t="s">
        <v>15</v>
      </c>
      <c r="D127" s="16" t="s">
        <v>191</v>
      </c>
      <c r="E127" s="16" t="s">
        <v>192</v>
      </c>
      <c r="F127" s="16" t="s">
        <v>277</v>
      </c>
      <c r="G127" s="16" t="n">
        <v>3</v>
      </c>
      <c r="H127" s="16" t="s">
        <v>219</v>
      </c>
      <c r="I127" s="16" t="s">
        <v>220</v>
      </c>
      <c r="J127" s="16" t="s">
        <v>221</v>
      </c>
      <c r="K127" s="16" t="n">
        <v>30</v>
      </c>
      <c r="L127" s="40" t="n">
        <f aca="false">(K127/$Q$7)*100</f>
        <v>0.569259962049336</v>
      </c>
      <c r="M127" s="16" t="s">
        <v>197</v>
      </c>
      <c r="N127" s="16" t="n">
        <f aca="false">IFERROR(INDEX(BMWP_COL!$B$2:$B$103,MATCH($I127,BMWP_COL!$A$2:$A$103,0)),"No aplica")</f>
        <v>6</v>
      </c>
      <c r="O127" s="16"/>
    </row>
    <row r="128" customFormat="false" ht="14.25" hidden="false" customHeight="true" outlineLevel="0" collapsed="false">
      <c r="A128" s="39" t="n">
        <v>45625</v>
      </c>
      <c r="B128" s="16" t="s">
        <v>190</v>
      </c>
      <c r="C128" s="16" t="s">
        <v>15</v>
      </c>
      <c r="D128" s="16" t="s">
        <v>191</v>
      </c>
      <c r="E128" s="16" t="s">
        <v>192</v>
      </c>
      <c r="F128" s="16" t="s">
        <v>277</v>
      </c>
      <c r="G128" s="16" t="n">
        <v>3</v>
      </c>
      <c r="H128" s="16" t="s">
        <v>194</v>
      </c>
      <c r="I128" s="16" t="s">
        <v>238</v>
      </c>
      <c r="J128" s="16" t="s">
        <v>239</v>
      </c>
      <c r="K128" s="16" t="n">
        <v>1</v>
      </c>
      <c r="L128" s="40" t="n">
        <f aca="false">(K128/$Q$7)*100</f>
        <v>0.0189753320683112</v>
      </c>
      <c r="M128" s="16" t="s">
        <v>225</v>
      </c>
      <c r="N128" s="16" t="n">
        <f aca="false">IFERROR(INDEX(BMWP_COL!$B$2:$B$103,MATCH($I128,BMWP_COL!$A$2:$A$103,0)),"No aplica")</f>
        <v>10</v>
      </c>
      <c r="O128" s="16"/>
    </row>
    <row r="129" customFormat="false" ht="14.25" hidden="false" customHeight="true" outlineLevel="0" collapsed="false">
      <c r="A129" s="39" t="n">
        <v>45625</v>
      </c>
      <c r="B129" s="16" t="s">
        <v>190</v>
      </c>
      <c r="C129" s="16" t="s">
        <v>15</v>
      </c>
      <c r="D129" s="16" t="s">
        <v>191</v>
      </c>
      <c r="E129" s="16" t="s">
        <v>192</v>
      </c>
      <c r="F129" s="16" t="s">
        <v>277</v>
      </c>
      <c r="G129" s="16" t="n">
        <v>3</v>
      </c>
      <c r="H129" s="16" t="s">
        <v>198</v>
      </c>
      <c r="I129" s="16" t="s">
        <v>199</v>
      </c>
      <c r="J129" s="16" t="s">
        <v>200</v>
      </c>
      <c r="K129" s="16" t="n">
        <v>1</v>
      </c>
      <c r="L129" s="40" t="n">
        <f aca="false">(K129/$Q$7)*100</f>
        <v>0.0189753320683112</v>
      </c>
      <c r="M129" s="16" t="s">
        <v>201</v>
      </c>
      <c r="N129" s="16" t="n">
        <f aca="false">IFERROR(INDEX(BMWP_COL!$B$2:$B$103,MATCH($I129,BMWP_COL!$A$2:$A$103,0)),"No aplica")</f>
        <v>7</v>
      </c>
      <c r="O129" s="16"/>
    </row>
    <row r="130" customFormat="false" ht="14.25" hidden="false" customHeight="true" outlineLevel="0" collapsed="false">
      <c r="A130" s="39" t="n">
        <v>45625</v>
      </c>
      <c r="B130" s="16" t="s">
        <v>190</v>
      </c>
      <c r="C130" s="16" t="s">
        <v>15</v>
      </c>
      <c r="D130" s="16" t="s">
        <v>191</v>
      </c>
      <c r="E130" s="16" t="s">
        <v>192</v>
      </c>
      <c r="F130" s="16" t="s">
        <v>277</v>
      </c>
      <c r="G130" s="16" t="n">
        <v>3</v>
      </c>
      <c r="H130" s="16" t="s">
        <v>202</v>
      </c>
      <c r="I130" s="16" t="s">
        <v>203</v>
      </c>
      <c r="J130" s="41" t="s">
        <v>204</v>
      </c>
      <c r="K130" s="16" t="n">
        <v>39</v>
      </c>
      <c r="L130" s="40" t="n">
        <f aca="false">(K130/$Q$7)*100</f>
        <v>0.740037950664137</v>
      </c>
      <c r="M130" s="16" t="s">
        <v>197</v>
      </c>
      <c r="N130" s="16" t="n">
        <f aca="false">IFERROR(INDEX(BMWP_COL!$B$2:$B$103,MATCH($I130,BMWP_COL!$A$2:$A$103,0)),"No aplica")</f>
        <v>2</v>
      </c>
      <c r="O130" s="16"/>
    </row>
    <row r="131" customFormat="false" ht="14.25" hidden="false" customHeight="true" outlineLevel="0" collapsed="false">
      <c r="A131" s="39" t="n">
        <v>45625</v>
      </c>
      <c r="B131" s="16" t="s">
        <v>190</v>
      </c>
      <c r="C131" s="16" t="s">
        <v>15</v>
      </c>
      <c r="D131" s="16" t="s">
        <v>191</v>
      </c>
      <c r="E131" s="16" t="s">
        <v>192</v>
      </c>
      <c r="F131" s="16" t="s">
        <v>277</v>
      </c>
      <c r="G131" s="16" t="n">
        <v>3</v>
      </c>
      <c r="H131" s="16" t="s">
        <v>219</v>
      </c>
      <c r="I131" s="16" t="s">
        <v>220</v>
      </c>
      <c r="J131" s="16" t="s">
        <v>268</v>
      </c>
      <c r="K131" s="16" t="n">
        <v>1</v>
      </c>
      <c r="L131" s="40" t="n">
        <f aca="false">(K131/$Q$7)*100</f>
        <v>0.0189753320683112</v>
      </c>
      <c r="M131" s="16" t="s">
        <v>197</v>
      </c>
      <c r="N131" s="16" t="n">
        <f aca="false">IFERROR(INDEX(BMWP_COL!$B$2:$B$103,MATCH($I131,BMWP_COL!$A$2:$A$103,0)),"No aplica")</f>
        <v>6</v>
      </c>
      <c r="O131" s="16"/>
    </row>
    <row r="132" customFormat="false" ht="14.25" hidden="false" customHeight="true" outlineLevel="0" collapsed="false">
      <c r="A132" s="39" t="n">
        <v>45625</v>
      </c>
      <c r="B132" s="16" t="s">
        <v>190</v>
      </c>
      <c r="C132" s="16" t="s">
        <v>15</v>
      </c>
      <c r="D132" s="16" t="s">
        <v>191</v>
      </c>
      <c r="E132" s="16" t="s">
        <v>192</v>
      </c>
      <c r="F132" s="16" t="s">
        <v>277</v>
      </c>
      <c r="G132" s="16" t="n">
        <v>3</v>
      </c>
      <c r="H132" s="16" t="s">
        <v>219</v>
      </c>
      <c r="I132" s="16" t="s">
        <v>220</v>
      </c>
      <c r="J132" s="16" t="s">
        <v>278</v>
      </c>
      <c r="K132" s="16" t="n">
        <v>1</v>
      </c>
      <c r="L132" s="40" t="n">
        <f aca="false">(K132/$Q$7)*100</f>
        <v>0.0189753320683112</v>
      </c>
      <c r="M132" s="16" t="s">
        <v>197</v>
      </c>
      <c r="N132" s="16" t="n">
        <f aca="false">IFERROR(INDEX(BMWP_COL!$B$2:$B$103,MATCH($I132,BMWP_COL!$A$2:$A$103,0)),"No aplica")</f>
        <v>6</v>
      </c>
      <c r="O132" s="16"/>
    </row>
    <row r="133" customFormat="false" ht="14.25" hidden="false" customHeight="true" outlineLevel="0" collapsed="false">
      <c r="A133" s="39" t="n">
        <v>45625</v>
      </c>
      <c r="B133" s="16" t="s">
        <v>190</v>
      </c>
      <c r="C133" s="16" t="s">
        <v>15</v>
      </c>
      <c r="D133" s="16" t="s">
        <v>191</v>
      </c>
      <c r="E133" s="16" t="s">
        <v>192</v>
      </c>
      <c r="F133" s="16" t="s">
        <v>277</v>
      </c>
      <c r="G133" s="16" t="n">
        <v>3</v>
      </c>
      <c r="H133" s="16" t="s">
        <v>208</v>
      </c>
      <c r="I133" s="16" t="s">
        <v>226</v>
      </c>
      <c r="J133" s="16" t="s">
        <v>227</v>
      </c>
      <c r="K133" s="16" t="n">
        <v>7</v>
      </c>
      <c r="L133" s="40" t="n">
        <f aca="false">(K133/$Q$7)*100</f>
        <v>0.132827324478178</v>
      </c>
      <c r="M133" s="16" t="s">
        <v>197</v>
      </c>
      <c r="N133" s="16" t="n">
        <f aca="false">IFERROR(INDEX(BMWP_COL!$B$2:$B$103,MATCH($I133,BMWP_COL!$A$2:$A$103,0)),"No aplica")</f>
        <v>7</v>
      </c>
      <c r="O133" s="16"/>
    </row>
    <row r="134" customFormat="false" ht="14.25" hidden="false" customHeight="true" outlineLevel="0" collapsed="false">
      <c r="A134" s="39" t="n">
        <v>45625</v>
      </c>
      <c r="B134" s="16" t="s">
        <v>190</v>
      </c>
      <c r="C134" s="16" t="s">
        <v>15</v>
      </c>
      <c r="D134" s="16" t="s">
        <v>191</v>
      </c>
      <c r="E134" s="16" t="s">
        <v>192</v>
      </c>
      <c r="F134" s="16" t="s">
        <v>277</v>
      </c>
      <c r="G134" s="16" t="n">
        <v>3</v>
      </c>
      <c r="H134" s="16" t="s">
        <v>202</v>
      </c>
      <c r="I134" s="16" t="s">
        <v>228</v>
      </c>
      <c r="J134" s="16" t="s">
        <v>229</v>
      </c>
      <c r="K134" s="16" t="n">
        <v>5</v>
      </c>
      <c r="L134" s="40" t="n">
        <f aca="false">(K134/$Q$7)*100</f>
        <v>0.094876660341556</v>
      </c>
      <c r="M134" s="16" t="s">
        <v>230</v>
      </c>
      <c r="N134" s="16" t="n">
        <f aca="false">IFERROR(INDEX(BMWP_COL!$B$2:$B$103,MATCH($I134,BMWP_COL!$A$2:$A$103,0)),"No aplica")</f>
        <v>8</v>
      </c>
      <c r="O134" s="16"/>
    </row>
    <row r="135" customFormat="false" ht="14.25" hidden="false" customHeight="true" outlineLevel="0" collapsed="false">
      <c r="A135" s="39" t="n">
        <v>45625</v>
      </c>
      <c r="B135" s="16" t="s">
        <v>190</v>
      </c>
      <c r="C135" s="16" t="s">
        <v>15</v>
      </c>
      <c r="D135" s="16" t="s">
        <v>191</v>
      </c>
      <c r="E135" s="16" t="s">
        <v>192</v>
      </c>
      <c r="F135" s="16" t="s">
        <v>277</v>
      </c>
      <c r="G135" s="16" t="n">
        <v>3</v>
      </c>
      <c r="H135" s="16" t="s">
        <v>208</v>
      </c>
      <c r="I135" s="16" t="s">
        <v>209</v>
      </c>
      <c r="J135" s="16" t="s">
        <v>212</v>
      </c>
      <c r="K135" s="16" t="n">
        <v>4</v>
      </c>
      <c r="L135" s="40" t="n">
        <f aca="false">(K135/$Q$7)*100</f>
        <v>0.0759013282732448</v>
      </c>
      <c r="M135" s="16" t="s">
        <v>197</v>
      </c>
      <c r="N135" s="16" t="n">
        <f aca="false">IFERROR(INDEX(BMWP_COL!$B$2:$B$103,MATCH($I135,BMWP_COL!$A$2:$A$103,0)),"No aplica")</f>
        <v>7</v>
      </c>
      <c r="O135" s="16"/>
    </row>
    <row r="136" customFormat="false" ht="14.25" hidden="false" customHeight="true" outlineLevel="0" collapsed="false">
      <c r="A136" s="39" t="n">
        <v>45625</v>
      </c>
      <c r="B136" s="16" t="s">
        <v>190</v>
      </c>
      <c r="C136" s="16" t="s">
        <v>15</v>
      </c>
      <c r="D136" s="16" t="s">
        <v>191</v>
      </c>
      <c r="E136" s="16" t="s">
        <v>192</v>
      </c>
      <c r="F136" s="16" t="s">
        <v>277</v>
      </c>
      <c r="G136" s="16" t="n">
        <v>3</v>
      </c>
      <c r="H136" s="16" t="s">
        <v>208</v>
      </c>
      <c r="I136" s="16" t="s">
        <v>209</v>
      </c>
      <c r="J136" s="16" t="s">
        <v>210</v>
      </c>
      <c r="K136" s="16" t="n">
        <v>27</v>
      </c>
      <c r="L136" s="40" t="n">
        <f aca="false">(K136/$Q$7)*100</f>
        <v>0.512333965844402</v>
      </c>
      <c r="M136" s="16" t="s">
        <v>211</v>
      </c>
      <c r="N136" s="16" t="n">
        <f aca="false">IFERROR(INDEX(BMWP_COL!$B$2:$B$103,MATCH($I136,BMWP_COL!$A$2:$A$103,0)),"No aplica")</f>
        <v>7</v>
      </c>
      <c r="O136" s="16"/>
    </row>
    <row r="137" customFormat="false" ht="14.25" hidden="false" customHeight="true" outlineLevel="0" collapsed="false">
      <c r="A137" s="39" t="n">
        <v>45625</v>
      </c>
      <c r="B137" s="16" t="s">
        <v>190</v>
      </c>
      <c r="C137" s="16" t="s">
        <v>15</v>
      </c>
      <c r="D137" s="16" t="s">
        <v>191</v>
      </c>
      <c r="E137" s="16" t="s">
        <v>192</v>
      </c>
      <c r="F137" s="16" t="s">
        <v>277</v>
      </c>
      <c r="G137" s="16" t="n">
        <v>3</v>
      </c>
      <c r="H137" s="16" t="s">
        <v>202</v>
      </c>
      <c r="I137" s="16" t="s">
        <v>203</v>
      </c>
      <c r="J137" s="16" t="s">
        <v>213</v>
      </c>
      <c r="K137" s="16" t="n">
        <v>5</v>
      </c>
      <c r="L137" s="40" t="n">
        <f aca="false">(K137/$Q$7)*100</f>
        <v>0.094876660341556</v>
      </c>
      <c r="M137" s="16" t="s">
        <v>201</v>
      </c>
      <c r="N137" s="16" t="n">
        <f aca="false">IFERROR(INDEX(BMWP_COL!$B$2:$B$103,MATCH($I137,BMWP_COL!$A$2:$A$103,0)),"No aplica")</f>
        <v>2</v>
      </c>
      <c r="O137" s="16"/>
    </row>
    <row r="138" customFormat="false" ht="14.25" hidden="false" customHeight="true" outlineLevel="0" collapsed="false">
      <c r="A138" s="39" t="n">
        <v>45625</v>
      </c>
      <c r="B138" s="16" t="s">
        <v>190</v>
      </c>
      <c r="C138" s="16" t="s">
        <v>15</v>
      </c>
      <c r="D138" s="16" t="s">
        <v>191</v>
      </c>
      <c r="E138" s="16" t="s">
        <v>192</v>
      </c>
      <c r="F138" s="16" t="s">
        <v>277</v>
      </c>
      <c r="G138" s="16" t="n">
        <v>3</v>
      </c>
      <c r="H138" s="16" t="s">
        <v>194</v>
      </c>
      <c r="I138" s="16" t="s">
        <v>223</v>
      </c>
      <c r="J138" s="16" t="s">
        <v>224</v>
      </c>
      <c r="K138" s="16" t="n">
        <v>2</v>
      </c>
      <c r="L138" s="40" t="n">
        <f aca="false">(K138/$Q$7)*100</f>
        <v>0.0379506641366224</v>
      </c>
      <c r="M138" s="16" t="s">
        <v>225</v>
      </c>
      <c r="N138" s="16" t="n">
        <f aca="false">IFERROR(INDEX(BMWP_COL!$B$2:$B$103,MATCH($I138,BMWP_COL!$A$2:$A$103,0)),"No aplica")</f>
        <v>7</v>
      </c>
      <c r="O138" s="16"/>
    </row>
    <row r="139" customFormat="false" ht="14.25" hidden="false" customHeight="true" outlineLevel="0" collapsed="false">
      <c r="A139" s="39" t="n">
        <v>45625</v>
      </c>
      <c r="B139" s="16" t="s">
        <v>190</v>
      </c>
      <c r="C139" s="16" t="s">
        <v>15</v>
      </c>
      <c r="D139" s="16" t="s">
        <v>191</v>
      </c>
      <c r="E139" s="16" t="s">
        <v>192</v>
      </c>
      <c r="F139" s="16" t="s">
        <v>277</v>
      </c>
      <c r="G139" s="16" t="n">
        <v>3</v>
      </c>
      <c r="H139" s="16" t="s">
        <v>194</v>
      </c>
      <c r="I139" s="16" t="s">
        <v>195</v>
      </c>
      <c r="J139" s="16" t="s">
        <v>196</v>
      </c>
      <c r="K139" s="16" t="n">
        <v>1</v>
      </c>
      <c r="L139" s="40" t="n">
        <f aca="false">(K139/$Q$7)*100</f>
        <v>0.0189753320683112</v>
      </c>
      <c r="M139" s="16" t="s">
        <v>197</v>
      </c>
      <c r="N139" s="16" t="n">
        <f aca="false">IFERROR(INDEX(BMWP_COL!$B$2:$B$103,MATCH($I139,BMWP_COL!$A$2:$A$103,0)),"No aplica")</f>
        <v>8</v>
      </c>
      <c r="O139" s="16"/>
    </row>
    <row r="140" customFormat="false" ht="14.25" hidden="false" customHeight="true" outlineLevel="0" collapsed="false">
      <c r="A140" s="39" t="n">
        <v>45625</v>
      </c>
      <c r="B140" s="6" t="s">
        <v>283</v>
      </c>
      <c r="C140" s="16" t="s">
        <v>20</v>
      </c>
      <c r="D140" s="16" t="s">
        <v>284</v>
      </c>
      <c r="E140" s="16" t="s">
        <v>285</v>
      </c>
      <c r="F140" s="16" t="s">
        <v>193</v>
      </c>
      <c r="G140" s="16" t="n">
        <v>1</v>
      </c>
      <c r="H140" s="16" t="s">
        <v>202</v>
      </c>
      <c r="I140" s="16" t="s">
        <v>203</v>
      </c>
      <c r="J140" s="41" t="s">
        <v>204</v>
      </c>
      <c r="K140" s="16" t="n">
        <v>10</v>
      </c>
      <c r="L140" s="40" t="n">
        <f aca="false">(K140/$Q$7)*100</f>
        <v>0.189753320683112</v>
      </c>
      <c r="M140" s="16" t="s">
        <v>197</v>
      </c>
      <c r="N140" s="16" t="n">
        <f aca="false">IFERROR(INDEX(BMWP_COL!$B$2:$B$103,MATCH($I140,BMWP_COL!$A$2:$A$103,0)),"No aplica")</f>
        <v>2</v>
      </c>
      <c r="O140" s="16"/>
    </row>
    <row r="141" customFormat="false" ht="14.25" hidden="false" customHeight="true" outlineLevel="0" collapsed="false">
      <c r="A141" s="39" t="n">
        <v>45625</v>
      </c>
      <c r="B141" s="6" t="s">
        <v>283</v>
      </c>
      <c r="C141" s="16" t="s">
        <v>20</v>
      </c>
      <c r="D141" s="16" t="s">
        <v>284</v>
      </c>
      <c r="E141" s="16" t="s">
        <v>285</v>
      </c>
      <c r="F141" s="16" t="s">
        <v>193</v>
      </c>
      <c r="G141" s="16" t="n">
        <v>1</v>
      </c>
      <c r="H141" s="16" t="s">
        <v>208</v>
      </c>
      <c r="I141" s="16" t="s">
        <v>209</v>
      </c>
      <c r="J141" s="16" t="s">
        <v>210</v>
      </c>
      <c r="K141" s="16" t="n">
        <v>3</v>
      </c>
      <c r="L141" s="40" t="n">
        <f aca="false">(K141/$Q$7)*100</f>
        <v>0.0569259962049336</v>
      </c>
      <c r="M141" s="16" t="s">
        <v>211</v>
      </c>
      <c r="N141" s="16" t="n">
        <f aca="false">IFERROR(INDEX(BMWP_COL!$B$2:$B$103,MATCH($I141,BMWP_COL!$A$2:$A$103,0)),"No aplica")</f>
        <v>7</v>
      </c>
      <c r="O141" s="16"/>
    </row>
    <row r="142" customFormat="false" ht="14.25" hidden="false" customHeight="true" outlineLevel="0" collapsed="false">
      <c r="A142" s="39" t="n">
        <v>45625</v>
      </c>
      <c r="B142" s="6" t="s">
        <v>283</v>
      </c>
      <c r="C142" s="16" t="s">
        <v>20</v>
      </c>
      <c r="D142" s="16" t="s">
        <v>284</v>
      </c>
      <c r="E142" s="16" t="s">
        <v>285</v>
      </c>
      <c r="F142" s="16" t="s">
        <v>193</v>
      </c>
      <c r="G142" s="16" t="n">
        <v>1</v>
      </c>
      <c r="H142" s="16" t="s">
        <v>208</v>
      </c>
      <c r="I142" s="16" t="s">
        <v>209</v>
      </c>
      <c r="J142" s="16" t="s">
        <v>212</v>
      </c>
      <c r="K142" s="16" t="n">
        <v>1</v>
      </c>
      <c r="L142" s="40" t="n">
        <f aca="false">(K142/$Q$7)*100</f>
        <v>0.0189753320683112</v>
      </c>
      <c r="M142" s="16" t="s">
        <v>197</v>
      </c>
      <c r="N142" s="16" t="n">
        <f aca="false">IFERROR(INDEX(BMWP_COL!$B$2:$B$103,MATCH($I142,BMWP_COL!$A$2:$A$103,0)),"No aplica")</f>
        <v>7</v>
      </c>
      <c r="O142" s="16"/>
    </row>
    <row r="143" customFormat="false" ht="14.25" hidden="false" customHeight="true" outlineLevel="0" collapsed="false">
      <c r="A143" s="39" t="n">
        <v>45625</v>
      </c>
      <c r="B143" s="6" t="s">
        <v>283</v>
      </c>
      <c r="C143" s="16" t="s">
        <v>20</v>
      </c>
      <c r="D143" s="16" t="s">
        <v>284</v>
      </c>
      <c r="E143" s="16" t="s">
        <v>285</v>
      </c>
      <c r="F143" s="16" t="s">
        <v>193</v>
      </c>
      <c r="G143" s="16" t="n">
        <v>1</v>
      </c>
      <c r="H143" s="16" t="s">
        <v>286</v>
      </c>
      <c r="I143" s="16" t="s">
        <v>287</v>
      </c>
      <c r="J143" s="16" t="s">
        <v>287</v>
      </c>
      <c r="K143" s="16" t="n">
        <v>1</v>
      </c>
      <c r="L143" s="40" t="n">
        <f aca="false">(K143/$Q$7)*100</f>
        <v>0.0189753320683112</v>
      </c>
      <c r="M143" s="16" t="s">
        <v>211</v>
      </c>
      <c r="N143" s="16" t="n">
        <f aca="false">IFERROR(INDEX(BMWP_COL!$B$2:$B$103,MATCH($I143,BMWP_COL!$A$2:$A$103,0)),"No aplica")</f>
        <v>5</v>
      </c>
      <c r="O143" s="16"/>
    </row>
    <row r="144" customFormat="false" ht="14.25" hidden="false" customHeight="true" outlineLevel="0" collapsed="false">
      <c r="A144" s="39" t="n">
        <v>45625</v>
      </c>
      <c r="B144" s="6" t="s">
        <v>283</v>
      </c>
      <c r="C144" s="16" t="s">
        <v>20</v>
      </c>
      <c r="D144" s="16" t="s">
        <v>284</v>
      </c>
      <c r="E144" s="16" t="s">
        <v>285</v>
      </c>
      <c r="F144" s="16" t="s">
        <v>193</v>
      </c>
      <c r="G144" s="16" t="n">
        <v>1</v>
      </c>
      <c r="H144" s="16" t="s">
        <v>202</v>
      </c>
      <c r="I144" s="16" t="s">
        <v>203</v>
      </c>
      <c r="J144" s="16" t="s">
        <v>264</v>
      </c>
      <c r="K144" s="16" t="n">
        <v>6</v>
      </c>
      <c r="L144" s="40" t="n">
        <f aca="false">(K144/$Q$7)*100</f>
        <v>0.113851992409867</v>
      </c>
      <c r="M144" s="16" t="s">
        <v>197</v>
      </c>
      <c r="N144" s="16" t="n">
        <f aca="false">IFERROR(INDEX(BMWP_COL!$B$2:$B$103,MATCH($I144,BMWP_COL!$A$2:$A$103,0)),"No aplica")</f>
        <v>2</v>
      </c>
      <c r="O144" s="16"/>
    </row>
    <row r="145" customFormat="false" ht="14.25" hidden="false" customHeight="true" outlineLevel="0" collapsed="false">
      <c r="A145" s="39" t="n">
        <v>45625</v>
      </c>
      <c r="B145" s="6" t="s">
        <v>283</v>
      </c>
      <c r="C145" s="16" t="s">
        <v>20</v>
      </c>
      <c r="D145" s="16" t="s">
        <v>284</v>
      </c>
      <c r="E145" s="16" t="s">
        <v>285</v>
      </c>
      <c r="F145" s="16" t="s">
        <v>193</v>
      </c>
      <c r="G145" s="16" t="n">
        <v>1</v>
      </c>
      <c r="H145" s="16" t="s">
        <v>219</v>
      </c>
      <c r="I145" s="16" t="s">
        <v>220</v>
      </c>
      <c r="J145" s="16" t="s">
        <v>221</v>
      </c>
      <c r="K145" s="16" t="n">
        <v>2</v>
      </c>
      <c r="L145" s="40" t="n">
        <f aca="false">(K145/$Q$7)*100</f>
        <v>0.0379506641366224</v>
      </c>
      <c r="M145" s="16" t="s">
        <v>197</v>
      </c>
      <c r="N145" s="16" t="n">
        <f aca="false">IFERROR(INDEX(BMWP_COL!$B$2:$B$103,MATCH($I145,BMWP_COL!$A$2:$A$103,0)),"No aplica")</f>
        <v>6</v>
      </c>
      <c r="O145" s="16"/>
    </row>
    <row r="146" customFormat="false" ht="14.25" hidden="false" customHeight="true" outlineLevel="0" collapsed="false">
      <c r="A146" s="39" t="n">
        <v>45625</v>
      </c>
      <c r="B146" s="6" t="s">
        <v>283</v>
      </c>
      <c r="C146" s="16" t="s">
        <v>20</v>
      </c>
      <c r="D146" s="16" t="s">
        <v>284</v>
      </c>
      <c r="E146" s="16" t="s">
        <v>285</v>
      </c>
      <c r="F146" s="16" t="s">
        <v>193</v>
      </c>
      <c r="G146" s="16" t="n">
        <v>1</v>
      </c>
      <c r="H146" s="16" t="s">
        <v>288</v>
      </c>
      <c r="I146" s="16" t="s">
        <v>289</v>
      </c>
      <c r="J146" s="16" t="s">
        <v>289</v>
      </c>
      <c r="K146" s="16" t="n">
        <v>1</v>
      </c>
      <c r="L146" s="40" t="n">
        <f aca="false">(K146/$Q$7)*100</f>
        <v>0.0189753320683112</v>
      </c>
      <c r="M146" s="16" t="s">
        <v>290</v>
      </c>
      <c r="N146" s="16" t="n">
        <f aca="false">IFERROR(INDEX(BMWP_COL!$B$2:$B$103,MATCH($I146,BMWP_COL!$A$2:$A$103,0)),"No aplica")</f>
        <v>4</v>
      </c>
      <c r="O146" s="16"/>
    </row>
    <row r="147" customFormat="false" ht="14.25" hidden="false" customHeight="true" outlineLevel="0" collapsed="false">
      <c r="A147" s="39" t="n">
        <v>45625</v>
      </c>
      <c r="B147" s="6" t="s">
        <v>283</v>
      </c>
      <c r="C147" s="16" t="s">
        <v>20</v>
      </c>
      <c r="D147" s="16" t="s">
        <v>284</v>
      </c>
      <c r="E147" s="16" t="s">
        <v>285</v>
      </c>
      <c r="F147" s="16" t="s">
        <v>193</v>
      </c>
      <c r="G147" s="16" t="n">
        <v>1</v>
      </c>
      <c r="H147" s="16" t="s">
        <v>194</v>
      </c>
      <c r="I147" s="16" t="s">
        <v>195</v>
      </c>
      <c r="J147" s="16" t="s">
        <v>196</v>
      </c>
      <c r="K147" s="16" t="n">
        <v>1</v>
      </c>
      <c r="L147" s="40" t="n">
        <f aca="false">(K147/$Q$7)*100</f>
        <v>0.0189753320683112</v>
      </c>
      <c r="M147" s="16" t="s">
        <v>197</v>
      </c>
      <c r="N147" s="16" t="n">
        <f aca="false">IFERROR(INDEX(BMWP_COL!$B$2:$B$103,MATCH($I147,BMWP_COL!$A$2:$A$103,0)),"No aplica")</f>
        <v>8</v>
      </c>
      <c r="O147" s="16"/>
    </row>
    <row r="148" customFormat="false" ht="14.25" hidden="false" customHeight="true" outlineLevel="0" collapsed="false">
      <c r="A148" s="39" t="n">
        <v>45625</v>
      </c>
      <c r="B148" s="6" t="s">
        <v>283</v>
      </c>
      <c r="C148" s="16" t="s">
        <v>20</v>
      </c>
      <c r="D148" s="16" t="s">
        <v>284</v>
      </c>
      <c r="E148" s="16" t="s">
        <v>285</v>
      </c>
      <c r="F148" s="16" t="s">
        <v>255</v>
      </c>
      <c r="G148" s="16" t="n">
        <v>2</v>
      </c>
      <c r="H148" s="16" t="s">
        <v>198</v>
      </c>
      <c r="I148" s="16" t="s">
        <v>199</v>
      </c>
      <c r="J148" s="16" t="s">
        <v>200</v>
      </c>
      <c r="K148" s="16" t="n">
        <v>3</v>
      </c>
      <c r="L148" s="40" t="n">
        <f aca="false">(K148/$Q$7)*100</f>
        <v>0.0569259962049336</v>
      </c>
      <c r="M148" s="16" t="s">
        <v>201</v>
      </c>
      <c r="N148" s="16" t="n">
        <f aca="false">IFERROR(INDEX(BMWP_COL!$B$2:$B$103,MATCH($I148,BMWP_COL!$A$2:$A$103,0)),"No aplica")</f>
        <v>7</v>
      </c>
      <c r="O148" s="16"/>
    </row>
    <row r="149" customFormat="false" ht="14.25" hidden="false" customHeight="true" outlineLevel="0" collapsed="false">
      <c r="A149" s="39" t="n">
        <v>45625</v>
      </c>
      <c r="B149" s="6" t="s">
        <v>283</v>
      </c>
      <c r="C149" s="16" t="s">
        <v>20</v>
      </c>
      <c r="D149" s="16" t="s">
        <v>284</v>
      </c>
      <c r="E149" s="16" t="s">
        <v>285</v>
      </c>
      <c r="F149" s="16" t="s">
        <v>255</v>
      </c>
      <c r="G149" s="16" t="n">
        <v>2</v>
      </c>
      <c r="H149" s="16" t="s">
        <v>219</v>
      </c>
      <c r="I149" s="16" t="s">
        <v>220</v>
      </c>
      <c r="J149" s="16" t="s">
        <v>221</v>
      </c>
      <c r="K149" s="16" t="n">
        <v>6</v>
      </c>
      <c r="L149" s="40" t="n">
        <f aca="false">(K149/$Q$7)*100</f>
        <v>0.113851992409867</v>
      </c>
      <c r="M149" s="16" t="s">
        <v>197</v>
      </c>
      <c r="N149" s="16" t="n">
        <f aca="false">IFERROR(INDEX(BMWP_COL!$B$2:$B$103,MATCH($I149,BMWP_COL!$A$2:$A$103,0)),"No aplica")</f>
        <v>6</v>
      </c>
      <c r="O149" s="16"/>
    </row>
    <row r="150" customFormat="false" ht="14.25" hidden="false" customHeight="true" outlineLevel="0" collapsed="false">
      <c r="A150" s="39" t="n">
        <v>45625</v>
      </c>
      <c r="B150" s="6" t="s">
        <v>283</v>
      </c>
      <c r="C150" s="16" t="s">
        <v>20</v>
      </c>
      <c r="D150" s="16" t="s">
        <v>284</v>
      </c>
      <c r="E150" s="16" t="s">
        <v>285</v>
      </c>
      <c r="F150" s="16" t="s">
        <v>255</v>
      </c>
      <c r="G150" s="16" t="n">
        <v>2</v>
      </c>
      <c r="H150" s="16" t="s">
        <v>202</v>
      </c>
      <c r="I150" s="16" t="s">
        <v>203</v>
      </c>
      <c r="J150" s="41" t="s">
        <v>204</v>
      </c>
      <c r="K150" s="16" t="n">
        <v>8</v>
      </c>
      <c r="L150" s="40" t="n">
        <f aca="false">(K150/$Q$7)*100</f>
        <v>0.15180265654649</v>
      </c>
      <c r="M150" s="16" t="s">
        <v>197</v>
      </c>
      <c r="N150" s="16" t="n">
        <f aca="false">IFERROR(INDEX(BMWP_COL!$B$2:$B$103,MATCH($I150,BMWP_COL!$A$2:$A$103,0)),"No aplica")</f>
        <v>2</v>
      </c>
      <c r="O150" s="16"/>
    </row>
    <row r="151" customFormat="false" ht="14.25" hidden="false" customHeight="true" outlineLevel="0" collapsed="false">
      <c r="A151" s="39" t="n">
        <v>45625</v>
      </c>
      <c r="B151" s="6" t="s">
        <v>283</v>
      </c>
      <c r="C151" s="16" t="s">
        <v>20</v>
      </c>
      <c r="D151" s="16" t="s">
        <v>284</v>
      </c>
      <c r="E151" s="16" t="s">
        <v>285</v>
      </c>
      <c r="F151" s="16" t="s">
        <v>255</v>
      </c>
      <c r="G151" s="16" t="n">
        <v>2</v>
      </c>
      <c r="H151" s="16" t="s">
        <v>272</v>
      </c>
      <c r="I151" s="16" t="s">
        <v>273</v>
      </c>
      <c r="J151" s="16" t="s">
        <v>274</v>
      </c>
      <c r="K151" s="16" t="n">
        <v>2</v>
      </c>
      <c r="L151" s="40" t="n">
        <f aca="false">(K151/$Q$7)*100</f>
        <v>0.0379506641366224</v>
      </c>
      <c r="M151" s="16" t="s">
        <v>201</v>
      </c>
      <c r="N151" s="16" t="n">
        <f aca="false">IFERROR(INDEX(BMWP_COL!$B$2:$B$103,MATCH($I151,BMWP_COL!$A$2:$A$103,0)),"No aplica")</f>
        <v>6</v>
      </c>
      <c r="O151" s="16"/>
    </row>
    <row r="152" customFormat="false" ht="14.25" hidden="false" customHeight="true" outlineLevel="0" collapsed="false">
      <c r="A152" s="39" t="n">
        <v>45625</v>
      </c>
      <c r="B152" s="6" t="s">
        <v>283</v>
      </c>
      <c r="C152" s="16" t="s">
        <v>20</v>
      </c>
      <c r="D152" s="16" t="s">
        <v>284</v>
      </c>
      <c r="E152" s="16" t="s">
        <v>285</v>
      </c>
      <c r="F152" s="16" t="s">
        <v>255</v>
      </c>
      <c r="G152" s="16" t="n">
        <v>2</v>
      </c>
      <c r="H152" s="16" t="s">
        <v>208</v>
      </c>
      <c r="I152" s="16" t="s">
        <v>209</v>
      </c>
      <c r="J152" s="16" t="s">
        <v>210</v>
      </c>
      <c r="K152" s="16" t="n">
        <v>10</v>
      </c>
      <c r="L152" s="40" t="n">
        <f aca="false">(K152/$Q$7)*100</f>
        <v>0.189753320683112</v>
      </c>
      <c r="M152" s="16" t="s">
        <v>211</v>
      </c>
      <c r="N152" s="16" t="n">
        <f aca="false">IFERROR(INDEX(BMWP_COL!$B$2:$B$103,MATCH($I152,BMWP_COL!$A$2:$A$103,0)),"No aplica")</f>
        <v>7</v>
      </c>
      <c r="O152" s="16"/>
    </row>
    <row r="153" customFormat="false" ht="14.25" hidden="false" customHeight="true" outlineLevel="0" collapsed="false">
      <c r="A153" s="39" t="n">
        <v>45625</v>
      </c>
      <c r="B153" s="6" t="s">
        <v>283</v>
      </c>
      <c r="C153" s="16" t="s">
        <v>20</v>
      </c>
      <c r="D153" s="16" t="s">
        <v>284</v>
      </c>
      <c r="E153" s="16" t="s">
        <v>285</v>
      </c>
      <c r="F153" s="16" t="s">
        <v>255</v>
      </c>
      <c r="G153" s="16" t="n">
        <v>2</v>
      </c>
      <c r="H153" s="16" t="s">
        <v>194</v>
      </c>
      <c r="I153" s="16" t="s">
        <v>270</v>
      </c>
      <c r="J153" s="16" t="s">
        <v>271</v>
      </c>
      <c r="K153" s="16" t="n">
        <v>1</v>
      </c>
      <c r="L153" s="40" t="n">
        <f aca="false">(K153/$Q$7)*100</f>
        <v>0.0189753320683112</v>
      </c>
      <c r="M153" s="16" t="s">
        <v>230</v>
      </c>
      <c r="N153" s="16" t="n">
        <f aca="false">IFERROR(INDEX(BMWP_COL!$B$2:$B$103,MATCH($I153,BMWP_COL!$A$2:$A$103,0)),"No aplica")</f>
        <v>9</v>
      </c>
      <c r="O153" s="16"/>
    </row>
    <row r="154" customFormat="false" ht="14.25" hidden="false" customHeight="true" outlineLevel="0" collapsed="false">
      <c r="A154" s="39" t="n">
        <v>45625</v>
      </c>
      <c r="B154" s="6" t="s">
        <v>283</v>
      </c>
      <c r="C154" s="16" t="s">
        <v>20</v>
      </c>
      <c r="D154" s="16" t="s">
        <v>284</v>
      </c>
      <c r="E154" s="16" t="s">
        <v>285</v>
      </c>
      <c r="F154" s="16" t="s">
        <v>255</v>
      </c>
      <c r="G154" s="16" t="n">
        <v>2</v>
      </c>
      <c r="H154" s="16" t="s">
        <v>288</v>
      </c>
      <c r="I154" s="16" t="s">
        <v>289</v>
      </c>
      <c r="J154" s="16" t="s">
        <v>289</v>
      </c>
      <c r="K154" s="16" t="n">
        <v>3</v>
      </c>
      <c r="L154" s="40" t="n">
        <f aca="false">(K154/$Q$7)*100</f>
        <v>0.0569259962049336</v>
      </c>
      <c r="M154" s="16" t="s">
        <v>290</v>
      </c>
      <c r="N154" s="16" t="n">
        <f aca="false">IFERROR(INDEX(BMWP_COL!$B$2:$B$103,MATCH($I154,BMWP_COL!$A$2:$A$103,0)),"No aplica")</f>
        <v>4</v>
      </c>
      <c r="O154" s="16"/>
    </row>
    <row r="155" customFormat="false" ht="14.25" hidden="false" customHeight="true" outlineLevel="0" collapsed="false">
      <c r="A155" s="39" t="n">
        <v>45625</v>
      </c>
      <c r="B155" s="6" t="s">
        <v>283</v>
      </c>
      <c r="C155" s="16" t="s">
        <v>20</v>
      </c>
      <c r="D155" s="16" t="s">
        <v>284</v>
      </c>
      <c r="E155" s="16" t="s">
        <v>285</v>
      </c>
      <c r="F155" s="16" t="s">
        <v>255</v>
      </c>
      <c r="G155" s="16" t="n">
        <v>2</v>
      </c>
      <c r="H155" s="16" t="s">
        <v>202</v>
      </c>
      <c r="I155" s="16" t="s">
        <v>291</v>
      </c>
      <c r="J155" s="16" t="s">
        <v>292</v>
      </c>
      <c r="K155" s="16" t="n">
        <v>1</v>
      </c>
      <c r="L155" s="40" t="n">
        <f aca="false">(K155/$Q$7)*100</f>
        <v>0.0189753320683112</v>
      </c>
      <c r="M155" s="16" t="s">
        <v>211</v>
      </c>
      <c r="N155" s="16" t="n">
        <f aca="false">IFERROR(INDEX(BMWP_COL!$B$2:$B$103,MATCH($I155,BMWP_COL!$A$2:$A$103,0)),"No aplica")</f>
        <v>10</v>
      </c>
      <c r="O155" s="16"/>
    </row>
    <row r="156" customFormat="false" ht="14.25" hidden="false" customHeight="true" outlineLevel="0" collapsed="false">
      <c r="A156" s="39" t="n">
        <v>45625</v>
      </c>
      <c r="B156" s="6" t="s">
        <v>283</v>
      </c>
      <c r="C156" s="16" t="s">
        <v>20</v>
      </c>
      <c r="D156" s="16" t="s">
        <v>284</v>
      </c>
      <c r="E156" s="16" t="s">
        <v>285</v>
      </c>
      <c r="F156" s="16" t="s">
        <v>255</v>
      </c>
      <c r="G156" s="16" t="n">
        <v>2</v>
      </c>
      <c r="H156" s="16" t="s">
        <v>194</v>
      </c>
      <c r="I156" s="16" t="s">
        <v>223</v>
      </c>
      <c r="J156" s="16" t="s">
        <v>234</v>
      </c>
      <c r="K156" s="16" t="n">
        <v>1</v>
      </c>
      <c r="L156" s="40" t="n">
        <f aca="false">(K156/$Q$7)*100</f>
        <v>0.0189753320683112</v>
      </c>
      <c r="M156" s="16" t="s">
        <v>225</v>
      </c>
      <c r="N156" s="16" t="n">
        <f aca="false">IFERROR(INDEX(BMWP_COL!$B$2:$B$103,MATCH($I156,BMWP_COL!$A$2:$A$103,0)),"No aplica")</f>
        <v>7</v>
      </c>
      <c r="O156" s="16"/>
    </row>
    <row r="157" customFormat="false" ht="14.25" hidden="false" customHeight="true" outlineLevel="0" collapsed="false">
      <c r="A157" s="39" t="n">
        <v>45625</v>
      </c>
      <c r="B157" s="6" t="s">
        <v>283</v>
      </c>
      <c r="C157" s="16" t="s">
        <v>20</v>
      </c>
      <c r="D157" s="16" t="s">
        <v>284</v>
      </c>
      <c r="E157" s="16" t="s">
        <v>285</v>
      </c>
      <c r="F157" s="16" t="s">
        <v>255</v>
      </c>
      <c r="G157" s="16" t="n">
        <v>2</v>
      </c>
      <c r="H157" s="16" t="s">
        <v>208</v>
      </c>
      <c r="I157" s="16" t="s">
        <v>209</v>
      </c>
      <c r="J157" s="16" t="s">
        <v>212</v>
      </c>
      <c r="K157" s="16" t="n">
        <v>13</v>
      </c>
      <c r="L157" s="40" t="n">
        <f aca="false">(K157/$Q$7)*100</f>
        <v>0.246679316888046</v>
      </c>
      <c r="M157" s="16" t="s">
        <v>197</v>
      </c>
      <c r="N157" s="16" t="n">
        <f aca="false">IFERROR(INDEX(BMWP_COL!$B$2:$B$103,MATCH($I157,BMWP_COL!$A$2:$A$103,0)),"No aplica")</f>
        <v>7</v>
      </c>
      <c r="O157" s="16"/>
    </row>
    <row r="158" customFormat="false" ht="14.25" hidden="false" customHeight="true" outlineLevel="0" collapsed="false">
      <c r="A158" s="39" t="n">
        <v>45625</v>
      </c>
      <c r="B158" s="6" t="s">
        <v>283</v>
      </c>
      <c r="C158" s="16" t="s">
        <v>20</v>
      </c>
      <c r="D158" s="16" t="s">
        <v>284</v>
      </c>
      <c r="E158" s="16" t="s">
        <v>285</v>
      </c>
      <c r="F158" s="16" t="s">
        <v>255</v>
      </c>
      <c r="G158" s="16" t="n">
        <v>2</v>
      </c>
      <c r="H158" s="16" t="s">
        <v>202</v>
      </c>
      <c r="I158" s="16" t="s">
        <v>203</v>
      </c>
      <c r="J158" s="16" t="s">
        <v>213</v>
      </c>
      <c r="K158" s="16" t="n">
        <v>1</v>
      </c>
      <c r="L158" s="40" t="n">
        <f aca="false">(K158/$Q$7)*100</f>
        <v>0.0189753320683112</v>
      </c>
      <c r="M158" s="16" t="s">
        <v>201</v>
      </c>
      <c r="N158" s="16" t="n">
        <f aca="false">IFERROR(INDEX(BMWP_COL!$B$2:$B$103,MATCH($I158,BMWP_COL!$A$2:$A$103,0)),"No aplica")</f>
        <v>2</v>
      </c>
      <c r="O158" s="16"/>
    </row>
    <row r="159" customFormat="false" ht="14.25" hidden="false" customHeight="true" outlineLevel="0" collapsed="false">
      <c r="A159" s="39" t="n">
        <v>45625</v>
      </c>
      <c r="B159" s="6" t="s">
        <v>283</v>
      </c>
      <c r="C159" s="16" t="s">
        <v>20</v>
      </c>
      <c r="D159" s="16" t="s">
        <v>284</v>
      </c>
      <c r="E159" s="16" t="s">
        <v>285</v>
      </c>
      <c r="F159" s="16" t="s">
        <v>255</v>
      </c>
      <c r="G159" s="16" t="n">
        <v>2</v>
      </c>
      <c r="H159" s="16" t="s">
        <v>249</v>
      </c>
      <c r="I159" s="16" t="s">
        <v>250</v>
      </c>
      <c r="J159" s="16" t="s">
        <v>251</v>
      </c>
      <c r="K159" s="16" t="n">
        <v>4</v>
      </c>
      <c r="L159" s="40" t="n">
        <f aca="false">(K159/$Q$7)*100</f>
        <v>0.0759013282732448</v>
      </c>
      <c r="M159" s="16" t="s">
        <v>201</v>
      </c>
      <c r="N159" s="16" t="n">
        <f aca="false">IFERROR(INDEX(BMWP_COL!$B$2:$B$103,MATCH($I159,BMWP_COL!$A$2:$A$103,0)),"No aplica")</f>
        <v>10</v>
      </c>
      <c r="O159" s="16"/>
    </row>
    <row r="160" customFormat="false" ht="14.25" hidden="false" customHeight="true" outlineLevel="0" collapsed="false">
      <c r="A160" s="39" t="n">
        <v>45625</v>
      </c>
      <c r="B160" s="6" t="s">
        <v>283</v>
      </c>
      <c r="C160" s="16" t="s">
        <v>20</v>
      </c>
      <c r="D160" s="16" t="s">
        <v>284</v>
      </c>
      <c r="E160" s="16" t="s">
        <v>285</v>
      </c>
      <c r="F160" s="16" t="s">
        <v>255</v>
      </c>
      <c r="G160" s="16" t="n">
        <v>2</v>
      </c>
      <c r="H160" s="16" t="s">
        <v>214</v>
      </c>
      <c r="I160" s="16" t="s">
        <v>252</v>
      </c>
      <c r="J160" s="16" t="s">
        <v>253</v>
      </c>
      <c r="K160" s="16" t="n">
        <v>3</v>
      </c>
      <c r="L160" s="40" t="n">
        <f aca="false">(K160/$Q$7)*100</f>
        <v>0.0569259962049336</v>
      </c>
      <c r="M160" s="16" t="s">
        <v>201</v>
      </c>
      <c r="N160" s="16" t="n">
        <f aca="false">IFERROR(INDEX(BMWP_COL!$B$2:$B$103,MATCH($I160,BMWP_COL!$A$2:$A$103,0)),"No aplica")</f>
        <v>6</v>
      </c>
      <c r="O160" s="16"/>
    </row>
    <row r="161" customFormat="false" ht="14.25" hidden="false" customHeight="true" outlineLevel="0" collapsed="false">
      <c r="A161" s="39" t="n">
        <v>45625</v>
      </c>
      <c r="B161" s="6" t="s">
        <v>283</v>
      </c>
      <c r="C161" s="16" t="s">
        <v>20</v>
      </c>
      <c r="D161" s="16" t="s">
        <v>284</v>
      </c>
      <c r="E161" s="16" t="s">
        <v>285</v>
      </c>
      <c r="F161" s="16" t="s">
        <v>255</v>
      </c>
      <c r="G161" s="16" t="n">
        <v>2</v>
      </c>
      <c r="H161" s="16" t="s">
        <v>202</v>
      </c>
      <c r="I161" s="16" t="s">
        <v>217</v>
      </c>
      <c r="J161" s="16" t="s">
        <v>218</v>
      </c>
      <c r="K161" s="16" t="n">
        <v>4</v>
      </c>
      <c r="L161" s="40" t="n">
        <f aca="false">(K161/$Q$7)*100</f>
        <v>0.0759013282732448</v>
      </c>
      <c r="M161" s="16" t="s">
        <v>201</v>
      </c>
      <c r="N161" s="16" t="n">
        <f aca="false">IFERROR(INDEX(BMWP_COL!$B$2:$B$103,MATCH($I161,BMWP_COL!$A$2:$A$103,0)),"No aplica")</f>
        <v>4</v>
      </c>
      <c r="O161" s="16"/>
    </row>
    <row r="162" customFormat="false" ht="14.25" hidden="false" customHeight="true" outlineLevel="0" collapsed="false">
      <c r="A162" s="39" t="n">
        <v>45625</v>
      </c>
      <c r="B162" s="6" t="s">
        <v>283</v>
      </c>
      <c r="C162" s="16" t="s">
        <v>20</v>
      </c>
      <c r="D162" s="16" t="s">
        <v>284</v>
      </c>
      <c r="E162" s="16" t="s">
        <v>285</v>
      </c>
      <c r="F162" s="16" t="s">
        <v>255</v>
      </c>
      <c r="G162" s="16" t="n">
        <v>2</v>
      </c>
      <c r="H162" s="16" t="s">
        <v>202</v>
      </c>
      <c r="I162" s="16" t="s">
        <v>293</v>
      </c>
      <c r="J162" s="16" t="s">
        <v>294</v>
      </c>
      <c r="K162" s="16" t="n">
        <v>1</v>
      </c>
      <c r="L162" s="40" t="n">
        <f aca="false">(K162/$Q$7)*100</f>
        <v>0.0189753320683112</v>
      </c>
      <c r="M162" s="16" t="s">
        <v>225</v>
      </c>
      <c r="N162" s="16" t="n">
        <f aca="false">IFERROR(INDEX(BMWP_COL!$B$2:$B$103,MATCH($I162,BMWP_COL!$A$2:$A$103,0)),"No aplica")</f>
        <v>3</v>
      </c>
      <c r="O162" s="16"/>
    </row>
    <row r="163" customFormat="false" ht="14.25" hidden="false" customHeight="true" outlineLevel="0" collapsed="false">
      <c r="A163" s="39" t="n">
        <v>45625</v>
      </c>
      <c r="B163" s="6" t="s">
        <v>283</v>
      </c>
      <c r="C163" s="16" t="s">
        <v>20</v>
      </c>
      <c r="D163" s="16" t="s">
        <v>284</v>
      </c>
      <c r="E163" s="16" t="s">
        <v>285</v>
      </c>
      <c r="F163" s="16" t="s">
        <v>255</v>
      </c>
      <c r="G163" s="16" t="n">
        <v>2</v>
      </c>
      <c r="H163" s="16" t="s">
        <v>194</v>
      </c>
      <c r="I163" s="16" t="s">
        <v>195</v>
      </c>
      <c r="J163" s="16" t="s">
        <v>295</v>
      </c>
      <c r="K163" s="16" t="n">
        <v>1</v>
      </c>
      <c r="L163" s="40" t="n">
        <f aca="false">(K163/$Q$7)*100</f>
        <v>0.0189753320683112</v>
      </c>
      <c r="M163" s="16" t="s">
        <v>201</v>
      </c>
      <c r="N163" s="16" t="n">
        <f aca="false">IFERROR(INDEX(BMWP_COL!$B$2:$B$103,MATCH($I163,BMWP_COL!$A$2:$A$103,0)),"No aplica")</f>
        <v>8</v>
      </c>
      <c r="O163" s="16"/>
    </row>
    <row r="164" customFormat="false" ht="14.25" hidden="false" customHeight="true" outlineLevel="0" collapsed="false">
      <c r="A164" s="39" t="n">
        <v>45625</v>
      </c>
      <c r="B164" s="6" t="s">
        <v>283</v>
      </c>
      <c r="C164" s="16" t="s">
        <v>20</v>
      </c>
      <c r="D164" s="16" t="s">
        <v>284</v>
      </c>
      <c r="E164" s="16" t="s">
        <v>285</v>
      </c>
      <c r="F164" s="16" t="s">
        <v>255</v>
      </c>
      <c r="G164" s="16" t="n">
        <v>2</v>
      </c>
      <c r="H164" s="16" t="s">
        <v>240</v>
      </c>
      <c r="I164" s="16" t="s">
        <v>241</v>
      </c>
      <c r="J164" s="16" t="s">
        <v>242</v>
      </c>
      <c r="K164" s="16" t="n">
        <v>1</v>
      </c>
      <c r="L164" s="40" t="n">
        <f aca="false">(K164/$Q$7)*100</f>
        <v>0.0189753320683112</v>
      </c>
      <c r="M164" s="16" t="s">
        <v>211</v>
      </c>
      <c r="N164" s="16" t="n">
        <f aca="false">IFERROR(INDEX(BMWP_COL!$B$2:$B$103,MATCH($I164,BMWP_COL!$A$2:$A$103,0)),"No aplica")</f>
        <v>5</v>
      </c>
      <c r="O164" s="16"/>
    </row>
    <row r="165" customFormat="false" ht="14.25" hidden="false" customHeight="true" outlineLevel="0" collapsed="false">
      <c r="A165" s="39" t="n">
        <v>45625</v>
      </c>
      <c r="B165" s="6" t="s">
        <v>283</v>
      </c>
      <c r="C165" s="16" t="s">
        <v>20</v>
      </c>
      <c r="D165" s="16" t="s">
        <v>284</v>
      </c>
      <c r="E165" s="16" t="s">
        <v>285</v>
      </c>
      <c r="F165" s="16" t="s">
        <v>255</v>
      </c>
      <c r="G165" s="16" t="n">
        <v>3</v>
      </c>
      <c r="H165" s="16" t="s">
        <v>198</v>
      </c>
      <c r="I165" s="16" t="s">
        <v>199</v>
      </c>
      <c r="J165" s="16" t="s">
        <v>200</v>
      </c>
      <c r="K165" s="16" t="n">
        <v>6</v>
      </c>
      <c r="L165" s="40" t="n">
        <f aca="false">(K165/$Q$7)*100</f>
        <v>0.113851992409867</v>
      </c>
      <c r="M165" s="16" t="s">
        <v>201</v>
      </c>
      <c r="N165" s="16" t="n">
        <f aca="false">IFERROR(INDEX(BMWP_COL!$B$2:$B$103,MATCH($I165,BMWP_COL!$A$2:$A$103,0)),"No aplica")</f>
        <v>7</v>
      </c>
      <c r="O165" s="16"/>
    </row>
    <row r="166" customFormat="false" ht="14.25" hidden="false" customHeight="true" outlineLevel="0" collapsed="false">
      <c r="A166" s="39" t="n">
        <v>45625</v>
      </c>
      <c r="B166" s="6" t="s">
        <v>283</v>
      </c>
      <c r="C166" s="16" t="s">
        <v>20</v>
      </c>
      <c r="D166" s="16" t="s">
        <v>284</v>
      </c>
      <c r="E166" s="16" t="s">
        <v>285</v>
      </c>
      <c r="F166" s="16" t="s">
        <v>255</v>
      </c>
      <c r="G166" s="16" t="n">
        <v>3</v>
      </c>
      <c r="H166" s="16" t="s">
        <v>219</v>
      </c>
      <c r="I166" s="16" t="s">
        <v>265</v>
      </c>
      <c r="J166" s="16" t="s">
        <v>266</v>
      </c>
      <c r="K166" s="16" t="n">
        <v>2</v>
      </c>
      <c r="L166" s="40" t="n">
        <f aca="false">(K166/$Q$7)*100</f>
        <v>0.0379506641366224</v>
      </c>
      <c r="M166" s="16" t="s">
        <v>211</v>
      </c>
      <c r="N166" s="16" t="n">
        <f aca="false">IFERROR(INDEX(BMWP_COL!$B$2:$B$103,MATCH($I166,BMWP_COL!$A$2:$A$103,0)),"No aplica")</f>
        <v>10</v>
      </c>
      <c r="O166" s="16"/>
    </row>
    <row r="167" customFormat="false" ht="14.25" hidden="false" customHeight="true" outlineLevel="0" collapsed="false">
      <c r="A167" s="39" t="n">
        <v>45625</v>
      </c>
      <c r="B167" s="6" t="s">
        <v>283</v>
      </c>
      <c r="C167" s="16" t="s">
        <v>20</v>
      </c>
      <c r="D167" s="16" t="s">
        <v>284</v>
      </c>
      <c r="E167" s="16" t="s">
        <v>285</v>
      </c>
      <c r="F167" s="16" t="s">
        <v>255</v>
      </c>
      <c r="G167" s="16" t="n">
        <v>3</v>
      </c>
      <c r="H167" s="16" t="s">
        <v>208</v>
      </c>
      <c r="I167" s="16" t="s">
        <v>209</v>
      </c>
      <c r="J167" s="16" t="s">
        <v>212</v>
      </c>
      <c r="K167" s="16" t="n">
        <v>14</v>
      </c>
      <c r="L167" s="40" t="n">
        <f aca="false">(K167/$Q$7)*100</f>
        <v>0.265654648956357</v>
      </c>
      <c r="M167" s="16" t="s">
        <v>197</v>
      </c>
      <c r="N167" s="16" t="n">
        <f aca="false">IFERROR(INDEX(BMWP_COL!$B$2:$B$103,MATCH($I167,BMWP_COL!$A$2:$A$103,0)),"No aplica")</f>
        <v>7</v>
      </c>
      <c r="O167" s="16"/>
    </row>
    <row r="168" customFormat="false" ht="14.25" hidden="false" customHeight="true" outlineLevel="0" collapsed="false">
      <c r="A168" s="39" t="n">
        <v>45625</v>
      </c>
      <c r="B168" s="6" t="s">
        <v>283</v>
      </c>
      <c r="C168" s="16" t="s">
        <v>20</v>
      </c>
      <c r="D168" s="16" t="s">
        <v>284</v>
      </c>
      <c r="E168" s="16" t="s">
        <v>285</v>
      </c>
      <c r="F168" s="16" t="s">
        <v>255</v>
      </c>
      <c r="G168" s="16" t="n">
        <v>3</v>
      </c>
      <c r="H168" s="16" t="s">
        <v>202</v>
      </c>
      <c r="I168" s="16" t="s">
        <v>203</v>
      </c>
      <c r="J168" s="41" t="s">
        <v>204</v>
      </c>
      <c r="K168" s="16" t="n">
        <v>5</v>
      </c>
      <c r="L168" s="40" t="n">
        <f aca="false">(K168/$Q$7)*100</f>
        <v>0.094876660341556</v>
      </c>
      <c r="M168" s="16" t="s">
        <v>197</v>
      </c>
      <c r="N168" s="16" t="n">
        <f aca="false">IFERROR(INDEX(BMWP_COL!$B$2:$B$103,MATCH($I168,BMWP_COL!$A$2:$A$103,0)),"No aplica")</f>
        <v>2</v>
      </c>
      <c r="O168" s="16"/>
    </row>
    <row r="169" customFormat="false" ht="14.25" hidden="false" customHeight="true" outlineLevel="0" collapsed="false">
      <c r="A169" s="39" t="n">
        <v>45625</v>
      </c>
      <c r="B169" s="6" t="s">
        <v>283</v>
      </c>
      <c r="C169" s="16" t="s">
        <v>20</v>
      </c>
      <c r="D169" s="16" t="s">
        <v>284</v>
      </c>
      <c r="E169" s="16" t="s">
        <v>285</v>
      </c>
      <c r="F169" s="16" t="s">
        <v>255</v>
      </c>
      <c r="G169" s="16" t="n">
        <v>3</v>
      </c>
      <c r="H169" s="16" t="s">
        <v>208</v>
      </c>
      <c r="I169" s="16" t="s">
        <v>226</v>
      </c>
      <c r="J169" s="16" t="s">
        <v>227</v>
      </c>
      <c r="K169" s="16" t="n">
        <v>6</v>
      </c>
      <c r="L169" s="40" t="n">
        <f aca="false">(K169/$Q$7)*100</f>
        <v>0.113851992409867</v>
      </c>
      <c r="M169" s="16" t="s">
        <v>197</v>
      </c>
      <c r="N169" s="16" t="n">
        <f aca="false">IFERROR(INDEX(BMWP_COL!$B$2:$B$103,MATCH($I169,BMWP_COL!$A$2:$A$103,0)),"No aplica")</f>
        <v>7</v>
      </c>
      <c r="O169" s="16"/>
    </row>
    <row r="170" customFormat="false" ht="14.25" hidden="false" customHeight="true" outlineLevel="0" collapsed="false">
      <c r="A170" s="39" t="n">
        <v>45625</v>
      </c>
      <c r="B170" s="6" t="s">
        <v>283</v>
      </c>
      <c r="C170" s="16" t="s">
        <v>20</v>
      </c>
      <c r="D170" s="16" t="s">
        <v>284</v>
      </c>
      <c r="E170" s="16" t="s">
        <v>285</v>
      </c>
      <c r="F170" s="16" t="s">
        <v>255</v>
      </c>
      <c r="G170" s="16" t="n">
        <v>3</v>
      </c>
      <c r="H170" s="16" t="s">
        <v>231</v>
      </c>
      <c r="I170" s="16" t="s">
        <v>232</v>
      </c>
      <c r="J170" s="16" t="s">
        <v>233</v>
      </c>
      <c r="K170" s="16" t="n">
        <v>1</v>
      </c>
      <c r="L170" s="40" t="n">
        <f aca="false">(K170/$Q$7)*100</f>
        <v>0.0189753320683112</v>
      </c>
      <c r="M170" s="16" t="s">
        <v>201</v>
      </c>
      <c r="N170" s="16" t="n">
        <f aca="false">IFERROR(INDEX(BMWP_COL!$B$2:$B$103,MATCH($I170,BMWP_COL!$A$2:$A$103,0)),"No aplica")</f>
        <v>6</v>
      </c>
      <c r="O170" s="16"/>
    </row>
    <row r="171" customFormat="false" ht="14.25" hidden="false" customHeight="true" outlineLevel="0" collapsed="false">
      <c r="A171" s="39" t="n">
        <v>45625</v>
      </c>
      <c r="B171" s="6" t="s">
        <v>283</v>
      </c>
      <c r="C171" s="16" t="s">
        <v>20</v>
      </c>
      <c r="D171" s="16" t="s">
        <v>284</v>
      </c>
      <c r="E171" s="16" t="s">
        <v>285</v>
      </c>
      <c r="F171" s="16" t="s">
        <v>255</v>
      </c>
      <c r="G171" s="16" t="n">
        <v>3</v>
      </c>
      <c r="H171" s="16" t="s">
        <v>288</v>
      </c>
      <c r="I171" s="16" t="s">
        <v>289</v>
      </c>
      <c r="J171" s="16" t="s">
        <v>289</v>
      </c>
      <c r="K171" s="16" t="n">
        <v>1</v>
      </c>
      <c r="L171" s="40" t="n">
        <f aca="false">(K171/$Q$7)*100</f>
        <v>0.0189753320683112</v>
      </c>
      <c r="M171" s="16" t="s">
        <v>290</v>
      </c>
      <c r="N171" s="16" t="n">
        <f aca="false">IFERROR(INDEX(BMWP_COL!$B$2:$B$103,MATCH($I171,BMWP_COL!$A$2:$A$103,0)),"No aplica")</f>
        <v>4</v>
      </c>
      <c r="O171" s="16"/>
    </row>
    <row r="172" customFormat="false" ht="14.25" hidden="false" customHeight="true" outlineLevel="0" collapsed="false">
      <c r="A172" s="39" t="n">
        <v>45625</v>
      </c>
      <c r="B172" s="6" t="s">
        <v>283</v>
      </c>
      <c r="C172" s="16" t="s">
        <v>20</v>
      </c>
      <c r="D172" s="16" t="s">
        <v>284</v>
      </c>
      <c r="E172" s="16" t="s">
        <v>285</v>
      </c>
      <c r="F172" s="16" t="s">
        <v>255</v>
      </c>
      <c r="G172" s="16" t="n">
        <v>3</v>
      </c>
      <c r="H172" s="16" t="s">
        <v>272</v>
      </c>
      <c r="I172" s="16" t="s">
        <v>273</v>
      </c>
      <c r="J172" s="16" t="s">
        <v>274</v>
      </c>
      <c r="K172" s="16" t="n">
        <v>1</v>
      </c>
      <c r="L172" s="40" t="n">
        <f aca="false">(K172/$Q$7)*100</f>
        <v>0.0189753320683112</v>
      </c>
      <c r="M172" s="16" t="s">
        <v>201</v>
      </c>
      <c r="N172" s="16" t="n">
        <f aca="false">IFERROR(INDEX(BMWP_COL!$B$2:$B$103,MATCH($I172,BMWP_COL!$A$2:$A$103,0)),"No aplica")</f>
        <v>6</v>
      </c>
      <c r="O172" s="16"/>
    </row>
    <row r="173" customFormat="false" ht="14.25" hidden="false" customHeight="true" outlineLevel="0" collapsed="false">
      <c r="A173" s="39" t="n">
        <v>45625</v>
      </c>
      <c r="B173" s="6" t="s">
        <v>283</v>
      </c>
      <c r="C173" s="16" t="s">
        <v>20</v>
      </c>
      <c r="D173" s="16" t="s">
        <v>284</v>
      </c>
      <c r="E173" s="16" t="s">
        <v>285</v>
      </c>
      <c r="F173" s="16" t="s">
        <v>255</v>
      </c>
      <c r="G173" s="16" t="n">
        <v>3</v>
      </c>
      <c r="H173" s="16" t="s">
        <v>214</v>
      </c>
      <c r="I173" s="16" t="s">
        <v>252</v>
      </c>
      <c r="J173" s="16" t="s">
        <v>253</v>
      </c>
      <c r="K173" s="16" t="n">
        <v>2</v>
      </c>
      <c r="L173" s="40" t="n">
        <f aca="false">(K173/$Q$7)*100</f>
        <v>0.0379506641366224</v>
      </c>
      <c r="M173" s="16" t="s">
        <v>201</v>
      </c>
      <c r="N173" s="16" t="n">
        <f aca="false">IFERROR(INDEX(BMWP_COL!$B$2:$B$103,MATCH($I173,BMWP_COL!$A$2:$A$103,0)),"No aplica")</f>
        <v>6</v>
      </c>
      <c r="O173" s="16"/>
    </row>
    <row r="174" customFormat="false" ht="14.25" hidden="false" customHeight="true" outlineLevel="0" collapsed="false">
      <c r="A174" s="39" t="n">
        <v>45625</v>
      </c>
      <c r="B174" s="6" t="s">
        <v>283</v>
      </c>
      <c r="C174" s="16" t="s">
        <v>20</v>
      </c>
      <c r="D174" s="16" t="s">
        <v>284</v>
      </c>
      <c r="E174" s="16" t="s">
        <v>285</v>
      </c>
      <c r="F174" s="16" t="s">
        <v>255</v>
      </c>
      <c r="G174" s="16" t="n">
        <v>3</v>
      </c>
      <c r="H174" s="16" t="s">
        <v>194</v>
      </c>
      <c r="I174" s="16" t="s">
        <v>195</v>
      </c>
      <c r="J174" s="16" t="s">
        <v>196</v>
      </c>
      <c r="K174" s="16" t="n">
        <v>1</v>
      </c>
      <c r="L174" s="40" t="n">
        <f aca="false">(K174/$Q$7)*100</f>
        <v>0.0189753320683112</v>
      </c>
      <c r="M174" s="16" t="s">
        <v>197</v>
      </c>
      <c r="N174" s="16" t="n">
        <f aca="false">IFERROR(INDEX(BMWP_COL!$B$2:$B$103,MATCH($I174,BMWP_COL!$A$2:$A$103,0)),"No aplica")</f>
        <v>8</v>
      </c>
      <c r="O174" s="16"/>
    </row>
    <row r="175" customFormat="false" ht="14.25" hidden="false" customHeight="true" outlineLevel="0" collapsed="false">
      <c r="A175" s="39" t="n">
        <v>45625</v>
      </c>
      <c r="B175" s="6" t="s">
        <v>283</v>
      </c>
      <c r="C175" s="16" t="s">
        <v>20</v>
      </c>
      <c r="D175" s="16" t="s">
        <v>284</v>
      </c>
      <c r="E175" s="16" t="s">
        <v>285</v>
      </c>
      <c r="F175" s="16" t="s">
        <v>255</v>
      </c>
      <c r="G175" s="16" t="n">
        <v>3</v>
      </c>
      <c r="H175" s="16" t="s">
        <v>214</v>
      </c>
      <c r="I175" s="16" t="s">
        <v>252</v>
      </c>
      <c r="J175" s="16" t="s">
        <v>267</v>
      </c>
      <c r="K175" s="16" t="n">
        <v>1</v>
      </c>
      <c r="L175" s="40" t="n">
        <f aca="false">(K175/$Q$7)*100</f>
        <v>0.0189753320683112</v>
      </c>
      <c r="M175" s="16" t="s">
        <v>201</v>
      </c>
      <c r="N175" s="16" t="n">
        <f aca="false">IFERROR(INDEX(BMWP_COL!$B$2:$B$103,MATCH($I175,BMWP_COL!$A$2:$A$103,0)),"No aplica")</f>
        <v>6</v>
      </c>
      <c r="O175" s="16"/>
    </row>
    <row r="176" customFormat="false" ht="14.25" hidden="false" customHeight="true" outlineLevel="0" collapsed="false">
      <c r="A176" s="39" t="n">
        <v>45625</v>
      </c>
      <c r="B176" s="6" t="s">
        <v>283</v>
      </c>
      <c r="C176" s="16" t="s">
        <v>20</v>
      </c>
      <c r="D176" s="16" t="s">
        <v>284</v>
      </c>
      <c r="E176" s="16" t="s">
        <v>285</v>
      </c>
      <c r="F176" s="16" t="s">
        <v>222</v>
      </c>
      <c r="G176" s="16" t="n">
        <v>2</v>
      </c>
      <c r="H176" s="16" t="s">
        <v>194</v>
      </c>
      <c r="I176" s="16" t="s">
        <v>238</v>
      </c>
      <c r="J176" s="16" t="s">
        <v>239</v>
      </c>
      <c r="K176" s="16" t="n">
        <v>8</v>
      </c>
      <c r="L176" s="40" t="n">
        <f aca="false">(K176/$Q$7)*100</f>
        <v>0.15180265654649</v>
      </c>
      <c r="M176" s="16" t="s">
        <v>225</v>
      </c>
      <c r="N176" s="16" t="n">
        <f aca="false">IFERROR(INDEX(BMWP_COL!$B$2:$B$103,MATCH($I176,BMWP_COL!$A$2:$A$103,0)),"No aplica")</f>
        <v>10</v>
      </c>
      <c r="O176" s="16"/>
    </row>
    <row r="177" customFormat="false" ht="14.25" hidden="false" customHeight="true" outlineLevel="0" collapsed="false">
      <c r="A177" s="39" t="n">
        <v>45625</v>
      </c>
      <c r="B177" s="6" t="s">
        <v>283</v>
      </c>
      <c r="C177" s="16" t="s">
        <v>20</v>
      </c>
      <c r="D177" s="16" t="s">
        <v>284</v>
      </c>
      <c r="E177" s="16" t="s">
        <v>285</v>
      </c>
      <c r="F177" s="16" t="s">
        <v>222</v>
      </c>
      <c r="G177" s="16" t="n">
        <v>2</v>
      </c>
      <c r="H177" s="16" t="s">
        <v>198</v>
      </c>
      <c r="I177" s="16" t="s">
        <v>199</v>
      </c>
      <c r="J177" s="16" t="s">
        <v>200</v>
      </c>
      <c r="K177" s="16" t="n">
        <v>18</v>
      </c>
      <c r="L177" s="40" t="n">
        <f aca="false">(K177/$Q$7)*100</f>
        <v>0.341555977229602</v>
      </c>
      <c r="M177" s="16" t="s">
        <v>201</v>
      </c>
      <c r="N177" s="16" t="n">
        <f aca="false">IFERROR(INDEX(BMWP_COL!$B$2:$B$103,MATCH($I177,BMWP_COL!$A$2:$A$103,0)),"No aplica")</f>
        <v>7</v>
      </c>
      <c r="O177" s="16"/>
    </row>
    <row r="178" customFormat="false" ht="14.25" hidden="false" customHeight="true" outlineLevel="0" collapsed="false">
      <c r="A178" s="39" t="n">
        <v>45625</v>
      </c>
      <c r="B178" s="6" t="s">
        <v>283</v>
      </c>
      <c r="C178" s="16" t="s">
        <v>20</v>
      </c>
      <c r="D178" s="16" t="s">
        <v>284</v>
      </c>
      <c r="E178" s="16" t="s">
        <v>285</v>
      </c>
      <c r="F178" s="16" t="s">
        <v>222</v>
      </c>
      <c r="G178" s="16" t="n">
        <v>2</v>
      </c>
      <c r="H178" s="16" t="s">
        <v>202</v>
      </c>
      <c r="I178" s="16" t="s">
        <v>203</v>
      </c>
      <c r="J178" s="41" t="s">
        <v>204</v>
      </c>
      <c r="K178" s="16" t="n">
        <v>66</v>
      </c>
      <c r="L178" s="40" t="n">
        <f aca="false">(K178/$Q$7)*100</f>
        <v>1.25237191650854</v>
      </c>
      <c r="M178" s="16" t="s">
        <v>197</v>
      </c>
      <c r="N178" s="16" t="n">
        <f aca="false">IFERROR(INDEX(BMWP_COL!$B$2:$B$103,MATCH($I178,BMWP_COL!$A$2:$A$103,0)),"No aplica")</f>
        <v>2</v>
      </c>
      <c r="O178" s="16"/>
    </row>
    <row r="179" customFormat="false" ht="14.25" hidden="false" customHeight="true" outlineLevel="0" collapsed="false">
      <c r="A179" s="39" t="n">
        <v>45625</v>
      </c>
      <c r="B179" s="6" t="s">
        <v>283</v>
      </c>
      <c r="C179" s="16" t="s">
        <v>20</v>
      </c>
      <c r="D179" s="16" t="s">
        <v>284</v>
      </c>
      <c r="E179" s="16" t="s">
        <v>285</v>
      </c>
      <c r="F179" s="16" t="s">
        <v>222</v>
      </c>
      <c r="G179" s="16" t="n">
        <v>2</v>
      </c>
      <c r="H179" s="16" t="s">
        <v>202</v>
      </c>
      <c r="I179" s="16" t="s">
        <v>203</v>
      </c>
      <c r="J179" s="16" t="s">
        <v>213</v>
      </c>
      <c r="K179" s="16" t="n">
        <v>8</v>
      </c>
      <c r="L179" s="40" t="n">
        <f aca="false">(K179/$Q$7)*100</f>
        <v>0.15180265654649</v>
      </c>
      <c r="M179" s="16" t="s">
        <v>201</v>
      </c>
      <c r="N179" s="16" t="n">
        <f aca="false">IFERROR(INDEX(BMWP_COL!$B$2:$B$103,MATCH($I179,BMWP_COL!$A$2:$A$103,0)),"No aplica")</f>
        <v>2</v>
      </c>
      <c r="O179" s="16"/>
    </row>
    <row r="180" customFormat="false" ht="14.25" hidden="false" customHeight="true" outlineLevel="0" collapsed="false">
      <c r="A180" s="39" t="n">
        <v>45625</v>
      </c>
      <c r="B180" s="6" t="s">
        <v>283</v>
      </c>
      <c r="C180" s="16" t="s">
        <v>20</v>
      </c>
      <c r="D180" s="16" t="s">
        <v>284</v>
      </c>
      <c r="E180" s="16" t="s">
        <v>285</v>
      </c>
      <c r="F180" s="16" t="s">
        <v>222</v>
      </c>
      <c r="G180" s="16" t="n">
        <v>2</v>
      </c>
      <c r="H180" s="16" t="s">
        <v>194</v>
      </c>
      <c r="I180" s="16" t="s">
        <v>195</v>
      </c>
      <c r="J180" s="16" t="s">
        <v>196</v>
      </c>
      <c r="K180" s="16" t="n">
        <v>51</v>
      </c>
      <c r="L180" s="40" t="n">
        <f aca="false">(K180/$Q$7)*100</f>
        <v>0.967741935483871</v>
      </c>
      <c r="M180" s="16" t="s">
        <v>197</v>
      </c>
      <c r="N180" s="16" t="n">
        <f aca="false">IFERROR(INDEX(BMWP_COL!$B$2:$B$103,MATCH($I180,BMWP_COL!$A$2:$A$103,0)),"No aplica")</f>
        <v>8</v>
      </c>
      <c r="O180" s="16"/>
    </row>
    <row r="181" customFormat="false" ht="14.25" hidden="false" customHeight="true" outlineLevel="0" collapsed="false">
      <c r="A181" s="39" t="n">
        <v>45625</v>
      </c>
      <c r="B181" s="6" t="s">
        <v>283</v>
      </c>
      <c r="C181" s="16" t="s">
        <v>20</v>
      </c>
      <c r="D181" s="16" t="s">
        <v>284</v>
      </c>
      <c r="E181" s="16" t="s">
        <v>285</v>
      </c>
      <c r="F181" s="16" t="s">
        <v>222</v>
      </c>
      <c r="G181" s="16" t="n">
        <v>2</v>
      </c>
      <c r="H181" s="16" t="s">
        <v>219</v>
      </c>
      <c r="I181" s="16" t="s">
        <v>220</v>
      </c>
      <c r="J181" s="16" t="s">
        <v>221</v>
      </c>
      <c r="K181" s="16" t="n">
        <v>31</v>
      </c>
      <c r="L181" s="40" t="n">
        <f aca="false">(K181/$Q$7)*100</f>
        <v>0.588235294117647</v>
      </c>
      <c r="M181" s="16" t="s">
        <v>197</v>
      </c>
      <c r="N181" s="16" t="n">
        <f aca="false">IFERROR(INDEX(BMWP_COL!$B$2:$B$103,MATCH($I181,BMWP_COL!$A$2:$A$103,0)),"No aplica")</f>
        <v>6</v>
      </c>
      <c r="O181" s="16"/>
    </row>
    <row r="182" customFormat="false" ht="14.25" hidden="false" customHeight="true" outlineLevel="0" collapsed="false">
      <c r="A182" s="39" t="n">
        <v>45625</v>
      </c>
      <c r="B182" s="6" t="s">
        <v>283</v>
      </c>
      <c r="C182" s="16" t="s">
        <v>20</v>
      </c>
      <c r="D182" s="16" t="s">
        <v>284</v>
      </c>
      <c r="E182" s="16" t="s">
        <v>285</v>
      </c>
      <c r="F182" s="16" t="s">
        <v>222</v>
      </c>
      <c r="G182" s="16" t="n">
        <v>2</v>
      </c>
      <c r="H182" s="16" t="s">
        <v>219</v>
      </c>
      <c r="I182" s="16" t="s">
        <v>260</v>
      </c>
      <c r="J182" s="16" t="s">
        <v>261</v>
      </c>
      <c r="K182" s="16" t="n">
        <v>2</v>
      </c>
      <c r="L182" s="40" t="n">
        <f aca="false">(K182/$Q$7)*100</f>
        <v>0.0379506641366224</v>
      </c>
      <c r="M182" s="16" t="s">
        <v>225</v>
      </c>
      <c r="N182" s="16" t="n">
        <f aca="false">IFERROR(INDEX(BMWP_COL!$B$2:$B$103,MATCH($I182,BMWP_COL!$A$2:$A$103,0)),"No aplica")</f>
        <v>10</v>
      </c>
      <c r="O182" s="16"/>
    </row>
    <row r="183" customFormat="false" ht="14.25" hidden="false" customHeight="true" outlineLevel="0" collapsed="false">
      <c r="A183" s="39" t="n">
        <v>45625</v>
      </c>
      <c r="B183" s="6" t="s">
        <v>283</v>
      </c>
      <c r="C183" s="16" t="s">
        <v>20</v>
      </c>
      <c r="D183" s="16" t="s">
        <v>284</v>
      </c>
      <c r="E183" s="16" t="s">
        <v>285</v>
      </c>
      <c r="F183" s="16" t="s">
        <v>222</v>
      </c>
      <c r="G183" s="16" t="n">
        <v>2</v>
      </c>
      <c r="H183" s="16" t="s">
        <v>249</v>
      </c>
      <c r="I183" s="16" t="s">
        <v>250</v>
      </c>
      <c r="J183" s="16" t="s">
        <v>251</v>
      </c>
      <c r="K183" s="16" t="n">
        <v>8</v>
      </c>
      <c r="L183" s="40" t="n">
        <f aca="false">(K183/$Q$7)*100</f>
        <v>0.15180265654649</v>
      </c>
      <c r="M183" s="16" t="s">
        <v>201</v>
      </c>
      <c r="N183" s="16" t="n">
        <f aca="false">IFERROR(INDEX(BMWP_COL!$B$2:$B$103,MATCH($I183,BMWP_COL!$A$2:$A$103,0)),"No aplica")</f>
        <v>10</v>
      </c>
      <c r="O183" s="16"/>
    </row>
    <row r="184" customFormat="false" ht="14.25" hidden="false" customHeight="true" outlineLevel="0" collapsed="false">
      <c r="A184" s="39" t="n">
        <v>45625</v>
      </c>
      <c r="B184" s="6" t="s">
        <v>283</v>
      </c>
      <c r="C184" s="16" t="s">
        <v>20</v>
      </c>
      <c r="D184" s="16" t="s">
        <v>284</v>
      </c>
      <c r="E184" s="16" t="s">
        <v>285</v>
      </c>
      <c r="F184" s="16" t="s">
        <v>222</v>
      </c>
      <c r="G184" s="16" t="n">
        <v>2</v>
      </c>
      <c r="H184" s="16" t="s">
        <v>208</v>
      </c>
      <c r="I184" s="16" t="s">
        <v>226</v>
      </c>
      <c r="J184" s="16" t="s">
        <v>227</v>
      </c>
      <c r="K184" s="16" t="n">
        <v>28</v>
      </c>
      <c r="L184" s="40" t="n">
        <f aca="false">(K184/$Q$7)*100</f>
        <v>0.531309297912713</v>
      </c>
      <c r="M184" s="16" t="s">
        <v>197</v>
      </c>
      <c r="N184" s="16" t="n">
        <f aca="false">IFERROR(INDEX(BMWP_COL!$B$2:$B$103,MATCH($I184,BMWP_COL!$A$2:$A$103,0)),"No aplica")</f>
        <v>7</v>
      </c>
      <c r="O184" s="16"/>
    </row>
    <row r="185" customFormat="false" ht="14.25" hidden="false" customHeight="true" outlineLevel="0" collapsed="false">
      <c r="A185" s="39" t="n">
        <v>45625</v>
      </c>
      <c r="B185" s="6" t="s">
        <v>283</v>
      </c>
      <c r="C185" s="16" t="s">
        <v>20</v>
      </c>
      <c r="D185" s="16" t="s">
        <v>284</v>
      </c>
      <c r="E185" s="16" t="s">
        <v>285</v>
      </c>
      <c r="F185" s="16" t="s">
        <v>222</v>
      </c>
      <c r="G185" s="16" t="n">
        <v>2</v>
      </c>
      <c r="H185" s="16" t="s">
        <v>208</v>
      </c>
      <c r="I185" s="16" t="s">
        <v>209</v>
      </c>
      <c r="J185" s="16" t="s">
        <v>212</v>
      </c>
      <c r="K185" s="16" t="n">
        <v>8</v>
      </c>
      <c r="L185" s="40" t="n">
        <f aca="false">(K185/$Q$7)*100</f>
        <v>0.15180265654649</v>
      </c>
      <c r="M185" s="16" t="s">
        <v>197</v>
      </c>
      <c r="N185" s="16" t="n">
        <f aca="false">IFERROR(INDEX(BMWP_COL!$B$2:$B$103,MATCH($I185,BMWP_COL!$A$2:$A$103,0)),"No aplica")</f>
        <v>7</v>
      </c>
      <c r="O185" s="16"/>
    </row>
    <row r="186" customFormat="false" ht="14.25" hidden="false" customHeight="true" outlineLevel="0" collapsed="false">
      <c r="A186" s="39" t="n">
        <v>45625</v>
      </c>
      <c r="B186" s="6" t="s">
        <v>283</v>
      </c>
      <c r="C186" s="16" t="s">
        <v>20</v>
      </c>
      <c r="D186" s="16" t="s">
        <v>284</v>
      </c>
      <c r="E186" s="16" t="s">
        <v>285</v>
      </c>
      <c r="F186" s="16" t="s">
        <v>222</v>
      </c>
      <c r="G186" s="16" t="n">
        <v>2</v>
      </c>
      <c r="H186" s="16" t="s">
        <v>214</v>
      </c>
      <c r="I186" s="16" t="s">
        <v>252</v>
      </c>
      <c r="J186" s="16" t="s">
        <v>253</v>
      </c>
      <c r="K186" s="16" t="n">
        <v>5</v>
      </c>
      <c r="L186" s="40" t="n">
        <f aca="false">(K186/$Q$7)*100</f>
        <v>0.094876660341556</v>
      </c>
      <c r="M186" s="16" t="s">
        <v>201</v>
      </c>
      <c r="N186" s="16" t="n">
        <f aca="false">IFERROR(INDEX(BMWP_COL!$B$2:$B$103,MATCH($I186,BMWP_COL!$A$2:$A$103,0)),"No aplica")</f>
        <v>6</v>
      </c>
      <c r="O186" s="16"/>
    </row>
    <row r="187" customFormat="false" ht="14.25" hidden="false" customHeight="true" outlineLevel="0" collapsed="false">
      <c r="A187" s="39" t="n">
        <v>45625</v>
      </c>
      <c r="B187" s="6" t="s">
        <v>283</v>
      </c>
      <c r="C187" s="16" t="s">
        <v>20</v>
      </c>
      <c r="D187" s="16" t="s">
        <v>284</v>
      </c>
      <c r="E187" s="16" t="s">
        <v>285</v>
      </c>
      <c r="F187" s="16" t="s">
        <v>222</v>
      </c>
      <c r="G187" s="16" t="n">
        <v>2</v>
      </c>
      <c r="H187" s="16" t="s">
        <v>194</v>
      </c>
      <c r="I187" s="16" t="s">
        <v>223</v>
      </c>
      <c r="J187" s="16" t="s">
        <v>224</v>
      </c>
      <c r="K187" s="16" t="n">
        <v>2</v>
      </c>
      <c r="L187" s="40" t="n">
        <f aca="false">(K187/$Q$7)*100</f>
        <v>0.0379506641366224</v>
      </c>
      <c r="M187" s="16" t="s">
        <v>225</v>
      </c>
      <c r="N187" s="16" t="n">
        <f aca="false">IFERROR(INDEX(BMWP_COL!$B$2:$B$103,MATCH($I187,BMWP_COL!$A$2:$A$103,0)),"No aplica")</f>
        <v>7</v>
      </c>
      <c r="O187" s="16"/>
    </row>
    <row r="188" customFormat="false" ht="14.25" hidden="false" customHeight="true" outlineLevel="0" collapsed="false">
      <c r="A188" s="39" t="n">
        <v>45625</v>
      </c>
      <c r="B188" s="6" t="s">
        <v>283</v>
      </c>
      <c r="C188" s="16" t="s">
        <v>20</v>
      </c>
      <c r="D188" s="16" t="s">
        <v>284</v>
      </c>
      <c r="E188" s="16" t="s">
        <v>285</v>
      </c>
      <c r="F188" s="16" t="s">
        <v>222</v>
      </c>
      <c r="G188" s="16" t="n">
        <v>2</v>
      </c>
      <c r="H188" s="16" t="s">
        <v>194</v>
      </c>
      <c r="I188" s="16" t="s">
        <v>195</v>
      </c>
      <c r="J188" s="16" t="s">
        <v>295</v>
      </c>
      <c r="K188" s="16" t="n">
        <v>1</v>
      </c>
      <c r="L188" s="40" t="n">
        <f aca="false">(K188/$Q$7)*100</f>
        <v>0.0189753320683112</v>
      </c>
      <c r="M188" s="16" t="s">
        <v>201</v>
      </c>
      <c r="N188" s="16" t="n">
        <f aca="false">IFERROR(INDEX(BMWP_COL!$B$2:$B$103,MATCH($I188,BMWP_COL!$A$2:$A$103,0)),"No aplica")</f>
        <v>8</v>
      </c>
      <c r="O188" s="16"/>
    </row>
    <row r="189" customFormat="false" ht="14.25" hidden="false" customHeight="true" outlineLevel="0" collapsed="false">
      <c r="A189" s="39" t="n">
        <v>45625</v>
      </c>
      <c r="B189" s="6" t="s">
        <v>283</v>
      </c>
      <c r="C189" s="16" t="s">
        <v>20</v>
      </c>
      <c r="D189" s="16" t="s">
        <v>284</v>
      </c>
      <c r="E189" s="16" t="s">
        <v>285</v>
      </c>
      <c r="F189" s="16" t="s">
        <v>222</v>
      </c>
      <c r="G189" s="16" t="n">
        <v>2</v>
      </c>
      <c r="H189" s="16" t="s">
        <v>208</v>
      </c>
      <c r="I189" s="16" t="s">
        <v>247</v>
      </c>
      <c r="J189" s="16" t="s">
        <v>248</v>
      </c>
      <c r="K189" s="16" t="n">
        <v>1</v>
      </c>
      <c r="L189" s="40" t="n">
        <f aca="false">(K189/$Q$7)*100</f>
        <v>0.0189753320683112</v>
      </c>
      <c r="M189" s="16" t="s">
        <v>197</v>
      </c>
      <c r="N189" s="16" t="n">
        <f aca="false">IFERROR(INDEX(BMWP_COL!$B$2:$B$103,MATCH($I189,BMWP_COL!$A$2:$A$103,0)),"No aplica")</f>
        <v>9</v>
      </c>
      <c r="O189" s="16"/>
    </row>
    <row r="190" customFormat="false" ht="14.25" hidden="false" customHeight="true" outlineLevel="0" collapsed="false">
      <c r="A190" s="39" t="n">
        <v>45625</v>
      </c>
      <c r="B190" s="6" t="s">
        <v>283</v>
      </c>
      <c r="C190" s="16" t="s">
        <v>20</v>
      </c>
      <c r="D190" s="16" t="s">
        <v>284</v>
      </c>
      <c r="E190" s="16" t="s">
        <v>285</v>
      </c>
      <c r="F190" s="16" t="s">
        <v>222</v>
      </c>
      <c r="G190" s="16" t="n">
        <v>2</v>
      </c>
      <c r="H190" s="16" t="s">
        <v>214</v>
      </c>
      <c r="I190" s="16" t="s">
        <v>243</v>
      </c>
      <c r="J190" s="16" t="s">
        <v>244</v>
      </c>
      <c r="K190" s="16" t="n">
        <v>1</v>
      </c>
      <c r="L190" s="40" t="n">
        <f aca="false">(K190/$Q$7)*100</f>
        <v>0.0189753320683112</v>
      </c>
      <c r="M190" s="16" t="s">
        <v>201</v>
      </c>
      <c r="N190" s="16" t="n">
        <f aca="false">IFERROR(INDEX(BMWP_COL!$B$2:$B$103,MATCH($I190,BMWP_COL!$A$2:$A$103,0)),"No aplica")</f>
        <v>7</v>
      </c>
      <c r="O190" s="16"/>
    </row>
    <row r="191" customFormat="false" ht="14.25" hidden="false" customHeight="true" outlineLevel="0" collapsed="false">
      <c r="A191" s="39" t="n">
        <v>45625</v>
      </c>
      <c r="B191" s="6" t="s">
        <v>283</v>
      </c>
      <c r="C191" s="16" t="s">
        <v>20</v>
      </c>
      <c r="D191" s="16" t="s">
        <v>284</v>
      </c>
      <c r="E191" s="16" t="s">
        <v>285</v>
      </c>
      <c r="F191" s="16" t="s">
        <v>222</v>
      </c>
      <c r="G191" s="16" t="n">
        <v>2</v>
      </c>
      <c r="H191" s="16" t="s">
        <v>240</v>
      </c>
      <c r="I191" s="16" t="s">
        <v>241</v>
      </c>
      <c r="J191" s="16" t="s">
        <v>242</v>
      </c>
      <c r="K191" s="16" t="n">
        <v>1</v>
      </c>
      <c r="L191" s="40" t="n">
        <f aca="false">(K191/$Q$7)*100</f>
        <v>0.0189753320683112</v>
      </c>
      <c r="M191" s="16" t="s">
        <v>211</v>
      </c>
      <c r="N191" s="16" t="n">
        <f aca="false">IFERROR(INDEX(BMWP_COL!$B$2:$B$103,MATCH($I191,BMWP_COL!$A$2:$A$103,0)),"No aplica")</f>
        <v>5</v>
      </c>
      <c r="O191" s="16"/>
    </row>
    <row r="192" customFormat="false" ht="14.25" hidden="false" customHeight="true" outlineLevel="0" collapsed="false">
      <c r="A192" s="39" t="n">
        <v>45625</v>
      </c>
      <c r="B192" s="6" t="s">
        <v>283</v>
      </c>
      <c r="C192" s="16" t="s">
        <v>20</v>
      </c>
      <c r="D192" s="16" t="s">
        <v>284</v>
      </c>
      <c r="E192" s="16" t="s">
        <v>285</v>
      </c>
      <c r="F192" s="16" t="s">
        <v>222</v>
      </c>
      <c r="G192" s="16" t="n">
        <v>2</v>
      </c>
      <c r="H192" s="16" t="s">
        <v>194</v>
      </c>
      <c r="I192" s="16" t="s">
        <v>195</v>
      </c>
      <c r="J192" s="16" t="s">
        <v>254</v>
      </c>
      <c r="K192" s="16" t="n">
        <v>4</v>
      </c>
      <c r="L192" s="40" t="n">
        <f aca="false">(K192/$Q$7)*100</f>
        <v>0.0759013282732448</v>
      </c>
      <c r="M192" s="16" t="s">
        <v>197</v>
      </c>
      <c r="N192" s="16" t="n">
        <f aca="false">IFERROR(INDEX(BMWP_COL!$B$2:$B$103,MATCH($I192,BMWP_COL!$A$2:$A$103,0)),"No aplica")</f>
        <v>8</v>
      </c>
      <c r="O192" s="16"/>
    </row>
    <row r="193" customFormat="false" ht="14.25" hidden="false" customHeight="true" outlineLevel="0" collapsed="false">
      <c r="A193" s="39" t="n">
        <v>45625</v>
      </c>
      <c r="B193" s="6" t="s">
        <v>283</v>
      </c>
      <c r="C193" s="16" t="s">
        <v>20</v>
      </c>
      <c r="D193" s="16" t="s">
        <v>284</v>
      </c>
      <c r="E193" s="16" t="s">
        <v>285</v>
      </c>
      <c r="F193" s="16" t="s">
        <v>222</v>
      </c>
      <c r="G193" s="16" t="n">
        <v>2</v>
      </c>
      <c r="H193" s="16" t="s">
        <v>219</v>
      </c>
      <c r="I193" s="16" t="s">
        <v>220</v>
      </c>
      <c r="J193" s="16" t="s">
        <v>268</v>
      </c>
      <c r="K193" s="16" t="n">
        <v>2</v>
      </c>
      <c r="L193" s="40" t="n">
        <f aca="false">(K193/$Q$7)*100</f>
        <v>0.0379506641366224</v>
      </c>
      <c r="M193" s="16" t="s">
        <v>197</v>
      </c>
      <c r="N193" s="16" t="n">
        <f aca="false">IFERROR(INDEX(BMWP_COL!$B$2:$B$103,MATCH($I193,BMWP_COL!$A$2:$A$103,0)),"No aplica")</f>
        <v>6</v>
      </c>
      <c r="O193" s="16"/>
    </row>
    <row r="194" customFormat="false" ht="14.25" hidden="false" customHeight="true" outlineLevel="0" collapsed="false">
      <c r="A194" s="39" t="n">
        <v>45625</v>
      </c>
      <c r="B194" s="6" t="s">
        <v>283</v>
      </c>
      <c r="C194" s="16" t="s">
        <v>20</v>
      </c>
      <c r="D194" s="16" t="s">
        <v>284</v>
      </c>
      <c r="E194" s="16" t="s">
        <v>285</v>
      </c>
      <c r="F194" s="16" t="s">
        <v>222</v>
      </c>
      <c r="G194" s="16" t="n">
        <v>2</v>
      </c>
      <c r="H194" s="16" t="s">
        <v>194</v>
      </c>
      <c r="I194" s="16" t="s">
        <v>256</v>
      </c>
      <c r="J194" s="16" t="s">
        <v>257</v>
      </c>
      <c r="K194" s="16" t="n">
        <v>1</v>
      </c>
      <c r="L194" s="40" t="n">
        <f aca="false">(K194/$Q$7)*100</f>
        <v>0.0189753320683112</v>
      </c>
      <c r="M194" s="16" t="s">
        <v>225</v>
      </c>
      <c r="N194" s="16" t="n">
        <f aca="false">IFERROR(INDEX(BMWP_COL!$B$2:$B$103,MATCH($I194,BMWP_COL!$A$2:$A$103,0)),"No aplica")</f>
        <v>10</v>
      </c>
      <c r="O194" s="16"/>
    </row>
    <row r="195" customFormat="false" ht="14.25" hidden="false" customHeight="true" outlineLevel="0" collapsed="false">
      <c r="A195" s="39" t="n">
        <v>45625</v>
      </c>
      <c r="B195" s="6" t="s">
        <v>283</v>
      </c>
      <c r="C195" s="16" t="s">
        <v>20</v>
      </c>
      <c r="D195" s="16" t="s">
        <v>284</v>
      </c>
      <c r="E195" s="16" t="s">
        <v>285</v>
      </c>
      <c r="F195" s="16" t="s">
        <v>222</v>
      </c>
      <c r="G195" s="16" t="n">
        <v>2</v>
      </c>
      <c r="H195" s="16" t="s">
        <v>208</v>
      </c>
      <c r="I195" s="16" t="s">
        <v>209</v>
      </c>
      <c r="J195" s="16" t="s">
        <v>210</v>
      </c>
      <c r="K195" s="16" t="n">
        <v>2</v>
      </c>
      <c r="L195" s="40" t="n">
        <f aca="false">(K195/$Q$7)*100</f>
        <v>0.0379506641366224</v>
      </c>
      <c r="M195" s="16" t="s">
        <v>211</v>
      </c>
      <c r="N195" s="16" t="n">
        <f aca="false">IFERROR(INDEX(BMWP_COL!$B$2:$B$103,MATCH($I195,BMWP_COL!$A$2:$A$103,0)),"No aplica")</f>
        <v>7</v>
      </c>
      <c r="O195" s="16"/>
    </row>
    <row r="196" customFormat="false" ht="14.25" hidden="false" customHeight="true" outlineLevel="0" collapsed="false">
      <c r="A196" s="39" t="n">
        <v>45625</v>
      </c>
      <c r="B196" s="6" t="s">
        <v>283</v>
      </c>
      <c r="C196" s="16" t="s">
        <v>20</v>
      </c>
      <c r="D196" s="16" t="s">
        <v>284</v>
      </c>
      <c r="E196" s="16" t="s">
        <v>285</v>
      </c>
      <c r="F196" s="16" t="s">
        <v>222</v>
      </c>
      <c r="G196" s="16" t="n">
        <v>2</v>
      </c>
      <c r="H196" s="16" t="s">
        <v>219</v>
      </c>
      <c r="I196" s="16" t="s">
        <v>220</v>
      </c>
      <c r="J196" s="16" t="s">
        <v>278</v>
      </c>
      <c r="K196" s="16" t="n">
        <v>3</v>
      </c>
      <c r="L196" s="40" t="n">
        <f aca="false">(K196/$Q$7)*100</f>
        <v>0.0569259962049336</v>
      </c>
      <c r="M196" s="16" t="s">
        <v>197</v>
      </c>
      <c r="N196" s="16" t="n">
        <f aca="false">IFERROR(INDEX(BMWP_COL!$B$2:$B$103,MATCH($I196,BMWP_COL!$A$2:$A$103,0)),"No aplica")</f>
        <v>6</v>
      </c>
      <c r="O196" s="16"/>
    </row>
    <row r="197" customFormat="false" ht="14.25" hidden="false" customHeight="true" outlineLevel="0" collapsed="false">
      <c r="A197" s="39" t="n">
        <v>45625</v>
      </c>
      <c r="B197" s="6" t="s">
        <v>283</v>
      </c>
      <c r="C197" s="16" t="s">
        <v>20</v>
      </c>
      <c r="D197" s="16" t="s">
        <v>284</v>
      </c>
      <c r="E197" s="16" t="s">
        <v>285</v>
      </c>
      <c r="F197" s="16" t="s">
        <v>222</v>
      </c>
      <c r="G197" s="42" t="s">
        <v>296</v>
      </c>
      <c r="H197" s="16" t="s">
        <v>194</v>
      </c>
      <c r="I197" s="16" t="s">
        <v>238</v>
      </c>
      <c r="J197" s="16" t="s">
        <v>239</v>
      </c>
      <c r="K197" s="16" t="n">
        <v>8</v>
      </c>
      <c r="L197" s="40" t="n">
        <f aca="false">(K197/$Q$7)*100</f>
        <v>0.15180265654649</v>
      </c>
      <c r="M197" s="16" t="s">
        <v>225</v>
      </c>
      <c r="N197" s="16" t="n">
        <f aca="false">IFERROR(INDEX(BMWP_COL!$B$2:$B$103,MATCH($I197,BMWP_COL!$A$2:$A$103,0)),"No aplica")</f>
        <v>10</v>
      </c>
      <c r="O197" s="16"/>
    </row>
    <row r="198" customFormat="false" ht="14.25" hidden="false" customHeight="true" outlineLevel="0" collapsed="false">
      <c r="A198" s="39" t="n">
        <v>45625</v>
      </c>
      <c r="B198" s="6" t="s">
        <v>283</v>
      </c>
      <c r="C198" s="16" t="s">
        <v>20</v>
      </c>
      <c r="D198" s="16" t="s">
        <v>284</v>
      </c>
      <c r="E198" s="16" t="s">
        <v>285</v>
      </c>
      <c r="F198" s="16" t="s">
        <v>222</v>
      </c>
      <c r="G198" s="42" t="s">
        <v>296</v>
      </c>
      <c r="H198" s="16" t="s">
        <v>198</v>
      </c>
      <c r="I198" s="16" t="s">
        <v>199</v>
      </c>
      <c r="J198" s="16" t="s">
        <v>200</v>
      </c>
      <c r="K198" s="16" t="n">
        <v>31</v>
      </c>
      <c r="L198" s="40" t="n">
        <f aca="false">(K198/$Q$7)*100</f>
        <v>0.588235294117647</v>
      </c>
      <c r="M198" s="16" t="s">
        <v>201</v>
      </c>
      <c r="N198" s="16" t="n">
        <f aca="false">IFERROR(INDEX(BMWP_COL!$B$2:$B$103,MATCH($I198,BMWP_COL!$A$2:$A$103,0)),"No aplica")</f>
        <v>7</v>
      </c>
      <c r="O198" s="16"/>
    </row>
    <row r="199" customFormat="false" ht="14.25" hidden="false" customHeight="true" outlineLevel="0" collapsed="false">
      <c r="A199" s="39" t="n">
        <v>45625</v>
      </c>
      <c r="B199" s="6" t="s">
        <v>283</v>
      </c>
      <c r="C199" s="16" t="s">
        <v>20</v>
      </c>
      <c r="D199" s="16" t="s">
        <v>284</v>
      </c>
      <c r="E199" s="16" t="s">
        <v>285</v>
      </c>
      <c r="F199" s="16" t="s">
        <v>222</v>
      </c>
      <c r="G199" s="42" t="s">
        <v>296</v>
      </c>
      <c r="H199" s="16" t="s">
        <v>194</v>
      </c>
      <c r="I199" s="16" t="s">
        <v>195</v>
      </c>
      <c r="J199" s="16" t="s">
        <v>196</v>
      </c>
      <c r="K199" s="16" t="n">
        <v>76</v>
      </c>
      <c r="L199" s="40" t="n">
        <f aca="false">(K199/$Q$7)*100</f>
        <v>1.44212523719165</v>
      </c>
      <c r="M199" s="16" t="s">
        <v>197</v>
      </c>
      <c r="N199" s="16" t="n">
        <f aca="false">IFERROR(INDEX(BMWP_COL!$B$2:$B$103,MATCH($I199,BMWP_COL!$A$2:$A$103,0)),"No aplica")</f>
        <v>8</v>
      </c>
      <c r="O199" s="16"/>
    </row>
    <row r="200" customFormat="false" ht="14.25" hidden="false" customHeight="true" outlineLevel="0" collapsed="false">
      <c r="A200" s="39" t="n">
        <v>45625</v>
      </c>
      <c r="B200" s="6" t="s">
        <v>283</v>
      </c>
      <c r="C200" s="16" t="s">
        <v>20</v>
      </c>
      <c r="D200" s="16" t="s">
        <v>284</v>
      </c>
      <c r="E200" s="16" t="s">
        <v>285</v>
      </c>
      <c r="F200" s="16" t="s">
        <v>222</v>
      </c>
      <c r="G200" s="42" t="s">
        <v>296</v>
      </c>
      <c r="H200" s="16" t="s">
        <v>202</v>
      </c>
      <c r="I200" s="16" t="s">
        <v>203</v>
      </c>
      <c r="J200" s="41" t="s">
        <v>204</v>
      </c>
      <c r="K200" s="16" t="n">
        <v>56</v>
      </c>
      <c r="L200" s="40" t="n">
        <f aca="false">(K200/$Q$7)*100</f>
        <v>1.06261859582543</v>
      </c>
      <c r="M200" s="16" t="s">
        <v>197</v>
      </c>
      <c r="N200" s="16" t="n">
        <f aca="false">IFERROR(INDEX(BMWP_COL!$B$2:$B$103,MATCH($I200,BMWP_COL!$A$2:$A$103,0)),"No aplica")</f>
        <v>2</v>
      </c>
      <c r="O200" s="16"/>
    </row>
    <row r="201" customFormat="false" ht="14.25" hidden="false" customHeight="true" outlineLevel="0" collapsed="false">
      <c r="A201" s="39" t="n">
        <v>45625</v>
      </c>
      <c r="B201" s="6" t="s">
        <v>283</v>
      </c>
      <c r="C201" s="16" t="s">
        <v>20</v>
      </c>
      <c r="D201" s="16" t="s">
        <v>284</v>
      </c>
      <c r="E201" s="16" t="s">
        <v>285</v>
      </c>
      <c r="F201" s="16" t="s">
        <v>222</v>
      </c>
      <c r="G201" s="42" t="s">
        <v>296</v>
      </c>
      <c r="H201" s="16" t="s">
        <v>249</v>
      </c>
      <c r="I201" s="16" t="s">
        <v>250</v>
      </c>
      <c r="J201" s="16" t="s">
        <v>251</v>
      </c>
      <c r="K201" s="16" t="n">
        <v>8</v>
      </c>
      <c r="L201" s="40" t="n">
        <f aca="false">(K201/$Q$7)*100</f>
        <v>0.15180265654649</v>
      </c>
      <c r="M201" s="16" t="s">
        <v>201</v>
      </c>
      <c r="N201" s="16" t="n">
        <f aca="false">IFERROR(INDEX(BMWP_COL!$B$2:$B$103,MATCH($I201,BMWP_COL!$A$2:$A$103,0)),"No aplica")</f>
        <v>10</v>
      </c>
      <c r="O201" s="16"/>
    </row>
    <row r="202" customFormat="false" ht="14.25" hidden="false" customHeight="true" outlineLevel="0" collapsed="false">
      <c r="A202" s="39" t="n">
        <v>45625</v>
      </c>
      <c r="B202" s="6" t="s">
        <v>283</v>
      </c>
      <c r="C202" s="16" t="s">
        <v>20</v>
      </c>
      <c r="D202" s="16" t="s">
        <v>284</v>
      </c>
      <c r="E202" s="16" t="s">
        <v>285</v>
      </c>
      <c r="F202" s="16" t="s">
        <v>222</v>
      </c>
      <c r="G202" s="42" t="s">
        <v>296</v>
      </c>
      <c r="H202" s="16" t="s">
        <v>219</v>
      </c>
      <c r="I202" s="16" t="s">
        <v>260</v>
      </c>
      <c r="J202" s="16" t="s">
        <v>261</v>
      </c>
      <c r="K202" s="16" t="n">
        <v>5</v>
      </c>
      <c r="L202" s="40" t="n">
        <f aca="false">(K202/$Q$7)*100</f>
        <v>0.094876660341556</v>
      </c>
      <c r="M202" s="16" t="s">
        <v>225</v>
      </c>
      <c r="N202" s="16" t="n">
        <f aca="false">IFERROR(INDEX(BMWP_COL!$B$2:$B$103,MATCH($I202,BMWP_COL!$A$2:$A$103,0)),"No aplica")</f>
        <v>10</v>
      </c>
      <c r="O202" s="16"/>
    </row>
    <row r="203" customFormat="false" ht="14.25" hidden="false" customHeight="true" outlineLevel="0" collapsed="false">
      <c r="A203" s="39" t="n">
        <v>45625</v>
      </c>
      <c r="B203" s="6" t="s">
        <v>283</v>
      </c>
      <c r="C203" s="16" t="s">
        <v>20</v>
      </c>
      <c r="D203" s="16" t="s">
        <v>284</v>
      </c>
      <c r="E203" s="16" t="s">
        <v>285</v>
      </c>
      <c r="F203" s="16" t="s">
        <v>222</v>
      </c>
      <c r="G203" s="42" t="s">
        <v>296</v>
      </c>
      <c r="H203" s="16" t="s">
        <v>202</v>
      </c>
      <c r="I203" s="16" t="s">
        <v>203</v>
      </c>
      <c r="J203" s="16" t="s">
        <v>213</v>
      </c>
      <c r="K203" s="16" t="n">
        <v>18</v>
      </c>
      <c r="L203" s="40" t="n">
        <f aca="false">(K203/$Q$7)*100</f>
        <v>0.341555977229602</v>
      </c>
      <c r="M203" s="16" t="s">
        <v>201</v>
      </c>
      <c r="N203" s="16" t="n">
        <f aca="false">IFERROR(INDEX(BMWP_COL!$B$2:$B$103,MATCH($I203,BMWP_COL!$A$2:$A$103,0)),"No aplica")</f>
        <v>2</v>
      </c>
      <c r="O203" s="16"/>
    </row>
    <row r="204" customFormat="false" ht="14.25" hidden="false" customHeight="true" outlineLevel="0" collapsed="false">
      <c r="A204" s="39" t="n">
        <v>45625</v>
      </c>
      <c r="B204" s="6" t="s">
        <v>283</v>
      </c>
      <c r="C204" s="16" t="s">
        <v>20</v>
      </c>
      <c r="D204" s="16" t="s">
        <v>284</v>
      </c>
      <c r="E204" s="16" t="s">
        <v>285</v>
      </c>
      <c r="F204" s="16" t="s">
        <v>222</v>
      </c>
      <c r="G204" s="42" t="s">
        <v>296</v>
      </c>
      <c r="H204" s="16" t="s">
        <v>219</v>
      </c>
      <c r="I204" s="16" t="s">
        <v>220</v>
      </c>
      <c r="J204" s="16" t="s">
        <v>221</v>
      </c>
      <c r="K204" s="16" t="n">
        <v>39</v>
      </c>
      <c r="L204" s="40" t="n">
        <f aca="false">(K204/$Q$7)*100</f>
        <v>0.740037950664137</v>
      </c>
      <c r="M204" s="16" t="s">
        <v>197</v>
      </c>
      <c r="N204" s="16" t="n">
        <f aca="false">IFERROR(INDEX(BMWP_COL!$B$2:$B$103,MATCH($I204,BMWP_COL!$A$2:$A$103,0)),"No aplica")</f>
        <v>6</v>
      </c>
      <c r="O204" s="16"/>
    </row>
    <row r="205" customFormat="false" ht="14.25" hidden="false" customHeight="true" outlineLevel="0" collapsed="false">
      <c r="A205" s="39" t="n">
        <v>45625</v>
      </c>
      <c r="B205" s="6" t="s">
        <v>283</v>
      </c>
      <c r="C205" s="16" t="s">
        <v>20</v>
      </c>
      <c r="D205" s="16" t="s">
        <v>284</v>
      </c>
      <c r="E205" s="16" t="s">
        <v>285</v>
      </c>
      <c r="F205" s="16" t="s">
        <v>222</v>
      </c>
      <c r="G205" s="42" t="s">
        <v>296</v>
      </c>
      <c r="H205" s="16" t="s">
        <v>208</v>
      </c>
      <c r="I205" s="16" t="s">
        <v>209</v>
      </c>
      <c r="J205" s="16" t="s">
        <v>212</v>
      </c>
      <c r="K205" s="16" t="n">
        <v>9</v>
      </c>
      <c r="L205" s="40" t="n">
        <f aca="false">(K205/$Q$7)*100</f>
        <v>0.170777988614801</v>
      </c>
      <c r="M205" s="16" t="s">
        <v>197</v>
      </c>
      <c r="N205" s="16" t="n">
        <f aca="false">IFERROR(INDEX(BMWP_COL!$B$2:$B$103,MATCH($I205,BMWP_COL!$A$2:$A$103,0)),"No aplica")</f>
        <v>7</v>
      </c>
      <c r="O205" s="16"/>
    </row>
    <row r="206" customFormat="false" ht="14.25" hidden="false" customHeight="true" outlineLevel="0" collapsed="false">
      <c r="A206" s="39" t="n">
        <v>45625</v>
      </c>
      <c r="B206" s="6" t="s">
        <v>283</v>
      </c>
      <c r="C206" s="16" t="s">
        <v>20</v>
      </c>
      <c r="D206" s="16" t="s">
        <v>284</v>
      </c>
      <c r="E206" s="16" t="s">
        <v>285</v>
      </c>
      <c r="F206" s="16" t="s">
        <v>222</v>
      </c>
      <c r="G206" s="42" t="s">
        <v>296</v>
      </c>
      <c r="H206" s="16" t="s">
        <v>208</v>
      </c>
      <c r="I206" s="16" t="s">
        <v>226</v>
      </c>
      <c r="J206" s="16" t="s">
        <v>297</v>
      </c>
      <c r="K206" s="16" t="n">
        <v>6</v>
      </c>
      <c r="L206" s="40" t="n">
        <f aca="false">(K206/$Q$7)*100</f>
        <v>0.113851992409867</v>
      </c>
      <c r="M206" s="16" t="s">
        <v>197</v>
      </c>
      <c r="N206" s="16" t="n">
        <f aca="false">IFERROR(INDEX(BMWP_COL!$B$2:$B$103,MATCH($I206,BMWP_COL!$A$2:$A$103,0)),"No aplica")</f>
        <v>7</v>
      </c>
      <c r="O206" s="16"/>
    </row>
    <row r="207" customFormat="false" ht="14.25" hidden="false" customHeight="true" outlineLevel="0" collapsed="false">
      <c r="A207" s="39" t="n">
        <v>45625</v>
      </c>
      <c r="B207" s="6" t="s">
        <v>283</v>
      </c>
      <c r="C207" s="16" t="s">
        <v>20</v>
      </c>
      <c r="D207" s="16" t="s">
        <v>284</v>
      </c>
      <c r="E207" s="16" t="s">
        <v>285</v>
      </c>
      <c r="F207" s="16" t="s">
        <v>222</v>
      </c>
      <c r="G207" s="42" t="s">
        <v>296</v>
      </c>
      <c r="H207" s="16" t="s">
        <v>208</v>
      </c>
      <c r="I207" s="16" t="s">
        <v>226</v>
      </c>
      <c r="J207" s="16" t="s">
        <v>227</v>
      </c>
      <c r="K207" s="16" t="n">
        <v>10</v>
      </c>
      <c r="L207" s="40" t="n">
        <f aca="false">(K207/$Q$7)*100</f>
        <v>0.189753320683112</v>
      </c>
      <c r="M207" s="16" t="s">
        <v>197</v>
      </c>
      <c r="N207" s="16" t="n">
        <f aca="false">IFERROR(INDEX(BMWP_COL!$B$2:$B$103,MATCH($I207,BMWP_COL!$A$2:$A$103,0)),"No aplica")</f>
        <v>7</v>
      </c>
      <c r="O207" s="16"/>
    </row>
    <row r="208" customFormat="false" ht="14.25" hidden="false" customHeight="true" outlineLevel="0" collapsed="false">
      <c r="A208" s="39" t="n">
        <v>45625</v>
      </c>
      <c r="B208" s="6" t="s">
        <v>283</v>
      </c>
      <c r="C208" s="16" t="s">
        <v>20</v>
      </c>
      <c r="D208" s="16" t="s">
        <v>284</v>
      </c>
      <c r="E208" s="16" t="s">
        <v>285</v>
      </c>
      <c r="F208" s="16" t="s">
        <v>222</v>
      </c>
      <c r="G208" s="42" t="s">
        <v>296</v>
      </c>
      <c r="H208" s="16" t="s">
        <v>214</v>
      </c>
      <c r="I208" s="16" t="s">
        <v>243</v>
      </c>
      <c r="J208" s="16" t="s">
        <v>244</v>
      </c>
      <c r="K208" s="16" t="n">
        <v>1</v>
      </c>
      <c r="L208" s="40" t="n">
        <f aca="false">(K208/$Q$7)*100</f>
        <v>0.0189753320683112</v>
      </c>
      <c r="M208" s="16" t="s">
        <v>201</v>
      </c>
      <c r="N208" s="16" t="n">
        <f aca="false">IFERROR(INDEX(BMWP_COL!$B$2:$B$103,MATCH($I208,BMWP_COL!$A$2:$A$103,0)),"No aplica")</f>
        <v>7</v>
      </c>
      <c r="O208" s="16"/>
    </row>
    <row r="209" customFormat="false" ht="14.25" hidden="false" customHeight="true" outlineLevel="0" collapsed="false">
      <c r="A209" s="39" t="n">
        <v>45625</v>
      </c>
      <c r="B209" s="6" t="s">
        <v>283</v>
      </c>
      <c r="C209" s="16" t="s">
        <v>20</v>
      </c>
      <c r="D209" s="16" t="s">
        <v>284</v>
      </c>
      <c r="E209" s="16" t="s">
        <v>285</v>
      </c>
      <c r="F209" s="16" t="s">
        <v>222</v>
      </c>
      <c r="G209" s="42" t="s">
        <v>296</v>
      </c>
      <c r="H209" s="16" t="s">
        <v>208</v>
      </c>
      <c r="I209" s="16" t="s">
        <v>209</v>
      </c>
      <c r="J209" s="16" t="s">
        <v>210</v>
      </c>
      <c r="K209" s="16" t="n">
        <v>3</v>
      </c>
      <c r="L209" s="40" t="n">
        <f aca="false">(K209/$Q$7)*100</f>
        <v>0.0569259962049336</v>
      </c>
      <c r="M209" s="16" t="s">
        <v>211</v>
      </c>
      <c r="N209" s="16" t="n">
        <f aca="false">IFERROR(INDEX(BMWP_COL!$B$2:$B$103,MATCH($I209,BMWP_COL!$A$2:$A$103,0)),"No aplica")</f>
        <v>7</v>
      </c>
      <c r="O209" s="16"/>
    </row>
    <row r="210" customFormat="false" ht="14.25" hidden="false" customHeight="true" outlineLevel="0" collapsed="false">
      <c r="A210" s="39" t="n">
        <v>45625</v>
      </c>
      <c r="B210" s="6" t="s">
        <v>283</v>
      </c>
      <c r="C210" s="16" t="s">
        <v>20</v>
      </c>
      <c r="D210" s="16" t="s">
        <v>284</v>
      </c>
      <c r="E210" s="16" t="s">
        <v>285</v>
      </c>
      <c r="F210" s="16" t="s">
        <v>222</v>
      </c>
      <c r="G210" s="42" t="s">
        <v>296</v>
      </c>
      <c r="H210" s="16" t="s">
        <v>208</v>
      </c>
      <c r="I210" s="16" t="s">
        <v>247</v>
      </c>
      <c r="J210" s="16" t="s">
        <v>248</v>
      </c>
      <c r="K210" s="16" t="n">
        <v>1</v>
      </c>
      <c r="L210" s="40" t="n">
        <f aca="false">(K210/$Q$7)*100</f>
        <v>0.0189753320683112</v>
      </c>
      <c r="M210" s="16" t="s">
        <v>197</v>
      </c>
      <c r="N210" s="16" t="n">
        <f aca="false">IFERROR(INDEX(BMWP_COL!$B$2:$B$103,MATCH($I210,BMWP_COL!$A$2:$A$103,0)),"No aplica")</f>
        <v>9</v>
      </c>
      <c r="O210" s="16"/>
    </row>
    <row r="211" customFormat="false" ht="14.25" hidden="false" customHeight="true" outlineLevel="0" collapsed="false">
      <c r="A211" s="39" t="n">
        <v>45625</v>
      </c>
      <c r="B211" s="6" t="s">
        <v>283</v>
      </c>
      <c r="C211" s="16" t="s">
        <v>20</v>
      </c>
      <c r="D211" s="16" t="s">
        <v>284</v>
      </c>
      <c r="E211" s="16" t="s">
        <v>285</v>
      </c>
      <c r="F211" s="16" t="s">
        <v>222</v>
      </c>
      <c r="G211" s="42" t="s">
        <v>296</v>
      </c>
      <c r="H211" s="16" t="s">
        <v>194</v>
      </c>
      <c r="I211" s="16" t="s">
        <v>195</v>
      </c>
      <c r="J211" s="16" t="s">
        <v>254</v>
      </c>
      <c r="K211" s="16" t="n">
        <v>1</v>
      </c>
      <c r="L211" s="40" t="n">
        <f aca="false">(K211/$Q$7)*100</f>
        <v>0.0189753320683112</v>
      </c>
      <c r="M211" s="16" t="s">
        <v>197</v>
      </c>
      <c r="N211" s="16" t="n">
        <f aca="false">IFERROR(INDEX(BMWP_COL!$B$2:$B$103,MATCH($I211,BMWP_COL!$A$2:$A$103,0)),"No aplica")</f>
        <v>8</v>
      </c>
      <c r="O211" s="16"/>
    </row>
    <row r="212" customFormat="false" ht="14.25" hidden="false" customHeight="true" outlineLevel="0" collapsed="false">
      <c r="A212" s="39" t="n">
        <v>45625</v>
      </c>
      <c r="B212" s="6" t="s">
        <v>283</v>
      </c>
      <c r="C212" s="16" t="s">
        <v>20</v>
      </c>
      <c r="D212" s="16" t="s">
        <v>284</v>
      </c>
      <c r="E212" s="16" t="s">
        <v>285</v>
      </c>
      <c r="F212" s="16" t="s">
        <v>222</v>
      </c>
      <c r="G212" s="42" t="s">
        <v>296</v>
      </c>
      <c r="H212" s="16" t="s">
        <v>194</v>
      </c>
      <c r="I212" s="16" t="s">
        <v>223</v>
      </c>
      <c r="J212" s="16" t="s">
        <v>234</v>
      </c>
      <c r="K212" s="16" t="n">
        <v>1</v>
      </c>
      <c r="L212" s="40" t="n">
        <f aca="false">(K212/$Q$7)*100</f>
        <v>0.0189753320683112</v>
      </c>
      <c r="M212" s="16" t="s">
        <v>225</v>
      </c>
      <c r="N212" s="16" t="n">
        <f aca="false">IFERROR(INDEX(BMWP_COL!$B$2:$B$103,MATCH($I212,BMWP_COL!$A$2:$A$103,0)),"No aplica")</f>
        <v>7</v>
      </c>
      <c r="O212" s="16"/>
    </row>
    <row r="213" customFormat="false" ht="14.25" hidden="false" customHeight="true" outlineLevel="0" collapsed="false">
      <c r="A213" s="39" t="n">
        <v>45625</v>
      </c>
      <c r="B213" s="6" t="s">
        <v>283</v>
      </c>
      <c r="C213" s="16" t="s">
        <v>20</v>
      </c>
      <c r="D213" s="16" t="s">
        <v>284</v>
      </c>
      <c r="E213" s="16" t="s">
        <v>285</v>
      </c>
      <c r="F213" s="16" t="s">
        <v>222</v>
      </c>
      <c r="G213" s="42" t="s">
        <v>296</v>
      </c>
      <c r="H213" s="16" t="s">
        <v>214</v>
      </c>
      <c r="I213" s="16" t="s">
        <v>252</v>
      </c>
      <c r="J213" s="16" t="s">
        <v>252</v>
      </c>
      <c r="K213" s="16" t="n">
        <v>5</v>
      </c>
      <c r="L213" s="40" t="n">
        <f aca="false">(K213/$Q$7)*100</f>
        <v>0.094876660341556</v>
      </c>
      <c r="M213" s="16" t="s">
        <v>201</v>
      </c>
      <c r="N213" s="16" t="n">
        <f aca="false">IFERROR(INDEX(BMWP_COL!$B$2:$B$103,MATCH($I213,BMWP_COL!$A$2:$A$103,0)),"No aplica")</f>
        <v>6</v>
      </c>
      <c r="O213" s="16"/>
    </row>
    <row r="214" customFormat="false" ht="14.25" hidden="false" customHeight="true" outlineLevel="0" collapsed="false">
      <c r="A214" s="39" t="n">
        <v>45625</v>
      </c>
      <c r="B214" s="6" t="s">
        <v>283</v>
      </c>
      <c r="C214" s="16" t="s">
        <v>20</v>
      </c>
      <c r="D214" s="16" t="s">
        <v>284</v>
      </c>
      <c r="E214" s="16" t="s">
        <v>285</v>
      </c>
      <c r="F214" s="16" t="s">
        <v>222</v>
      </c>
      <c r="G214" s="42" t="s">
        <v>296</v>
      </c>
      <c r="H214" s="16" t="s">
        <v>194</v>
      </c>
      <c r="I214" s="16" t="s">
        <v>223</v>
      </c>
      <c r="J214" s="16" t="s">
        <v>224</v>
      </c>
      <c r="K214" s="16" t="n">
        <v>2</v>
      </c>
      <c r="L214" s="40" t="n">
        <f aca="false">(K214/$Q$7)*100</f>
        <v>0.0379506641366224</v>
      </c>
      <c r="M214" s="16" t="s">
        <v>225</v>
      </c>
      <c r="N214" s="16" t="n">
        <f aca="false">IFERROR(INDEX(BMWP_COL!$B$2:$B$103,MATCH($I214,BMWP_COL!$A$2:$A$103,0)),"No aplica")</f>
        <v>7</v>
      </c>
      <c r="O214" s="16"/>
    </row>
    <row r="215" customFormat="false" ht="14.25" hidden="false" customHeight="true" outlineLevel="0" collapsed="false">
      <c r="A215" s="39" t="n">
        <v>45625</v>
      </c>
      <c r="B215" s="6" t="s">
        <v>283</v>
      </c>
      <c r="C215" s="16" t="s">
        <v>20</v>
      </c>
      <c r="D215" s="16" t="s">
        <v>284</v>
      </c>
      <c r="E215" s="16" t="s">
        <v>285</v>
      </c>
      <c r="F215" s="16" t="s">
        <v>222</v>
      </c>
      <c r="G215" s="42" t="s">
        <v>296</v>
      </c>
      <c r="H215" s="16" t="s">
        <v>219</v>
      </c>
      <c r="I215" s="16" t="s">
        <v>220</v>
      </c>
      <c r="J215" s="16" t="s">
        <v>278</v>
      </c>
      <c r="K215" s="16" t="n">
        <v>1</v>
      </c>
      <c r="L215" s="40" t="n">
        <f aca="false">(K215/$Q$7)*100</f>
        <v>0.0189753320683112</v>
      </c>
      <c r="M215" s="16" t="s">
        <v>197</v>
      </c>
      <c r="N215" s="16" t="n">
        <f aca="false">IFERROR(INDEX(BMWP_COL!$B$2:$B$103,MATCH($I215,BMWP_COL!$A$2:$A$103,0)),"No aplica")</f>
        <v>6</v>
      </c>
      <c r="O215" s="16"/>
    </row>
    <row r="216" customFormat="false" ht="14.25" hidden="false" customHeight="true" outlineLevel="0" collapsed="false">
      <c r="A216" s="39" t="n">
        <v>45625</v>
      </c>
      <c r="B216" s="6" t="s">
        <v>283</v>
      </c>
      <c r="C216" s="16" t="s">
        <v>20</v>
      </c>
      <c r="D216" s="16" t="s">
        <v>284</v>
      </c>
      <c r="E216" s="16" t="s">
        <v>285</v>
      </c>
      <c r="F216" s="16" t="s">
        <v>222</v>
      </c>
      <c r="G216" s="42" t="s">
        <v>296</v>
      </c>
      <c r="H216" s="16" t="s">
        <v>194</v>
      </c>
      <c r="I216" s="16" t="s">
        <v>256</v>
      </c>
      <c r="J216" s="16" t="s">
        <v>257</v>
      </c>
      <c r="K216" s="16" t="n">
        <v>1</v>
      </c>
      <c r="L216" s="40" t="n">
        <f aca="false">(K216/$Q$7)*100</f>
        <v>0.0189753320683112</v>
      </c>
      <c r="M216" s="16" t="s">
        <v>225</v>
      </c>
      <c r="N216" s="16" t="n">
        <f aca="false">IFERROR(INDEX(BMWP_COL!$B$2:$B$103,MATCH($I216,BMWP_COL!$A$2:$A$103,0)),"No aplica")</f>
        <v>10</v>
      </c>
      <c r="O216" s="16"/>
    </row>
    <row r="217" customFormat="false" ht="14.25" hidden="false" customHeight="true" outlineLevel="0" collapsed="false">
      <c r="A217" s="39" t="n">
        <v>45625</v>
      </c>
      <c r="B217" s="6" t="s">
        <v>283</v>
      </c>
      <c r="C217" s="16" t="s">
        <v>20</v>
      </c>
      <c r="D217" s="16" t="s">
        <v>284</v>
      </c>
      <c r="E217" s="16" t="s">
        <v>285</v>
      </c>
      <c r="F217" s="16" t="s">
        <v>222</v>
      </c>
      <c r="G217" s="42" t="s">
        <v>296</v>
      </c>
      <c r="H217" s="16" t="s">
        <v>219</v>
      </c>
      <c r="I217" s="16" t="s">
        <v>220</v>
      </c>
      <c r="J217" s="16" t="s">
        <v>298</v>
      </c>
      <c r="K217" s="16" t="n">
        <v>1</v>
      </c>
      <c r="L217" s="40" t="n">
        <f aca="false">(K217/$Q$7)*100</f>
        <v>0.0189753320683112</v>
      </c>
      <c r="M217" s="16" t="s">
        <v>211</v>
      </c>
      <c r="N217" s="16" t="n">
        <f aca="false">IFERROR(INDEX(BMWP_COL!$B$2:$B$103,MATCH($I217,BMWP_COL!$A$2:$A$103,0)),"No aplica")</f>
        <v>6</v>
      </c>
      <c r="O217" s="16"/>
    </row>
    <row r="218" customFormat="false" ht="14.25" hidden="false" customHeight="true" outlineLevel="0" collapsed="false">
      <c r="A218" s="39" t="n">
        <v>45625</v>
      </c>
      <c r="B218" s="6" t="s">
        <v>283</v>
      </c>
      <c r="C218" s="16" t="s">
        <v>20</v>
      </c>
      <c r="D218" s="16" t="s">
        <v>284</v>
      </c>
      <c r="E218" s="16" t="s">
        <v>285</v>
      </c>
      <c r="F218" s="16" t="s">
        <v>222</v>
      </c>
      <c r="G218" s="42" t="s">
        <v>296</v>
      </c>
      <c r="H218" s="16" t="s">
        <v>202</v>
      </c>
      <c r="I218" s="16" t="s">
        <v>299</v>
      </c>
      <c r="J218" s="16" t="s">
        <v>300</v>
      </c>
      <c r="K218" s="16" t="n">
        <v>1</v>
      </c>
      <c r="L218" s="40" t="n">
        <f aca="false">(K218/$Q$7)*100</f>
        <v>0.0189753320683112</v>
      </c>
      <c r="M218" s="16" t="s">
        <v>197</v>
      </c>
      <c r="N218" s="16" t="n">
        <f aca="false">IFERROR(INDEX(BMWP_COL!$B$2:$B$103,MATCH($I218,BMWP_COL!$A$2:$A$103,0)),"No aplica")</f>
        <v>7</v>
      </c>
      <c r="O218" s="16"/>
    </row>
    <row r="219" customFormat="false" ht="14.25" hidden="false" customHeight="true" outlineLevel="0" collapsed="false">
      <c r="A219" s="39" t="n">
        <v>45625</v>
      </c>
      <c r="B219" s="6" t="s">
        <v>283</v>
      </c>
      <c r="C219" s="16" t="s">
        <v>20</v>
      </c>
      <c r="D219" s="16" t="s">
        <v>284</v>
      </c>
      <c r="E219" s="16" t="s">
        <v>285</v>
      </c>
      <c r="F219" s="16" t="s">
        <v>222</v>
      </c>
      <c r="G219" s="16" t="n">
        <v>1</v>
      </c>
      <c r="H219" s="16" t="s">
        <v>208</v>
      </c>
      <c r="I219" s="16" t="s">
        <v>209</v>
      </c>
      <c r="J219" s="16" t="s">
        <v>212</v>
      </c>
      <c r="K219" s="16" t="n">
        <f aca="false">4+7</f>
        <v>11</v>
      </c>
      <c r="L219" s="40" t="n">
        <f aca="false">(K219/$Q$7)*100</f>
        <v>0.208728652751423</v>
      </c>
      <c r="M219" s="16" t="s">
        <v>197</v>
      </c>
      <c r="N219" s="16" t="n">
        <f aca="false">IFERROR(INDEX(BMWP_COL!$B$2:$B$103,MATCH($I219,BMWP_COL!$A$2:$A$103,0)),"No aplica")</f>
        <v>7</v>
      </c>
      <c r="O219" s="16"/>
    </row>
    <row r="220" customFormat="false" ht="14.25" hidden="false" customHeight="true" outlineLevel="0" collapsed="false">
      <c r="A220" s="39" t="n">
        <v>45625</v>
      </c>
      <c r="B220" s="6" t="s">
        <v>283</v>
      </c>
      <c r="C220" s="16" t="s">
        <v>20</v>
      </c>
      <c r="D220" s="16" t="s">
        <v>284</v>
      </c>
      <c r="E220" s="16" t="s">
        <v>285</v>
      </c>
      <c r="F220" s="16" t="s">
        <v>222</v>
      </c>
      <c r="G220" s="16" t="n">
        <v>1</v>
      </c>
      <c r="H220" s="16" t="s">
        <v>208</v>
      </c>
      <c r="I220" s="16" t="s">
        <v>226</v>
      </c>
      <c r="J220" s="16" t="s">
        <v>297</v>
      </c>
      <c r="K220" s="16" t="n">
        <v>1</v>
      </c>
      <c r="L220" s="40" t="n">
        <f aca="false">(K220/$Q$7)*100</f>
        <v>0.0189753320683112</v>
      </c>
      <c r="M220" s="16" t="s">
        <v>197</v>
      </c>
      <c r="N220" s="16" t="n">
        <f aca="false">IFERROR(INDEX(BMWP_COL!$B$2:$B$103,MATCH($I220,BMWP_COL!$A$2:$A$103,0)),"No aplica")</f>
        <v>7</v>
      </c>
      <c r="O220" s="16"/>
    </row>
    <row r="221" customFormat="false" ht="14.25" hidden="false" customHeight="true" outlineLevel="0" collapsed="false">
      <c r="A221" s="39" t="n">
        <v>45625</v>
      </c>
      <c r="B221" s="6" t="s">
        <v>283</v>
      </c>
      <c r="C221" s="16" t="s">
        <v>20</v>
      </c>
      <c r="D221" s="16" t="s">
        <v>284</v>
      </c>
      <c r="E221" s="16" t="s">
        <v>285</v>
      </c>
      <c r="F221" s="16" t="s">
        <v>222</v>
      </c>
      <c r="G221" s="16" t="n">
        <v>1</v>
      </c>
      <c r="H221" s="16" t="s">
        <v>198</v>
      </c>
      <c r="I221" s="16" t="s">
        <v>199</v>
      </c>
      <c r="J221" s="16" t="s">
        <v>200</v>
      </c>
      <c r="K221" s="16" t="n">
        <v>1</v>
      </c>
      <c r="L221" s="40" t="n">
        <f aca="false">(K221/$Q$7)*100</f>
        <v>0.0189753320683112</v>
      </c>
      <c r="M221" s="16" t="s">
        <v>201</v>
      </c>
      <c r="N221" s="16" t="n">
        <f aca="false">IFERROR(INDEX(BMWP_COL!$B$2:$B$103,MATCH($I221,BMWP_COL!$A$2:$A$103,0)),"No aplica")</f>
        <v>7</v>
      </c>
      <c r="O221" s="16"/>
    </row>
    <row r="222" customFormat="false" ht="14.25" hidden="false" customHeight="true" outlineLevel="0" collapsed="false">
      <c r="A222" s="39" t="n">
        <v>45625</v>
      </c>
      <c r="B222" s="6" t="s">
        <v>283</v>
      </c>
      <c r="C222" s="16" t="s">
        <v>20</v>
      </c>
      <c r="D222" s="16" t="s">
        <v>284</v>
      </c>
      <c r="E222" s="16" t="s">
        <v>285</v>
      </c>
      <c r="F222" s="16" t="s">
        <v>222</v>
      </c>
      <c r="G222" s="16" t="n">
        <v>1</v>
      </c>
      <c r="H222" s="16" t="s">
        <v>194</v>
      </c>
      <c r="I222" s="16" t="s">
        <v>195</v>
      </c>
      <c r="J222" s="16" t="s">
        <v>196</v>
      </c>
      <c r="K222" s="16" t="n">
        <v>1</v>
      </c>
      <c r="L222" s="40" t="n">
        <f aca="false">(K222/$Q$7)*100</f>
        <v>0.0189753320683112</v>
      </c>
      <c r="M222" s="16" t="s">
        <v>197</v>
      </c>
      <c r="N222" s="16" t="n">
        <f aca="false">IFERROR(INDEX(BMWP_COL!$B$2:$B$103,MATCH($I222,BMWP_COL!$A$2:$A$103,0)),"No aplica")</f>
        <v>8</v>
      </c>
      <c r="O222" s="16"/>
    </row>
    <row r="223" customFormat="false" ht="14.25" hidden="false" customHeight="true" outlineLevel="0" collapsed="false">
      <c r="A223" s="39" t="n">
        <v>45625</v>
      </c>
      <c r="B223" s="6" t="s">
        <v>283</v>
      </c>
      <c r="C223" s="16" t="s">
        <v>20</v>
      </c>
      <c r="D223" s="16" t="s">
        <v>284</v>
      </c>
      <c r="E223" s="16" t="s">
        <v>285</v>
      </c>
      <c r="F223" s="16" t="s">
        <v>222</v>
      </c>
      <c r="G223" s="16" t="n">
        <v>1</v>
      </c>
      <c r="H223" s="16" t="s">
        <v>194</v>
      </c>
      <c r="I223" s="16" t="s">
        <v>223</v>
      </c>
      <c r="J223" s="16" t="s">
        <v>224</v>
      </c>
      <c r="K223" s="16" t="n">
        <v>2</v>
      </c>
      <c r="L223" s="40" t="n">
        <f aca="false">(K223/$Q$7)*100</f>
        <v>0.0379506641366224</v>
      </c>
      <c r="M223" s="16" t="s">
        <v>225</v>
      </c>
      <c r="N223" s="16" t="n">
        <f aca="false">IFERROR(INDEX(BMWP_COL!$B$2:$B$103,MATCH($I223,BMWP_COL!$A$2:$A$103,0)),"No aplica")</f>
        <v>7</v>
      </c>
      <c r="O223" s="16"/>
    </row>
    <row r="224" customFormat="false" ht="14.25" hidden="false" customHeight="true" outlineLevel="0" collapsed="false">
      <c r="A224" s="39" t="n">
        <v>45625</v>
      </c>
      <c r="B224" s="6" t="s">
        <v>283</v>
      </c>
      <c r="C224" s="16" t="s">
        <v>20</v>
      </c>
      <c r="D224" s="16" t="s">
        <v>284</v>
      </c>
      <c r="E224" s="16" t="s">
        <v>285</v>
      </c>
      <c r="F224" s="16" t="s">
        <v>222</v>
      </c>
      <c r="G224" s="16" t="n">
        <v>1</v>
      </c>
      <c r="H224" s="16" t="s">
        <v>219</v>
      </c>
      <c r="I224" s="16" t="s">
        <v>220</v>
      </c>
      <c r="J224" s="16" t="s">
        <v>221</v>
      </c>
      <c r="K224" s="16" t="n">
        <v>1</v>
      </c>
      <c r="L224" s="40" t="n">
        <f aca="false">(K224/$Q$7)*100</f>
        <v>0.0189753320683112</v>
      </c>
      <c r="M224" s="16" t="s">
        <v>197</v>
      </c>
      <c r="N224" s="16" t="n">
        <f aca="false">IFERROR(INDEX(BMWP_COL!$B$2:$B$103,MATCH($I224,BMWP_COL!$A$2:$A$103,0)),"No aplica")</f>
        <v>6</v>
      </c>
      <c r="O224" s="16"/>
    </row>
    <row r="225" customFormat="false" ht="14.25" hidden="false" customHeight="true" outlineLevel="0" collapsed="false">
      <c r="A225" s="39" t="n">
        <v>45625</v>
      </c>
      <c r="B225" s="6" t="s">
        <v>283</v>
      </c>
      <c r="C225" s="16" t="s">
        <v>20</v>
      </c>
      <c r="D225" s="16" t="s">
        <v>284</v>
      </c>
      <c r="E225" s="16" t="s">
        <v>285</v>
      </c>
      <c r="F225" s="16" t="s">
        <v>222</v>
      </c>
      <c r="G225" s="16" t="n">
        <v>1</v>
      </c>
      <c r="H225" s="16" t="s">
        <v>208</v>
      </c>
      <c r="I225" s="16" t="s">
        <v>209</v>
      </c>
      <c r="J225" s="16" t="s">
        <v>210</v>
      </c>
      <c r="K225" s="16" t="n">
        <v>21</v>
      </c>
      <c r="L225" s="40" t="n">
        <f aca="false">(K225/$Q$7)*100</f>
        <v>0.398481973434535</v>
      </c>
      <c r="M225" s="16" t="s">
        <v>211</v>
      </c>
      <c r="N225" s="16" t="n">
        <f aca="false">IFERROR(INDEX(BMWP_COL!$B$2:$B$103,MATCH($I225,BMWP_COL!$A$2:$A$103,0)),"No aplica")</f>
        <v>7</v>
      </c>
      <c r="O225" s="16"/>
    </row>
    <row r="226" customFormat="false" ht="14.25" hidden="false" customHeight="true" outlineLevel="0" collapsed="false">
      <c r="A226" s="39" t="n">
        <v>45625</v>
      </c>
      <c r="B226" s="6" t="s">
        <v>283</v>
      </c>
      <c r="C226" s="16" t="s">
        <v>20</v>
      </c>
      <c r="D226" s="16" t="s">
        <v>284</v>
      </c>
      <c r="E226" s="16" t="s">
        <v>285</v>
      </c>
      <c r="F226" s="16" t="s">
        <v>222</v>
      </c>
      <c r="G226" s="16" t="n">
        <v>1</v>
      </c>
      <c r="H226" s="16" t="s">
        <v>202</v>
      </c>
      <c r="I226" s="16" t="s">
        <v>228</v>
      </c>
      <c r="J226" s="16" t="s">
        <v>229</v>
      </c>
      <c r="K226" s="16" t="n">
        <v>1</v>
      </c>
      <c r="L226" s="40" t="n">
        <f aca="false">(K226/$Q$7)*100</f>
        <v>0.0189753320683112</v>
      </c>
      <c r="M226" s="16" t="s">
        <v>230</v>
      </c>
      <c r="N226" s="16" t="n">
        <f aca="false">IFERROR(INDEX(BMWP_COL!$B$2:$B$103,MATCH($I226,BMWP_COL!$A$2:$A$103,0)),"No aplica")</f>
        <v>8</v>
      </c>
      <c r="O226" s="16"/>
    </row>
    <row r="227" customFormat="false" ht="14.25" hidden="false" customHeight="true" outlineLevel="0" collapsed="false">
      <c r="A227" s="39" t="n">
        <v>45625</v>
      </c>
      <c r="B227" s="6" t="s">
        <v>283</v>
      </c>
      <c r="C227" s="16" t="s">
        <v>20</v>
      </c>
      <c r="D227" s="16" t="s">
        <v>284</v>
      </c>
      <c r="E227" s="16" t="s">
        <v>285</v>
      </c>
      <c r="F227" s="16" t="s">
        <v>222</v>
      </c>
      <c r="G227" s="16" t="n">
        <v>1</v>
      </c>
      <c r="H227" s="16" t="s">
        <v>219</v>
      </c>
      <c r="I227" s="16" t="s">
        <v>265</v>
      </c>
      <c r="J227" s="16" t="s">
        <v>266</v>
      </c>
      <c r="K227" s="16" t="n">
        <v>1</v>
      </c>
      <c r="L227" s="40" t="n">
        <f aca="false">(K227/$Q$7)*100</f>
        <v>0.0189753320683112</v>
      </c>
      <c r="M227" s="16" t="s">
        <v>211</v>
      </c>
      <c r="N227" s="16" t="n">
        <f aca="false">IFERROR(INDEX(BMWP_COL!$B$2:$B$103,MATCH($I227,BMWP_COL!$A$2:$A$103,0)),"No aplica")</f>
        <v>10</v>
      </c>
      <c r="O227" s="16"/>
    </row>
    <row r="228" customFormat="false" ht="14.25" hidden="false" customHeight="true" outlineLevel="0" collapsed="false">
      <c r="A228" s="39" t="n">
        <v>45625</v>
      </c>
      <c r="B228" s="6" t="s">
        <v>283</v>
      </c>
      <c r="C228" s="16" t="s">
        <v>20</v>
      </c>
      <c r="D228" s="16" t="s">
        <v>284</v>
      </c>
      <c r="E228" s="16" t="s">
        <v>301</v>
      </c>
      <c r="F228" s="16" t="s">
        <v>255</v>
      </c>
      <c r="G228" s="16" t="n">
        <v>1</v>
      </c>
      <c r="H228" s="16" t="s">
        <v>198</v>
      </c>
      <c r="I228" s="16" t="s">
        <v>199</v>
      </c>
      <c r="J228" s="16" t="s">
        <v>200</v>
      </c>
      <c r="K228" s="16" t="n">
        <v>30</v>
      </c>
      <c r="L228" s="40" t="n">
        <f aca="false">(K228/$Q$7)*100</f>
        <v>0.569259962049336</v>
      </c>
      <c r="M228" s="16" t="s">
        <v>201</v>
      </c>
      <c r="N228" s="16" t="n">
        <f aca="false">IFERROR(INDEX(BMWP_COL!$B$2:$B$103,MATCH($I228,BMWP_COL!$A$2:$A$103,0)),"No aplica")</f>
        <v>7</v>
      </c>
      <c r="O228" s="16"/>
    </row>
    <row r="229" customFormat="false" ht="14.25" hidden="false" customHeight="true" outlineLevel="0" collapsed="false">
      <c r="A229" s="39" t="n">
        <v>45625</v>
      </c>
      <c r="B229" s="6" t="s">
        <v>283</v>
      </c>
      <c r="C229" s="16" t="s">
        <v>20</v>
      </c>
      <c r="D229" s="16" t="s">
        <v>284</v>
      </c>
      <c r="E229" s="16" t="s">
        <v>301</v>
      </c>
      <c r="F229" s="16" t="s">
        <v>255</v>
      </c>
      <c r="G229" s="16" t="n">
        <v>1</v>
      </c>
      <c r="H229" s="16" t="s">
        <v>208</v>
      </c>
      <c r="I229" s="16" t="s">
        <v>209</v>
      </c>
      <c r="J229" s="16" t="s">
        <v>212</v>
      </c>
      <c r="K229" s="16" t="n">
        <f aca="false">26+7</f>
        <v>33</v>
      </c>
      <c r="L229" s="40" t="n">
        <f aca="false">(K229/$Q$7)*100</f>
        <v>0.62618595825427</v>
      </c>
      <c r="M229" s="16" t="s">
        <v>197</v>
      </c>
      <c r="N229" s="16" t="n">
        <f aca="false">IFERROR(INDEX(BMWP_COL!$B$2:$B$103,MATCH($I229,BMWP_COL!$A$2:$A$103,0)),"No aplica")</f>
        <v>7</v>
      </c>
      <c r="O229" s="16"/>
    </row>
    <row r="230" customFormat="false" ht="14.25" hidden="false" customHeight="true" outlineLevel="0" collapsed="false">
      <c r="A230" s="39" t="n">
        <v>45625</v>
      </c>
      <c r="B230" s="6" t="s">
        <v>283</v>
      </c>
      <c r="C230" s="16" t="s">
        <v>20</v>
      </c>
      <c r="D230" s="16" t="s">
        <v>284</v>
      </c>
      <c r="E230" s="16" t="s">
        <v>301</v>
      </c>
      <c r="F230" s="16" t="s">
        <v>255</v>
      </c>
      <c r="G230" s="16" t="n">
        <v>1</v>
      </c>
      <c r="H230" s="16" t="s">
        <v>272</v>
      </c>
      <c r="I230" s="16" t="s">
        <v>273</v>
      </c>
      <c r="J230" s="16" t="s">
        <v>274</v>
      </c>
      <c r="K230" s="16" t="n">
        <v>15</v>
      </c>
      <c r="L230" s="40" t="n">
        <f aca="false">(K230/$Q$7)*100</f>
        <v>0.284629981024668</v>
      </c>
      <c r="M230" s="16" t="s">
        <v>201</v>
      </c>
      <c r="N230" s="16" t="n">
        <f aca="false">IFERROR(INDEX(BMWP_COL!$B$2:$B$103,MATCH($I230,BMWP_COL!$A$2:$A$103,0)),"No aplica")</f>
        <v>6</v>
      </c>
      <c r="O230" s="16"/>
    </row>
    <row r="231" customFormat="false" ht="14.25" hidden="false" customHeight="true" outlineLevel="0" collapsed="false">
      <c r="A231" s="39" t="n">
        <v>45625</v>
      </c>
      <c r="B231" s="6" t="s">
        <v>283</v>
      </c>
      <c r="C231" s="16" t="s">
        <v>20</v>
      </c>
      <c r="D231" s="16" t="s">
        <v>284</v>
      </c>
      <c r="E231" s="16" t="s">
        <v>301</v>
      </c>
      <c r="F231" s="16" t="s">
        <v>255</v>
      </c>
      <c r="G231" s="16" t="n">
        <v>1</v>
      </c>
      <c r="H231" s="16" t="s">
        <v>194</v>
      </c>
      <c r="I231" s="16" t="s">
        <v>238</v>
      </c>
      <c r="J231" s="16" t="s">
        <v>239</v>
      </c>
      <c r="K231" s="16" t="n">
        <v>2</v>
      </c>
      <c r="L231" s="40" t="n">
        <f aca="false">(K231/$Q$7)*100</f>
        <v>0.0379506641366224</v>
      </c>
      <c r="M231" s="16" t="s">
        <v>225</v>
      </c>
      <c r="N231" s="16" t="n">
        <f aca="false">IFERROR(INDEX(BMWP_COL!$B$2:$B$103,MATCH($I231,BMWP_COL!$A$2:$A$103,0)),"No aplica")</f>
        <v>10</v>
      </c>
      <c r="O231" s="16"/>
    </row>
    <row r="232" customFormat="false" ht="14.25" hidden="false" customHeight="true" outlineLevel="0" collapsed="false">
      <c r="A232" s="39" t="n">
        <v>45625</v>
      </c>
      <c r="B232" s="6" t="s">
        <v>283</v>
      </c>
      <c r="C232" s="16" t="s">
        <v>20</v>
      </c>
      <c r="D232" s="16" t="s">
        <v>284</v>
      </c>
      <c r="E232" s="16" t="s">
        <v>301</v>
      </c>
      <c r="F232" s="16" t="s">
        <v>255</v>
      </c>
      <c r="G232" s="16" t="n">
        <v>1</v>
      </c>
      <c r="H232" s="16" t="s">
        <v>249</v>
      </c>
      <c r="I232" s="16" t="s">
        <v>250</v>
      </c>
      <c r="J232" s="16" t="s">
        <v>251</v>
      </c>
      <c r="K232" s="16" t="n">
        <v>13</v>
      </c>
      <c r="L232" s="40" t="n">
        <f aca="false">(K232/$Q$7)*100</f>
        <v>0.246679316888046</v>
      </c>
      <c r="M232" s="16" t="s">
        <v>201</v>
      </c>
      <c r="N232" s="16" t="n">
        <f aca="false">IFERROR(INDEX(BMWP_COL!$B$2:$B$103,MATCH($I232,BMWP_COL!$A$2:$A$103,0)),"No aplica")</f>
        <v>10</v>
      </c>
      <c r="O232" s="16"/>
    </row>
    <row r="233" customFormat="false" ht="14.25" hidden="false" customHeight="true" outlineLevel="0" collapsed="false">
      <c r="A233" s="39" t="n">
        <v>45625</v>
      </c>
      <c r="B233" s="6" t="s">
        <v>283</v>
      </c>
      <c r="C233" s="16" t="s">
        <v>20</v>
      </c>
      <c r="D233" s="16" t="s">
        <v>284</v>
      </c>
      <c r="E233" s="16" t="s">
        <v>301</v>
      </c>
      <c r="F233" s="16" t="s">
        <v>255</v>
      </c>
      <c r="G233" s="16" t="n">
        <v>1</v>
      </c>
      <c r="H233" s="16" t="s">
        <v>208</v>
      </c>
      <c r="I233" s="16" t="s">
        <v>209</v>
      </c>
      <c r="J233" s="16" t="s">
        <v>210</v>
      </c>
      <c r="K233" s="16" t="n">
        <v>17</v>
      </c>
      <c r="L233" s="40" t="n">
        <f aca="false">(K233/$Q$7)*100</f>
        <v>0.32258064516129</v>
      </c>
      <c r="M233" s="16" t="s">
        <v>211</v>
      </c>
      <c r="N233" s="16" t="n">
        <f aca="false">IFERROR(INDEX(BMWP_COL!$B$2:$B$103,MATCH($I233,BMWP_COL!$A$2:$A$103,0)),"No aplica")</f>
        <v>7</v>
      </c>
      <c r="O233" s="16"/>
    </row>
    <row r="234" customFormat="false" ht="14.25" hidden="false" customHeight="true" outlineLevel="0" collapsed="false">
      <c r="A234" s="39" t="n">
        <v>45625</v>
      </c>
      <c r="B234" s="6" t="s">
        <v>283</v>
      </c>
      <c r="C234" s="16" t="s">
        <v>20</v>
      </c>
      <c r="D234" s="16" t="s">
        <v>284</v>
      </c>
      <c r="E234" s="16" t="s">
        <v>301</v>
      </c>
      <c r="F234" s="16" t="s">
        <v>255</v>
      </c>
      <c r="G234" s="16" t="n">
        <v>1</v>
      </c>
      <c r="H234" s="16" t="s">
        <v>194</v>
      </c>
      <c r="I234" s="16" t="s">
        <v>195</v>
      </c>
      <c r="J234" s="16" t="s">
        <v>196</v>
      </c>
      <c r="K234" s="16" t="n">
        <v>9</v>
      </c>
      <c r="L234" s="40" t="n">
        <f aca="false">(K234/$Q$7)*100</f>
        <v>0.170777988614801</v>
      </c>
      <c r="M234" s="16" t="s">
        <v>197</v>
      </c>
      <c r="N234" s="16" t="n">
        <f aca="false">IFERROR(INDEX(BMWP_COL!$B$2:$B$103,MATCH($I234,BMWP_COL!$A$2:$A$103,0)),"No aplica")</f>
        <v>8</v>
      </c>
      <c r="O234" s="16"/>
    </row>
    <row r="235" customFormat="false" ht="14.25" hidden="false" customHeight="true" outlineLevel="0" collapsed="false">
      <c r="A235" s="39" t="n">
        <v>45625</v>
      </c>
      <c r="B235" s="6" t="s">
        <v>283</v>
      </c>
      <c r="C235" s="16" t="s">
        <v>20</v>
      </c>
      <c r="D235" s="16" t="s">
        <v>284</v>
      </c>
      <c r="E235" s="16" t="s">
        <v>301</v>
      </c>
      <c r="F235" s="16" t="s">
        <v>255</v>
      </c>
      <c r="G235" s="16" t="n">
        <v>1</v>
      </c>
      <c r="H235" s="16" t="s">
        <v>219</v>
      </c>
      <c r="I235" s="16" t="s">
        <v>265</v>
      </c>
      <c r="J235" s="16" t="s">
        <v>266</v>
      </c>
      <c r="K235" s="16" t="n">
        <v>1</v>
      </c>
      <c r="L235" s="40" t="n">
        <f aca="false">(K235/$Q$7)*100</f>
        <v>0.0189753320683112</v>
      </c>
      <c r="M235" s="16" t="s">
        <v>211</v>
      </c>
      <c r="N235" s="16" t="n">
        <f aca="false">IFERROR(INDEX(BMWP_COL!$B$2:$B$103,MATCH($I235,BMWP_COL!$A$2:$A$103,0)),"No aplica")</f>
        <v>10</v>
      </c>
      <c r="O235" s="16"/>
    </row>
    <row r="236" customFormat="false" ht="14.25" hidden="false" customHeight="true" outlineLevel="0" collapsed="false">
      <c r="A236" s="39" t="n">
        <v>45625</v>
      </c>
      <c r="B236" s="6" t="s">
        <v>283</v>
      </c>
      <c r="C236" s="16" t="s">
        <v>20</v>
      </c>
      <c r="D236" s="16" t="s">
        <v>284</v>
      </c>
      <c r="E236" s="16" t="s">
        <v>301</v>
      </c>
      <c r="F236" s="16" t="s">
        <v>255</v>
      </c>
      <c r="G236" s="16" t="n">
        <v>1</v>
      </c>
      <c r="H236" s="16" t="s">
        <v>202</v>
      </c>
      <c r="I236" s="16" t="s">
        <v>228</v>
      </c>
      <c r="J236" s="16" t="s">
        <v>229</v>
      </c>
      <c r="K236" s="16" t="n">
        <v>3</v>
      </c>
      <c r="L236" s="40" t="n">
        <f aca="false">(K236/$Q$7)*100</f>
        <v>0.0569259962049336</v>
      </c>
      <c r="M236" s="16" t="s">
        <v>230</v>
      </c>
      <c r="N236" s="16" t="n">
        <f aca="false">IFERROR(INDEX(BMWP_COL!$B$2:$B$103,MATCH($I236,BMWP_COL!$A$2:$A$103,0)),"No aplica")</f>
        <v>8</v>
      </c>
      <c r="O236" s="16"/>
    </row>
    <row r="237" customFormat="false" ht="14.25" hidden="false" customHeight="true" outlineLevel="0" collapsed="false">
      <c r="A237" s="39" t="n">
        <v>45625</v>
      </c>
      <c r="B237" s="6" t="s">
        <v>283</v>
      </c>
      <c r="C237" s="16" t="s">
        <v>20</v>
      </c>
      <c r="D237" s="16" t="s">
        <v>284</v>
      </c>
      <c r="E237" s="16" t="s">
        <v>301</v>
      </c>
      <c r="F237" s="16" t="s">
        <v>255</v>
      </c>
      <c r="G237" s="16" t="n">
        <v>1</v>
      </c>
      <c r="H237" s="16" t="s">
        <v>219</v>
      </c>
      <c r="I237" s="16" t="s">
        <v>220</v>
      </c>
      <c r="J237" s="16" t="s">
        <v>221</v>
      </c>
      <c r="K237" s="16" t="n">
        <v>7</v>
      </c>
      <c r="L237" s="40" t="n">
        <f aca="false">(K237/$Q$7)*100</f>
        <v>0.132827324478178</v>
      </c>
      <c r="M237" s="16" t="s">
        <v>197</v>
      </c>
      <c r="N237" s="16" t="n">
        <f aca="false">IFERROR(INDEX(BMWP_COL!$B$2:$B$103,MATCH($I237,BMWP_COL!$A$2:$A$103,0)),"No aplica")</f>
        <v>6</v>
      </c>
      <c r="O237" s="16"/>
    </row>
    <row r="238" customFormat="false" ht="14.25" hidden="false" customHeight="true" outlineLevel="0" collapsed="false">
      <c r="A238" s="39" t="n">
        <v>45625</v>
      </c>
      <c r="B238" s="6" t="s">
        <v>283</v>
      </c>
      <c r="C238" s="16" t="s">
        <v>20</v>
      </c>
      <c r="D238" s="16" t="s">
        <v>284</v>
      </c>
      <c r="E238" s="16" t="s">
        <v>301</v>
      </c>
      <c r="F238" s="16" t="s">
        <v>255</v>
      </c>
      <c r="G238" s="16" t="n">
        <v>1</v>
      </c>
      <c r="H238" s="16" t="s">
        <v>202</v>
      </c>
      <c r="I238" s="16" t="s">
        <v>203</v>
      </c>
      <c r="J238" s="41" t="s">
        <v>204</v>
      </c>
      <c r="K238" s="16" t="n">
        <v>24</v>
      </c>
      <c r="L238" s="40" t="n">
        <f aca="false">(K238/$Q$7)*100</f>
        <v>0.455407969639469</v>
      </c>
      <c r="M238" s="16" t="s">
        <v>197</v>
      </c>
      <c r="N238" s="16" t="n">
        <f aca="false">IFERROR(INDEX(BMWP_COL!$B$2:$B$103,MATCH($I238,BMWP_COL!$A$2:$A$103,0)),"No aplica")</f>
        <v>2</v>
      </c>
      <c r="O238" s="16"/>
    </row>
    <row r="239" customFormat="false" ht="14.25" hidden="false" customHeight="true" outlineLevel="0" collapsed="false">
      <c r="A239" s="39" t="n">
        <v>45625</v>
      </c>
      <c r="B239" s="6" t="s">
        <v>283</v>
      </c>
      <c r="C239" s="16" t="s">
        <v>20</v>
      </c>
      <c r="D239" s="16" t="s">
        <v>284</v>
      </c>
      <c r="E239" s="16" t="s">
        <v>301</v>
      </c>
      <c r="F239" s="16" t="s">
        <v>255</v>
      </c>
      <c r="G239" s="16" t="n">
        <v>1</v>
      </c>
      <c r="H239" s="16" t="s">
        <v>194</v>
      </c>
      <c r="I239" s="16" t="s">
        <v>223</v>
      </c>
      <c r="J239" s="16" t="s">
        <v>234</v>
      </c>
      <c r="K239" s="16" t="n">
        <v>3</v>
      </c>
      <c r="L239" s="40" t="n">
        <f aca="false">(K239/$Q$7)*100</f>
        <v>0.0569259962049336</v>
      </c>
      <c r="M239" s="16" t="s">
        <v>225</v>
      </c>
      <c r="N239" s="16" t="n">
        <f aca="false">IFERROR(INDEX(BMWP_COL!$B$2:$B$103,MATCH($I239,BMWP_COL!$A$2:$A$103,0)),"No aplica")</f>
        <v>7</v>
      </c>
      <c r="O239" s="16"/>
    </row>
    <row r="240" customFormat="false" ht="14.25" hidden="false" customHeight="true" outlineLevel="0" collapsed="false">
      <c r="A240" s="39" t="n">
        <v>45625</v>
      </c>
      <c r="B240" s="6" t="s">
        <v>283</v>
      </c>
      <c r="C240" s="16" t="s">
        <v>20</v>
      </c>
      <c r="D240" s="16" t="s">
        <v>284</v>
      </c>
      <c r="E240" s="16" t="s">
        <v>301</v>
      </c>
      <c r="F240" s="16" t="s">
        <v>255</v>
      </c>
      <c r="G240" s="16" t="n">
        <v>1</v>
      </c>
      <c r="H240" s="16" t="s">
        <v>194</v>
      </c>
      <c r="I240" s="16" t="s">
        <v>223</v>
      </c>
      <c r="J240" s="16" t="s">
        <v>224</v>
      </c>
      <c r="K240" s="16" t="n">
        <v>6</v>
      </c>
      <c r="L240" s="40" t="n">
        <f aca="false">(K240/$Q$7)*100</f>
        <v>0.113851992409867</v>
      </c>
      <c r="M240" s="16" t="s">
        <v>225</v>
      </c>
      <c r="N240" s="16" t="n">
        <f aca="false">IFERROR(INDEX(BMWP_COL!$B$2:$B$103,MATCH($I240,BMWP_COL!$A$2:$A$103,0)),"No aplica")</f>
        <v>7</v>
      </c>
      <c r="O240" s="16"/>
    </row>
    <row r="241" customFormat="false" ht="14.25" hidden="false" customHeight="true" outlineLevel="0" collapsed="false">
      <c r="A241" s="39" t="n">
        <v>45625</v>
      </c>
      <c r="B241" s="6" t="s">
        <v>283</v>
      </c>
      <c r="C241" s="16" t="s">
        <v>20</v>
      </c>
      <c r="D241" s="16" t="s">
        <v>284</v>
      </c>
      <c r="E241" s="16" t="s">
        <v>301</v>
      </c>
      <c r="F241" s="16" t="s">
        <v>255</v>
      </c>
      <c r="G241" s="16" t="n">
        <v>1</v>
      </c>
      <c r="H241" s="16" t="s">
        <v>194</v>
      </c>
      <c r="I241" s="16" t="s">
        <v>195</v>
      </c>
      <c r="J241" s="16" t="s">
        <v>196</v>
      </c>
      <c r="K241" s="16" t="n">
        <v>4</v>
      </c>
      <c r="L241" s="40" t="n">
        <f aca="false">(K241/$Q$7)*100</f>
        <v>0.0759013282732448</v>
      </c>
      <c r="M241" s="16" t="s">
        <v>197</v>
      </c>
      <c r="N241" s="16" t="n">
        <f aca="false">IFERROR(INDEX(BMWP_COL!$B$2:$B$103,MATCH($I241,BMWP_COL!$A$2:$A$103,0)),"No aplica")</f>
        <v>8</v>
      </c>
      <c r="O241" s="16"/>
    </row>
    <row r="242" customFormat="false" ht="14.25" hidden="false" customHeight="true" outlineLevel="0" collapsed="false">
      <c r="A242" s="39" t="n">
        <v>45625</v>
      </c>
      <c r="B242" s="6" t="s">
        <v>283</v>
      </c>
      <c r="C242" s="16" t="s">
        <v>20</v>
      </c>
      <c r="D242" s="16" t="s">
        <v>284</v>
      </c>
      <c r="E242" s="16" t="s">
        <v>301</v>
      </c>
      <c r="F242" s="16" t="s">
        <v>255</v>
      </c>
      <c r="G242" s="16" t="n">
        <v>1</v>
      </c>
      <c r="H242" s="16" t="s">
        <v>202</v>
      </c>
      <c r="I242" s="16" t="s">
        <v>203</v>
      </c>
      <c r="J242" s="16" t="s">
        <v>213</v>
      </c>
      <c r="K242" s="16" t="n">
        <v>8</v>
      </c>
      <c r="L242" s="40" t="n">
        <f aca="false">(K242/$Q$7)*100</f>
        <v>0.15180265654649</v>
      </c>
      <c r="M242" s="16" t="s">
        <v>201</v>
      </c>
      <c r="N242" s="16" t="n">
        <f aca="false">IFERROR(INDEX(BMWP_COL!$B$2:$B$103,MATCH($I242,BMWP_COL!$A$2:$A$103,0)),"No aplica")</f>
        <v>2</v>
      </c>
      <c r="O242" s="16"/>
    </row>
    <row r="243" customFormat="false" ht="14.25" hidden="false" customHeight="true" outlineLevel="0" collapsed="false">
      <c r="A243" s="39" t="n">
        <v>45625</v>
      </c>
      <c r="B243" s="6" t="s">
        <v>283</v>
      </c>
      <c r="C243" s="16" t="s">
        <v>20</v>
      </c>
      <c r="D243" s="16" t="s">
        <v>284</v>
      </c>
      <c r="E243" s="16" t="s">
        <v>301</v>
      </c>
      <c r="F243" s="16" t="s">
        <v>255</v>
      </c>
      <c r="G243" s="16" t="n">
        <v>1</v>
      </c>
      <c r="H243" s="16" t="s">
        <v>208</v>
      </c>
      <c r="I243" s="16" t="s">
        <v>226</v>
      </c>
      <c r="J243" s="16" t="s">
        <v>227</v>
      </c>
      <c r="K243" s="16" t="n">
        <v>9</v>
      </c>
      <c r="L243" s="40" t="n">
        <f aca="false">(K243/$Q$7)*100</f>
        <v>0.170777988614801</v>
      </c>
      <c r="M243" s="16" t="s">
        <v>197</v>
      </c>
      <c r="N243" s="16" t="n">
        <f aca="false">IFERROR(INDEX(BMWP_COL!$B$2:$B$103,MATCH($I243,BMWP_COL!$A$2:$A$103,0)),"No aplica")</f>
        <v>7</v>
      </c>
      <c r="O243" s="16"/>
    </row>
    <row r="244" customFormat="false" ht="14.25" hidden="false" customHeight="true" outlineLevel="0" collapsed="false">
      <c r="A244" s="39" t="n">
        <v>45625</v>
      </c>
      <c r="B244" s="6" t="s">
        <v>283</v>
      </c>
      <c r="C244" s="16" t="s">
        <v>20</v>
      </c>
      <c r="D244" s="16" t="s">
        <v>284</v>
      </c>
      <c r="E244" s="16" t="s">
        <v>301</v>
      </c>
      <c r="F244" s="16" t="s">
        <v>255</v>
      </c>
      <c r="G244" s="16" t="n">
        <v>1</v>
      </c>
      <c r="H244" s="16" t="s">
        <v>194</v>
      </c>
      <c r="I244" s="16" t="s">
        <v>195</v>
      </c>
      <c r="J244" s="16" t="s">
        <v>254</v>
      </c>
      <c r="K244" s="16" t="n">
        <v>1</v>
      </c>
      <c r="L244" s="40" t="n">
        <f aca="false">(K244/$Q$7)*100</f>
        <v>0.0189753320683112</v>
      </c>
      <c r="M244" s="16" t="s">
        <v>197</v>
      </c>
      <c r="N244" s="16" t="n">
        <f aca="false">IFERROR(INDEX(BMWP_COL!$B$2:$B$103,MATCH($I244,BMWP_COL!$A$2:$A$103,0)),"No aplica")</f>
        <v>8</v>
      </c>
      <c r="O244" s="16"/>
    </row>
    <row r="245" customFormat="false" ht="14.25" hidden="false" customHeight="true" outlineLevel="0" collapsed="false">
      <c r="A245" s="39" t="n">
        <v>45625</v>
      </c>
      <c r="B245" s="6" t="s">
        <v>283</v>
      </c>
      <c r="C245" s="16" t="s">
        <v>20</v>
      </c>
      <c r="D245" s="16" t="s">
        <v>284</v>
      </c>
      <c r="E245" s="16" t="s">
        <v>301</v>
      </c>
      <c r="F245" s="16" t="s">
        <v>255</v>
      </c>
      <c r="G245" s="16" t="n">
        <v>1</v>
      </c>
      <c r="H245" s="16" t="s">
        <v>288</v>
      </c>
      <c r="I245" s="16" t="s">
        <v>289</v>
      </c>
      <c r="J245" s="16" t="s">
        <v>289</v>
      </c>
      <c r="K245" s="16" t="n">
        <v>2</v>
      </c>
      <c r="L245" s="40" t="n">
        <f aca="false">(K245/$Q$7)*100</f>
        <v>0.0379506641366224</v>
      </c>
      <c r="M245" s="16" t="s">
        <v>290</v>
      </c>
      <c r="N245" s="16" t="n">
        <f aca="false">IFERROR(INDEX(BMWP_COL!$B$2:$B$103,MATCH($I245,BMWP_COL!$A$2:$A$103,0)),"No aplica")</f>
        <v>4</v>
      </c>
      <c r="O245" s="16"/>
    </row>
    <row r="246" customFormat="false" ht="14.25" hidden="false" customHeight="true" outlineLevel="0" collapsed="false">
      <c r="A246" s="39" t="n">
        <v>45625</v>
      </c>
      <c r="B246" s="6" t="s">
        <v>283</v>
      </c>
      <c r="C246" s="16" t="s">
        <v>20</v>
      </c>
      <c r="D246" s="16" t="s">
        <v>284</v>
      </c>
      <c r="E246" s="16" t="s">
        <v>301</v>
      </c>
      <c r="F246" s="16" t="s">
        <v>255</v>
      </c>
      <c r="G246" s="16" t="n">
        <v>1</v>
      </c>
      <c r="H246" s="16" t="s">
        <v>202</v>
      </c>
      <c r="I246" s="16" t="s">
        <v>302</v>
      </c>
      <c r="J246" s="16" t="s">
        <v>303</v>
      </c>
      <c r="K246" s="16" t="n">
        <v>3</v>
      </c>
      <c r="L246" s="40" t="n">
        <f aca="false">(K246/$Q$7)*100</f>
        <v>0.0569259962049336</v>
      </c>
      <c r="M246" s="16" t="s">
        <v>201</v>
      </c>
      <c r="N246" s="16" t="n">
        <f aca="false">IFERROR(INDEX(BMWP_COL!$B$2:$B$103,MATCH($I246,BMWP_COL!$A$2:$A$103,0)),"No aplica")</f>
        <v>3</v>
      </c>
      <c r="O246" s="16"/>
    </row>
    <row r="247" customFormat="false" ht="14.25" hidden="false" customHeight="true" outlineLevel="0" collapsed="false">
      <c r="A247" s="39" t="n">
        <v>45625</v>
      </c>
      <c r="B247" s="6" t="s">
        <v>283</v>
      </c>
      <c r="C247" s="16" t="s">
        <v>20</v>
      </c>
      <c r="D247" s="16" t="s">
        <v>284</v>
      </c>
      <c r="E247" s="16" t="s">
        <v>301</v>
      </c>
      <c r="F247" s="16" t="s">
        <v>255</v>
      </c>
      <c r="G247" s="16" t="n">
        <v>1</v>
      </c>
      <c r="H247" s="16" t="s">
        <v>219</v>
      </c>
      <c r="I247" s="16" t="s">
        <v>220</v>
      </c>
      <c r="J247" s="16" t="s">
        <v>278</v>
      </c>
      <c r="K247" s="16" t="n">
        <v>2</v>
      </c>
      <c r="L247" s="40" t="n">
        <f aca="false">(K247/$Q$7)*100</f>
        <v>0.0379506641366224</v>
      </c>
      <c r="M247" s="16" t="s">
        <v>197</v>
      </c>
      <c r="N247" s="16" t="n">
        <f aca="false">IFERROR(INDEX(BMWP_COL!$B$2:$B$103,MATCH($I247,BMWP_COL!$A$2:$A$103,0)),"No aplica")</f>
        <v>6</v>
      </c>
      <c r="O247" s="16"/>
    </row>
    <row r="248" customFormat="false" ht="14.25" hidden="false" customHeight="true" outlineLevel="0" collapsed="false">
      <c r="A248" s="39" t="n">
        <v>45625</v>
      </c>
      <c r="B248" s="6" t="s">
        <v>283</v>
      </c>
      <c r="C248" s="16" t="s">
        <v>20</v>
      </c>
      <c r="D248" s="16" t="s">
        <v>284</v>
      </c>
      <c r="E248" s="16" t="s">
        <v>301</v>
      </c>
      <c r="F248" s="16" t="s">
        <v>255</v>
      </c>
      <c r="G248" s="16" t="n">
        <v>1</v>
      </c>
      <c r="H248" s="16" t="s">
        <v>214</v>
      </c>
      <c r="I248" s="16" t="s">
        <v>215</v>
      </c>
      <c r="J248" s="16" t="s">
        <v>216</v>
      </c>
      <c r="K248" s="16" t="n">
        <v>6</v>
      </c>
      <c r="L248" s="40" t="n">
        <f aca="false">(K248/$Q$7)*100</f>
        <v>0.113851992409867</v>
      </c>
      <c r="M248" s="16" t="s">
        <v>201</v>
      </c>
      <c r="N248" s="16" t="n">
        <f aca="false">IFERROR(INDEX(BMWP_COL!$B$2:$B$103,MATCH($I248,BMWP_COL!$A$2:$A$103,0)),"No aplica")</f>
        <v>10</v>
      </c>
      <c r="O248" s="16"/>
    </row>
    <row r="249" customFormat="false" ht="14.25" hidden="false" customHeight="true" outlineLevel="0" collapsed="false">
      <c r="A249" s="39" t="n">
        <v>45625</v>
      </c>
      <c r="B249" s="6" t="s">
        <v>283</v>
      </c>
      <c r="C249" s="16" t="s">
        <v>20</v>
      </c>
      <c r="D249" s="16" t="s">
        <v>284</v>
      </c>
      <c r="E249" s="16" t="s">
        <v>301</v>
      </c>
      <c r="F249" s="16" t="s">
        <v>255</v>
      </c>
      <c r="G249" s="16" t="n">
        <v>1</v>
      </c>
      <c r="H249" s="16" t="s">
        <v>214</v>
      </c>
      <c r="I249" s="16" t="s">
        <v>252</v>
      </c>
      <c r="J249" s="16" t="s">
        <v>252</v>
      </c>
      <c r="K249" s="16" t="n">
        <v>8</v>
      </c>
      <c r="L249" s="40" t="n">
        <f aca="false">(K249/$Q$7)*100</f>
        <v>0.15180265654649</v>
      </c>
      <c r="M249" s="16" t="s">
        <v>201</v>
      </c>
      <c r="N249" s="16" t="n">
        <f aca="false">IFERROR(INDEX(BMWP_COL!$B$2:$B$103,MATCH($I249,BMWP_COL!$A$2:$A$103,0)),"No aplica")</f>
        <v>6</v>
      </c>
      <c r="O249" s="16"/>
    </row>
    <row r="250" customFormat="false" ht="14.25" hidden="false" customHeight="true" outlineLevel="0" collapsed="false">
      <c r="A250" s="39" t="n">
        <v>45625</v>
      </c>
      <c r="B250" s="6" t="s">
        <v>283</v>
      </c>
      <c r="C250" s="16" t="s">
        <v>20</v>
      </c>
      <c r="D250" s="16" t="s">
        <v>284</v>
      </c>
      <c r="E250" s="16" t="s">
        <v>301</v>
      </c>
      <c r="F250" s="16" t="s">
        <v>255</v>
      </c>
      <c r="G250" s="16" t="n">
        <v>1</v>
      </c>
      <c r="H250" s="16" t="s">
        <v>202</v>
      </c>
      <c r="I250" s="16" t="s">
        <v>304</v>
      </c>
      <c r="J250" s="16" t="s">
        <v>305</v>
      </c>
      <c r="K250" s="16" t="n">
        <v>1</v>
      </c>
      <c r="L250" s="40" t="n">
        <f aca="false">(K250/$Q$7)*100</f>
        <v>0.0189753320683112</v>
      </c>
      <c r="M250" s="16" t="s">
        <v>201</v>
      </c>
      <c r="N250" s="16" t="n">
        <f aca="false">IFERROR(INDEX(BMWP_COL!$B$2:$B$103,MATCH($I250,BMWP_COL!$A$2:$A$103,0)),"No aplica")</f>
        <v>4</v>
      </c>
      <c r="O250" s="16"/>
    </row>
    <row r="251" customFormat="false" ht="14.25" hidden="false" customHeight="true" outlineLevel="0" collapsed="false">
      <c r="A251" s="39" t="n">
        <v>45625</v>
      </c>
      <c r="B251" s="6" t="s">
        <v>283</v>
      </c>
      <c r="C251" s="16" t="s">
        <v>20</v>
      </c>
      <c r="D251" s="16" t="s">
        <v>284</v>
      </c>
      <c r="E251" s="16" t="s">
        <v>301</v>
      </c>
      <c r="F251" s="16" t="s">
        <v>255</v>
      </c>
      <c r="G251" s="16" t="n">
        <v>1</v>
      </c>
      <c r="H251" s="16" t="s">
        <v>219</v>
      </c>
      <c r="I251" s="16" t="s">
        <v>220</v>
      </c>
      <c r="J251" s="16" t="s">
        <v>221</v>
      </c>
      <c r="K251" s="16" t="n">
        <v>1</v>
      </c>
      <c r="L251" s="40" t="n">
        <f aca="false">(K251/$Q$7)*100</f>
        <v>0.0189753320683112</v>
      </c>
      <c r="M251" s="16" t="s">
        <v>197</v>
      </c>
      <c r="N251" s="16" t="n">
        <f aca="false">IFERROR(INDEX(BMWP_COL!$B$2:$B$103,MATCH($I251,BMWP_COL!$A$2:$A$103,0)),"No aplica")</f>
        <v>6</v>
      </c>
      <c r="O251" s="16" t="s">
        <v>306</v>
      </c>
    </row>
    <row r="252" customFormat="false" ht="14.25" hidden="false" customHeight="true" outlineLevel="0" collapsed="false">
      <c r="A252" s="39" t="n">
        <v>45625</v>
      </c>
      <c r="B252" s="6" t="s">
        <v>283</v>
      </c>
      <c r="C252" s="16" t="s">
        <v>20</v>
      </c>
      <c r="D252" s="16" t="s">
        <v>284</v>
      </c>
      <c r="E252" s="16" t="s">
        <v>301</v>
      </c>
      <c r="F252" s="16" t="s">
        <v>277</v>
      </c>
      <c r="G252" s="16" t="n">
        <v>3</v>
      </c>
      <c r="H252" s="16" t="s">
        <v>202</v>
      </c>
      <c r="I252" s="16" t="s">
        <v>203</v>
      </c>
      <c r="J252" s="16" t="s">
        <v>264</v>
      </c>
      <c r="K252" s="16" t="n">
        <v>1</v>
      </c>
      <c r="L252" s="40" t="n">
        <f aca="false">(K252/$Q$7)*100</f>
        <v>0.0189753320683112</v>
      </c>
      <c r="M252" s="16" t="s">
        <v>197</v>
      </c>
      <c r="N252" s="16" t="n">
        <f aca="false">IFERROR(INDEX(BMWP_COL!$B$2:$B$103,MATCH($I252,BMWP_COL!$A$2:$A$103,0)),"No aplica")</f>
        <v>2</v>
      </c>
      <c r="O252" s="16"/>
    </row>
    <row r="253" customFormat="false" ht="14.25" hidden="false" customHeight="true" outlineLevel="0" collapsed="false">
      <c r="A253" s="39" t="n">
        <v>45625</v>
      </c>
      <c r="B253" s="6" t="s">
        <v>283</v>
      </c>
      <c r="C253" s="16" t="s">
        <v>20</v>
      </c>
      <c r="D253" s="16" t="s">
        <v>284</v>
      </c>
      <c r="E253" s="16" t="s">
        <v>301</v>
      </c>
      <c r="F253" s="16" t="s">
        <v>277</v>
      </c>
      <c r="G253" s="16" t="n">
        <v>3</v>
      </c>
      <c r="H253" s="16" t="s">
        <v>194</v>
      </c>
      <c r="I253" s="16" t="s">
        <v>238</v>
      </c>
      <c r="J253" s="16" t="s">
        <v>239</v>
      </c>
      <c r="K253" s="16" t="n">
        <v>10</v>
      </c>
      <c r="L253" s="40" t="n">
        <f aca="false">(K253/$Q$7)*100</f>
        <v>0.189753320683112</v>
      </c>
      <c r="M253" s="16" t="s">
        <v>225</v>
      </c>
      <c r="N253" s="16" t="n">
        <f aca="false">IFERROR(INDEX(BMWP_COL!$B$2:$B$103,MATCH($I253,BMWP_COL!$A$2:$A$103,0)),"No aplica")</f>
        <v>10</v>
      </c>
      <c r="O253" s="16"/>
    </row>
    <row r="254" customFormat="false" ht="14.25" hidden="false" customHeight="true" outlineLevel="0" collapsed="false">
      <c r="A254" s="39" t="n">
        <v>45625</v>
      </c>
      <c r="B254" s="6" t="s">
        <v>283</v>
      </c>
      <c r="C254" s="16" t="s">
        <v>20</v>
      </c>
      <c r="D254" s="16" t="s">
        <v>284</v>
      </c>
      <c r="E254" s="16" t="s">
        <v>301</v>
      </c>
      <c r="F254" s="16" t="s">
        <v>277</v>
      </c>
      <c r="G254" s="16" t="n">
        <v>3</v>
      </c>
      <c r="H254" s="16" t="s">
        <v>240</v>
      </c>
      <c r="I254" s="16" t="s">
        <v>241</v>
      </c>
      <c r="J254" s="16" t="s">
        <v>242</v>
      </c>
      <c r="K254" s="16" t="n">
        <v>1</v>
      </c>
      <c r="L254" s="40" t="n">
        <f aca="false">(K254/$Q$7)*100</f>
        <v>0.0189753320683112</v>
      </c>
      <c r="M254" s="16" t="s">
        <v>211</v>
      </c>
      <c r="N254" s="16" t="n">
        <f aca="false">IFERROR(INDEX(BMWP_COL!$B$2:$B$103,MATCH($I254,BMWP_COL!$A$2:$A$103,0)),"No aplica")</f>
        <v>5</v>
      </c>
      <c r="O254" s="16"/>
    </row>
    <row r="255" customFormat="false" ht="14.25" hidden="false" customHeight="true" outlineLevel="0" collapsed="false">
      <c r="A255" s="39" t="n">
        <v>45625</v>
      </c>
      <c r="B255" s="6" t="s">
        <v>283</v>
      </c>
      <c r="C255" s="16" t="s">
        <v>20</v>
      </c>
      <c r="D255" s="16" t="s">
        <v>284</v>
      </c>
      <c r="E255" s="16" t="s">
        <v>301</v>
      </c>
      <c r="F255" s="16" t="s">
        <v>277</v>
      </c>
      <c r="G255" s="16" t="n">
        <v>3</v>
      </c>
      <c r="H255" s="16" t="s">
        <v>214</v>
      </c>
      <c r="I255" s="16" t="s">
        <v>243</v>
      </c>
      <c r="J255" s="16" t="s">
        <v>244</v>
      </c>
      <c r="K255" s="16" t="n">
        <v>1</v>
      </c>
      <c r="L255" s="40" t="n">
        <f aca="false">(K255/$Q$7)*100</f>
        <v>0.0189753320683112</v>
      </c>
      <c r="M255" s="16" t="s">
        <v>201</v>
      </c>
      <c r="N255" s="16" t="n">
        <f aca="false">IFERROR(INDEX(BMWP_COL!$B$2:$B$103,MATCH($I255,BMWP_COL!$A$2:$A$103,0)),"No aplica")</f>
        <v>7</v>
      </c>
      <c r="O255" s="16"/>
    </row>
    <row r="256" customFormat="false" ht="14.25" hidden="false" customHeight="true" outlineLevel="0" collapsed="false">
      <c r="A256" s="39" t="n">
        <v>45625</v>
      </c>
      <c r="B256" s="6" t="s">
        <v>283</v>
      </c>
      <c r="C256" s="16" t="s">
        <v>20</v>
      </c>
      <c r="D256" s="16" t="s">
        <v>284</v>
      </c>
      <c r="E256" s="16" t="s">
        <v>301</v>
      </c>
      <c r="F256" s="16" t="s">
        <v>277</v>
      </c>
      <c r="G256" s="16" t="n">
        <v>3</v>
      </c>
      <c r="H256" s="16" t="s">
        <v>214</v>
      </c>
      <c r="I256" s="16" t="s">
        <v>215</v>
      </c>
      <c r="J256" s="16" t="s">
        <v>216</v>
      </c>
      <c r="K256" s="16" t="n">
        <v>1</v>
      </c>
      <c r="L256" s="40" t="n">
        <f aca="false">(K256/$Q$7)*100</f>
        <v>0.0189753320683112</v>
      </c>
      <c r="M256" s="16" t="s">
        <v>201</v>
      </c>
      <c r="N256" s="16" t="n">
        <f aca="false">IFERROR(INDEX(BMWP_COL!$B$2:$B$103,MATCH($I256,BMWP_COL!$A$2:$A$103,0)),"No aplica")</f>
        <v>10</v>
      </c>
      <c r="O256" s="16"/>
    </row>
    <row r="257" customFormat="false" ht="14.25" hidden="false" customHeight="true" outlineLevel="0" collapsed="false">
      <c r="A257" s="39" t="n">
        <v>45625</v>
      </c>
      <c r="B257" s="6" t="s">
        <v>283</v>
      </c>
      <c r="C257" s="16" t="s">
        <v>20</v>
      </c>
      <c r="D257" s="16" t="s">
        <v>284</v>
      </c>
      <c r="E257" s="16" t="s">
        <v>301</v>
      </c>
      <c r="F257" s="16" t="s">
        <v>277</v>
      </c>
      <c r="G257" s="16" t="n">
        <v>3</v>
      </c>
      <c r="H257" s="16" t="s">
        <v>202</v>
      </c>
      <c r="I257" s="16" t="s">
        <v>203</v>
      </c>
      <c r="J257" s="16" t="s">
        <v>213</v>
      </c>
      <c r="K257" s="16" t="n">
        <v>1</v>
      </c>
      <c r="L257" s="40" t="n">
        <f aca="false">(K257/$Q$7)*100</f>
        <v>0.0189753320683112</v>
      </c>
      <c r="M257" s="16" t="s">
        <v>201</v>
      </c>
      <c r="N257" s="16" t="n">
        <f aca="false">IFERROR(INDEX(BMWP_COL!$B$2:$B$103,MATCH($I257,BMWP_COL!$A$2:$A$103,0)),"No aplica")</f>
        <v>2</v>
      </c>
      <c r="O257" s="16"/>
    </row>
    <row r="258" customFormat="false" ht="14.25" hidden="false" customHeight="true" outlineLevel="0" collapsed="false">
      <c r="A258" s="39" t="n">
        <v>45625</v>
      </c>
      <c r="B258" s="6" t="s">
        <v>283</v>
      </c>
      <c r="C258" s="16" t="s">
        <v>20</v>
      </c>
      <c r="D258" s="16" t="s">
        <v>284</v>
      </c>
      <c r="E258" s="16" t="s">
        <v>301</v>
      </c>
      <c r="F258" s="16" t="s">
        <v>277</v>
      </c>
      <c r="G258" s="16" t="n">
        <v>3</v>
      </c>
      <c r="H258" s="16" t="s">
        <v>219</v>
      </c>
      <c r="I258" s="16" t="s">
        <v>220</v>
      </c>
      <c r="J258" s="16" t="s">
        <v>221</v>
      </c>
      <c r="K258" s="16" t="n">
        <v>6</v>
      </c>
      <c r="L258" s="40" t="n">
        <f aca="false">(K258/$Q$7)*100</f>
        <v>0.113851992409867</v>
      </c>
      <c r="M258" s="16" t="s">
        <v>197</v>
      </c>
      <c r="N258" s="16" t="n">
        <f aca="false">IFERROR(INDEX(BMWP_COL!$B$2:$B$103,MATCH($I258,BMWP_COL!$A$2:$A$103,0)),"No aplica")</f>
        <v>6</v>
      </c>
      <c r="O258" s="16"/>
    </row>
    <row r="259" customFormat="false" ht="14.25" hidden="false" customHeight="true" outlineLevel="0" collapsed="false">
      <c r="A259" s="39" t="n">
        <v>45625</v>
      </c>
      <c r="B259" s="6" t="s">
        <v>283</v>
      </c>
      <c r="C259" s="16" t="s">
        <v>20</v>
      </c>
      <c r="D259" s="16" t="s">
        <v>284</v>
      </c>
      <c r="E259" s="16" t="s">
        <v>301</v>
      </c>
      <c r="F259" s="16" t="s">
        <v>277</v>
      </c>
      <c r="G259" s="16" t="n">
        <v>3</v>
      </c>
      <c r="H259" s="16" t="s">
        <v>272</v>
      </c>
      <c r="I259" s="16" t="s">
        <v>273</v>
      </c>
      <c r="J259" s="16" t="s">
        <v>274</v>
      </c>
      <c r="K259" s="16" t="n">
        <v>1</v>
      </c>
      <c r="L259" s="40" t="n">
        <f aca="false">(K259/$Q$7)*100</f>
        <v>0.0189753320683112</v>
      </c>
      <c r="M259" s="16" t="s">
        <v>201</v>
      </c>
      <c r="N259" s="16" t="n">
        <f aca="false">IFERROR(INDEX(BMWP_COL!$B$2:$B$103,MATCH($I259,BMWP_COL!$A$2:$A$103,0)),"No aplica")</f>
        <v>6</v>
      </c>
      <c r="O259" s="16"/>
    </row>
    <row r="260" customFormat="false" ht="14.25" hidden="false" customHeight="true" outlineLevel="0" collapsed="false">
      <c r="A260" s="39" t="n">
        <v>45625</v>
      </c>
      <c r="B260" s="6" t="s">
        <v>283</v>
      </c>
      <c r="C260" s="16" t="s">
        <v>20</v>
      </c>
      <c r="D260" s="16" t="s">
        <v>284</v>
      </c>
      <c r="E260" s="16" t="s">
        <v>301</v>
      </c>
      <c r="F260" s="16" t="s">
        <v>277</v>
      </c>
      <c r="G260" s="16" t="n">
        <v>3</v>
      </c>
      <c r="H260" s="16" t="s">
        <v>198</v>
      </c>
      <c r="I260" s="16" t="s">
        <v>199</v>
      </c>
      <c r="J260" s="16" t="s">
        <v>200</v>
      </c>
      <c r="K260" s="16" t="n">
        <v>5</v>
      </c>
      <c r="L260" s="40" t="n">
        <f aca="false">(K260/$Q$7)*100</f>
        <v>0.094876660341556</v>
      </c>
      <c r="M260" s="16" t="s">
        <v>201</v>
      </c>
      <c r="N260" s="16" t="n">
        <f aca="false">IFERROR(INDEX(BMWP_COL!$B$2:$B$103,MATCH($I260,BMWP_COL!$A$2:$A$103,0)),"No aplica")</f>
        <v>7</v>
      </c>
      <c r="O260" s="16"/>
    </row>
    <row r="261" customFormat="false" ht="14.25" hidden="false" customHeight="true" outlineLevel="0" collapsed="false">
      <c r="A261" s="39" t="n">
        <v>45625</v>
      </c>
      <c r="B261" s="6" t="s">
        <v>283</v>
      </c>
      <c r="C261" s="16" t="s">
        <v>20</v>
      </c>
      <c r="D261" s="16" t="s">
        <v>284</v>
      </c>
      <c r="E261" s="16" t="s">
        <v>301</v>
      </c>
      <c r="F261" s="16" t="s">
        <v>277</v>
      </c>
      <c r="G261" s="16" t="n">
        <v>3</v>
      </c>
      <c r="H261" s="16" t="s">
        <v>194</v>
      </c>
      <c r="I261" s="16" t="s">
        <v>195</v>
      </c>
      <c r="J261" s="16" t="s">
        <v>196</v>
      </c>
      <c r="K261" s="16" t="n">
        <v>16</v>
      </c>
      <c r="L261" s="40" t="n">
        <f aca="false">(K261/$Q$7)*100</f>
        <v>0.303605313092979</v>
      </c>
      <c r="M261" s="16" t="s">
        <v>197</v>
      </c>
      <c r="N261" s="16" t="n">
        <f aca="false">IFERROR(INDEX(BMWP_COL!$B$2:$B$103,MATCH($I261,BMWP_COL!$A$2:$A$103,0)),"No aplica")</f>
        <v>8</v>
      </c>
      <c r="O261" s="16"/>
    </row>
    <row r="262" customFormat="false" ht="14.25" hidden="false" customHeight="true" outlineLevel="0" collapsed="false">
      <c r="A262" s="39" t="n">
        <v>45625</v>
      </c>
      <c r="B262" s="6" t="s">
        <v>283</v>
      </c>
      <c r="C262" s="16" t="s">
        <v>20</v>
      </c>
      <c r="D262" s="16" t="s">
        <v>284</v>
      </c>
      <c r="E262" s="16" t="s">
        <v>301</v>
      </c>
      <c r="F262" s="16" t="s">
        <v>277</v>
      </c>
      <c r="G262" s="16" t="n">
        <v>3</v>
      </c>
      <c r="H262" s="16" t="s">
        <v>202</v>
      </c>
      <c r="I262" s="16" t="s">
        <v>228</v>
      </c>
      <c r="J262" s="16" t="s">
        <v>229</v>
      </c>
      <c r="K262" s="16" t="n">
        <v>1</v>
      </c>
      <c r="L262" s="40" t="n">
        <f aca="false">(K262/$Q$7)*100</f>
        <v>0.0189753320683112</v>
      </c>
      <c r="M262" s="16" t="s">
        <v>230</v>
      </c>
      <c r="N262" s="16" t="n">
        <f aca="false">IFERROR(INDEX(BMWP_COL!$B$2:$B$103,MATCH($I262,BMWP_COL!$A$2:$A$103,0)),"No aplica")</f>
        <v>8</v>
      </c>
      <c r="O262" s="16"/>
    </row>
    <row r="263" customFormat="false" ht="14.25" hidden="false" customHeight="true" outlineLevel="0" collapsed="false">
      <c r="A263" s="39" t="n">
        <v>45625</v>
      </c>
      <c r="B263" s="6" t="s">
        <v>283</v>
      </c>
      <c r="C263" s="16" t="s">
        <v>20</v>
      </c>
      <c r="D263" s="16" t="s">
        <v>284</v>
      </c>
      <c r="E263" s="16" t="s">
        <v>301</v>
      </c>
      <c r="F263" s="16" t="s">
        <v>277</v>
      </c>
      <c r="G263" s="16" t="n">
        <v>3</v>
      </c>
      <c r="H263" s="16" t="s">
        <v>202</v>
      </c>
      <c r="I263" s="16" t="s">
        <v>203</v>
      </c>
      <c r="J263" s="41" t="s">
        <v>204</v>
      </c>
      <c r="K263" s="16" t="n">
        <v>11</v>
      </c>
      <c r="L263" s="40" t="n">
        <f aca="false">(K263/$Q$7)*100</f>
        <v>0.208728652751423</v>
      </c>
      <c r="M263" s="16" t="s">
        <v>197</v>
      </c>
      <c r="N263" s="16" t="n">
        <f aca="false">IFERROR(INDEX(BMWP_COL!$B$2:$B$103,MATCH($I263,BMWP_COL!$A$2:$A$103,0)),"No aplica")</f>
        <v>2</v>
      </c>
      <c r="O263" s="16"/>
    </row>
    <row r="264" customFormat="false" ht="14.25" hidden="false" customHeight="true" outlineLevel="0" collapsed="false">
      <c r="A264" s="39" t="n">
        <v>45625</v>
      </c>
      <c r="B264" s="6" t="s">
        <v>283</v>
      </c>
      <c r="C264" s="16" t="s">
        <v>20</v>
      </c>
      <c r="D264" s="16" t="s">
        <v>284</v>
      </c>
      <c r="E264" s="16" t="s">
        <v>301</v>
      </c>
      <c r="F264" s="16" t="s">
        <v>277</v>
      </c>
      <c r="G264" s="16" t="n">
        <v>3</v>
      </c>
      <c r="H264" s="16" t="s">
        <v>208</v>
      </c>
      <c r="I264" s="16" t="s">
        <v>209</v>
      </c>
      <c r="J264" s="16" t="s">
        <v>212</v>
      </c>
      <c r="K264" s="16" t="n">
        <v>1</v>
      </c>
      <c r="L264" s="40" t="n">
        <f aca="false">(K264/$Q$7)*100</f>
        <v>0.0189753320683112</v>
      </c>
      <c r="M264" s="16" t="s">
        <v>197</v>
      </c>
      <c r="N264" s="16" t="n">
        <f aca="false">IFERROR(INDEX(BMWP_COL!$B$2:$B$103,MATCH($I264,BMWP_COL!$A$2:$A$103,0)),"No aplica")</f>
        <v>7</v>
      </c>
      <c r="O264" s="16"/>
    </row>
    <row r="265" customFormat="false" ht="14.25" hidden="false" customHeight="true" outlineLevel="0" collapsed="false">
      <c r="A265" s="39" t="n">
        <v>45625</v>
      </c>
      <c r="B265" s="6" t="s">
        <v>283</v>
      </c>
      <c r="C265" s="16" t="s">
        <v>20</v>
      </c>
      <c r="D265" s="16" t="s">
        <v>284</v>
      </c>
      <c r="E265" s="16" t="s">
        <v>301</v>
      </c>
      <c r="F265" s="16" t="s">
        <v>277</v>
      </c>
      <c r="G265" s="16" t="n">
        <v>3</v>
      </c>
      <c r="H265" s="16" t="s">
        <v>208</v>
      </c>
      <c r="I265" s="16" t="s">
        <v>209</v>
      </c>
      <c r="J265" s="16" t="s">
        <v>210</v>
      </c>
      <c r="K265" s="16" t="n">
        <v>7</v>
      </c>
      <c r="L265" s="40" t="n">
        <f aca="false">(K265/$Q$7)*100</f>
        <v>0.132827324478178</v>
      </c>
      <c r="M265" s="16" t="s">
        <v>211</v>
      </c>
      <c r="N265" s="16" t="n">
        <f aca="false">IFERROR(INDEX(BMWP_COL!$B$2:$B$103,MATCH($I265,BMWP_COL!$A$2:$A$103,0)),"No aplica")</f>
        <v>7</v>
      </c>
      <c r="O265" s="16"/>
    </row>
    <row r="266" customFormat="false" ht="14.25" hidden="false" customHeight="true" outlineLevel="0" collapsed="false">
      <c r="A266" s="39" t="n">
        <v>45625</v>
      </c>
      <c r="B266" s="6" t="s">
        <v>283</v>
      </c>
      <c r="C266" s="16" t="s">
        <v>20</v>
      </c>
      <c r="D266" s="16" t="s">
        <v>284</v>
      </c>
      <c r="E266" s="16" t="s">
        <v>301</v>
      </c>
      <c r="F266" s="16" t="s">
        <v>277</v>
      </c>
      <c r="G266" s="16" t="n">
        <v>3</v>
      </c>
      <c r="H266" s="16" t="s">
        <v>249</v>
      </c>
      <c r="I266" s="16" t="s">
        <v>250</v>
      </c>
      <c r="J266" s="16" t="s">
        <v>251</v>
      </c>
      <c r="K266" s="16" t="n">
        <v>1</v>
      </c>
      <c r="L266" s="40" t="n">
        <f aca="false">(K266/$Q$7)*100</f>
        <v>0.0189753320683112</v>
      </c>
      <c r="M266" s="16" t="s">
        <v>201</v>
      </c>
      <c r="N266" s="16" t="n">
        <f aca="false">IFERROR(INDEX(BMWP_COL!$B$2:$B$103,MATCH($I266,BMWP_COL!$A$2:$A$103,0)),"No aplica")</f>
        <v>10</v>
      </c>
      <c r="O266" s="16"/>
    </row>
    <row r="267" customFormat="false" ht="14.25" hidden="false" customHeight="true" outlineLevel="0" collapsed="false">
      <c r="A267" s="39" t="n">
        <v>45625</v>
      </c>
      <c r="B267" s="6" t="s">
        <v>283</v>
      </c>
      <c r="C267" s="16" t="s">
        <v>20</v>
      </c>
      <c r="D267" s="16" t="s">
        <v>284</v>
      </c>
      <c r="E267" s="16" t="s">
        <v>301</v>
      </c>
      <c r="F267" s="16" t="s">
        <v>277</v>
      </c>
      <c r="G267" s="16" t="n">
        <v>3</v>
      </c>
      <c r="H267" s="16" t="s">
        <v>240</v>
      </c>
      <c r="I267" s="16" t="s">
        <v>241</v>
      </c>
      <c r="J267" s="16" t="s">
        <v>242</v>
      </c>
      <c r="K267" s="16" t="n">
        <v>1</v>
      </c>
      <c r="L267" s="40" t="n">
        <f aca="false">(K267/$Q$7)*100</f>
        <v>0.0189753320683112</v>
      </c>
      <c r="M267" s="16" t="s">
        <v>211</v>
      </c>
      <c r="N267" s="16" t="n">
        <f aca="false">IFERROR(INDEX(BMWP_COL!$B$2:$B$103,MATCH($I267,BMWP_COL!$A$2:$A$103,0)),"No aplica")</f>
        <v>5</v>
      </c>
      <c r="O267" s="16" t="s">
        <v>307</v>
      </c>
    </row>
    <row r="268" customFormat="false" ht="14.25" hidden="false" customHeight="true" outlineLevel="0" collapsed="false">
      <c r="A268" s="39" t="n">
        <v>45625</v>
      </c>
      <c r="B268" s="6" t="s">
        <v>283</v>
      </c>
      <c r="C268" s="16" t="s">
        <v>20</v>
      </c>
      <c r="D268" s="16" t="s">
        <v>284</v>
      </c>
      <c r="E268" s="16" t="s">
        <v>301</v>
      </c>
      <c r="F268" s="16" t="s">
        <v>277</v>
      </c>
      <c r="G268" s="16" t="n">
        <v>3</v>
      </c>
      <c r="H268" s="16" t="s">
        <v>280</v>
      </c>
      <c r="I268" s="16" t="s">
        <v>308</v>
      </c>
      <c r="J268" s="16" t="s">
        <v>309</v>
      </c>
      <c r="K268" s="16" t="n">
        <v>1</v>
      </c>
      <c r="L268" s="40" t="n">
        <f aca="false">(K268/$Q$7)*100</f>
        <v>0.0189753320683112</v>
      </c>
      <c r="M268" s="16" t="s">
        <v>310</v>
      </c>
      <c r="N268" s="16" t="n">
        <f aca="false">IFERROR(INDEX(BMWP_COL!$B$2:$B$103,MATCH($I268,BMWP_COL!$A$2:$A$103,0)),"No aplica")</f>
        <v>8</v>
      </c>
      <c r="O268" s="16"/>
    </row>
    <row r="269" customFormat="false" ht="14.25" hidden="false" customHeight="true" outlineLevel="0" collapsed="false">
      <c r="A269" s="39" t="n">
        <v>45625</v>
      </c>
      <c r="B269" s="6" t="s">
        <v>283</v>
      </c>
      <c r="C269" s="16" t="s">
        <v>20</v>
      </c>
      <c r="D269" s="16" t="s">
        <v>284</v>
      </c>
      <c r="E269" s="16" t="s">
        <v>301</v>
      </c>
      <c r="F269" s="16" t="s">
        <v>277</v>
      </c>
      <c r="G269" s="16" t="n">
        <v>3</v>
      </c>
      <c r="H269" s="16" t="s">
        <v>245</v>
      </c>
      <c r="I269" s="16" t="s">
        <v>246</v>
      </c>
      <c r="J269" s="16" t="s">
        <v>246</v>
      </c>
      <c r="K269" s="16" t="n">
        <v>1</v>
      </c>
      <c r="L269" s="40" t="n">
        <f aca="false">(K269/$Q$7)*100</f>
        <v>0.0189753320683112</v>
      </c>
      <c r="M269" s="16" t="s">
        <v>201</v>
      </c>
      <c r="N269" s="16" t="n">
        <f aca="false">IFERROR(INDEX(BMWP_COL!$B$2:$B$103,MATCH($I269,BMWP_COL!$A$2:$A$103,0)),"No aplica")</f>
        <v>5</v>
      </c>
      <c r="O269" s="16"/>
    </row>
    <row r="270" customFormat="false" ht="14.25" hidden="false" customHeight="true" outlineLevel="0" collapsed="false">
      <c r="A270" s="39" t="n">
        <v>45638</v>
      </c>
      <c r="B270" s="16" t="s">
        <v>311</v>
      </c>
      <c r="C270" s="16" t="s">
        <v>312</v>
      </c>
      <c r="D270" s="16" t="s">
        <v>313</v>
      </c>
      <c r="E270" s="16" t="s">
        <v>314</v>
      </c>
      <c r="F270" s="16" t="s">
        <v>222</v>
      </c>
      <c r="G270" s="16" t="n">
        <v>4</v>
      </c>
      <c r="H270" s="16" t="s">
        <v>280</v>
      </c>
      <c r="I270" s="16" t="s">
        <v>281</v>
      </c>
      <c r="J270" s="16" t="s">
        <v>282</v>
      </c>
      <c r="K270" s="16" t="n">
        <v>154</v>
      </c>
      <c r="L270" s="40" t="n">
        <f aca="false">(K270/$Q$7)*100</f>
        <v>2.92220113851992</v>
      </c>
      <c r="M270" s="16" t="s">
        <v>197</v>
      </c>
      <c r="N270" s="16" t="n">
        <f aca="false">IFERROR(INDEX(BMWP_COL!$B$2:$B$103,MATCH($I270,BMWP_COL!$A$2:$A$103,0)),"No aplica")</f>
        <v>6</v>
      </c>
      <c r="O270" s="16"/>
    </row>
    <row r="271" customFormat="false" ht="14.25" hidden="false" customHeight="true" outlineLevel="0" collapsed="false">
      <c r="A271" s="39" t="n">
        <v>45638</v>
      </c>
      <c r="B271" s="16" t="s">
        <v>311</v>
      </c>
      <c r="C271" s="16" t="s">
        <v>312</v>
      </c>
      <c r="D271" s="16" t="s">
        <v>313</v>
      </c>
      <c r="E271" s="16" t="s">
        <v>314</v>
      </c>
      <c r="F271" s="16" t="s">
        <v>222</v>
      </c>
      <c r="G271" s="16" t="n">
        <v>4</v>
      </c>
      <c r="H271" s="16" t="s">
        <v>219</v>
      </c>
      <c r="I271" s="16" t="s">
        <v>279</v>
      </c>
      <c r="J271" s="16" t="s">
        <v>279</v>
      </c>
      <c r="K271" s="16" t="n">
        <v>1</v>
      </c>
      <c r="L271" s="40" t="n">
        <f aca="false">(K271/$Q$7)*100</f>
        <v>0.0189753320683112</v>
      </c>
      <c r="M271" s="16" t="s">
        <v>201</v>
      </c>
      <c r="N271" s="16" t="n">
        <f aca="false">IFERROR(INDEX(BMWP_COL!$B$2:$B$103,MATCH($I271,BMWP_COL!$A$2:$A$103,0)),"No aplica")</f>
        <v>6</v>
      </c>
      <c r="O271" s="16"/>
    </row>
    <row r="272" customFormat="false" ht="14.25" hidden="false" customHeight="true" outlineLevel="0" collapsed="false">
      <c r="A272" s="39" t="n">
        <v>45638</v>
      </c>
      <c r="B272" s="16" t="s">
        <v>311</v>
      </c>
      <c r="C272" s="16" t="s">
        <v>312</v>
      </c>
      <c r="D272" s="16" t="s">
        <v>313</v>
      </c>
      <c r="E272" s="16" t="s">
        <v>314</v>
      </c>
      <c r="F272" s="16" t="s">
        <v>222</v>
      </c>
      <c r="G272" s="16" t="n">
        <v>4</v>
      </c>
      <c r="H272" s="16" t="s">
        <v>249</v>
      </c>
      <c r="I272" s="16" t="s">
        <v>250</v>
      </c>
      <c r="J272" s="16" t="s">
        <v>251</v>
      </c>
      <c r="K272" s="16" t="n">
        <v>9</v>
      </c>
      <c r="L272" s="40" t="n">
        <f aca="false">(K272/$Q$7)*100</f>
        <v>0.170777988614801</v>
      </c>
      <c r="M272" s="16" t="s">
        <v>201</v>
      </c>
      <c r="N272" s="16" t="n">
        <f aca="false">IFERROR(INDEX(BMWP_COL!$B$2:$B$103,MATCH($I272,BMWP_COL!$A$2:$A$103,0)),"No aplica")</f>
        <v>10</v>
      </c>
      <c r="O272" s="16"/>
    </row>
    <row r="273" customFormat="false" ht="14.25" hidden="false" customHeight="true" outlineLevel="0" collapsed="false">
      <c r="A273" s="39" t="n">
        <v>45638</v>
      </c>
      <c r="B273" s="16" t="s">
        <v>311</v>
      </c>
      <c r="C273" s="16" t="s">
        <v>312</v>
      </c>
      <c r="D273" s="16" t="s">
        <v>313</v>
      </c>
      <c r="E273" s="16" t="s">
        <v>314</v>
      </c>
      <c r="F273" s="16" t="s">
        <v>222</v>
      </c>
      <c r="G273" s="16" t="n">
        <v>4</v>
      </c>
      <c r="H273" s="16" t="s">
        <v>208</v>
      </c>
      <c r="I273" s="16" t="s">
        <v>209</v>
      </c>
      <c r="J273" s="16" t="s">
        <v>212</v>
      </c>
      <c r="K273" s="16" t="n">
        <v>17</v>
      </c>
      <c r="L273" s="40" t="n">
        <f aca="false">(K273/$Q$7)*100</f>
        <v>0.32258064516129</v>
      </c>
      <c r="M273" s="16" t="s">
        <v>197</v>
      </c>
      <c r="N273" s="16" t="n">
        <f aca="false">IFERROR(INDEX(BMWP_COL!$B$2:$B$103,MATCH($I273,BMWP_COL!$A$2:$A$103,0)),"No aplica")</f>
        <v>7</v>
      </c>
      <c r="O273" s="16"/>
    </row>
    <row r="274" customFormat="false" ht="14.25" hidden="false" customHeight="true" outlineLevel="0" collapsed="false">
      <c r="A274" s="39" t="n">
        <v>45638</v>
      </c>
      <c r="B274" s="16" t="s">
        <v>311</v>
      </c>
      <c r="C274" s="16" t="s">
        <v>312</v>
      </c>
      <c r="D274" s="16" t="s">
        <v>313</v>
      </c>
      <c r="E274" s="16" t="s">
        <v>314</v>
      </c>
      <c r="F274" s="16" t="s">
        <v>222</v>
      </c>
      <c r="G274" s="16" t="n">
        <v>4</v>
      </c>
      <c r="H274" s="16" t="s">
        <v>194</v>
      </c>
      <c r="I274" s="16" t="s">
        <v>195</v>
      </c>
      <c r="J274" s="16" t="s">
        <v>196</v>
      </c>
      <c r="K274" s="16" t="n">
        <v>3</v>
      </c>
      <c r="L274" s="40" t="n">
        <f aca="false">(K274/$Q$7)*100</f>
        <v>0.0569259962049336</v>
      </c>
      <c r="M274" s="16" t="s">
        <v>197</v>
      </c>
      <c r="N274" s="16" t="n">
        <f aca="false">IFERROR(INDEX(BMWP_COL!$B$2:$B$103,MATCH($I274,BMWP_COL!$A$2:$A$103,0)),"No aplica")</f>
        <v>8</v>
      </c>
      <c r="O274" s="16"/>
    </row>
    <row r="275" customFormat="false" ht="14.25" hidden="false" customHeight="true" outlineLevel="0" collapsed="false">
      <c r="A275" s="39" t="n">
        <v>45638</v>
      </c>
      <c r="B275" s="16" t="s">
        <v>311</v>
      </c>
      <c r="C275" s="16" t="s">
        <v>312</v>
      </c>
      <c r="D275" s="16" t="s">
        <v>313</v>
      </c>
      <c r="E275" s="16" t="s">
        <v>314</v>
      </c>
      <c r="F275" s="16" t="s">
        <v>222</v>
      </c>
      <c r="G275" s="16" t="n">
        <v>4</v>
      </c>
      <c r="H275" s="16" t="s">
        <v>219</v>
      </c>
      <c r="I275" s="16" t="s">
        <v>220</v>
      </c>
      <c r="J275" s="16" t="s">
        <v>221</v>
      </c>
      <c r="K275" s="16" t="n">
        <v>5</v>
      </c>
      <c r="L275" s="40" t="n">
        <f aca="false">(K275/$Q$7)*100</f>
        <v>0.094876660341556</v>
      </c>
      <c r="M275" s="16" t="s">
        <v>197</v>
      </c>
      <c r="N275" s="16" t="n">
        <f aca="false">IFERROR(INDEX(BMWP_COL!$B$2:$B$103,MATCH($I275,BMWP_COL!$A$2:$A$103,0)),"No aplica")</f>
        <v>6</v>
      </c>
      <c r="O275" s="16"/>
    </row>
    <row r="276" customFormat="false" ht="14.25" hidden="false" customHeight="true" outlineLevel="0" collapsed="false">
      <c r="A276" s="39" t="n">
        <v>45638</v>
      </c>
      <c r="B276" s="16" t="s">
        <v>311</v>
      </c>
      <c r="C276" s="16" t="s">
        <v>312</v>
      </c>
      <c r="D276" s="16" t="s">
        <v>313</v>
      </c>
      <c r="E276" s="16" t="s">
        <v>314</v>
      </c>
      <c r="F276" s="16" t="s">
        <v>222</v>
      </c>
      <c r="G276" s="16" t="n">
        <v>4</v>
      </c>
      <c r="H276" s="16" t="s">
        <v>219</v>
      </c>
      <c r="I276" s="16" t="s">
        <v>220</v>
      </c>
      <c r="J276" s="16" t="s">
        <v>315</v>
      </c>
      <c r="K276" s="16" t="n">
        <v>1</v>
      </c>
      <c r="L276" s="40" t="n">
        <f aca="false">(K276/$Q$7)*100</f>
        <v>0.0189753320683112</v>
      </c>
      <c r="M276" s="16" t="s">
        <v>197</v>
      </c>
      <c r="N276" s="16" t="n">
        <f aca="false">IFERROR(INDEX(BMWP_COL!$B$2:$B$103,MATCH($I276,BMWP_COL!$A$2:$A$103,0)),"No aplica")</f>
        <v>6</v>
      </c>
      <c r="O276" s="16"/>
    </row>
    <row r="277" customFormat="false" ht="14.25" hidden="false" customHeight="true" outlineLevel="0" collapsed="false">
      <c r="A277" s="39" t="n">
        <v>45638</v>
      </c>
      <c r="B277" s="16" t="s">
        <v>311</v>
      </c>
      <c r="C277" s="16" t="s">
        <v>312</v>
      </c>
      <c r="D277" s="16" t="s">
        <v>313</v>
      </c>
      <c r="E277" s="16" t="s">
        <v>314</v>
      </c>
      <c r="F277" s="16" t="s">
        <v>222</v>
      </c>
      <c r="G277" s="16" t="n">
        <v>4</v>
      </c>
      <c r="H277" s="16" t="s">
        <v>208</v>
      </c>
      <c r="I277" s="16" t="s">
        <v>226</v>
      </c>
      <c r="J277" s="16" t="s">
        <v>227</v>
      </c>
      <c r="K277" s="16" t="n">
        <v>9</v>
      </c>
      <c r="L277" s="40" t="n">
        <f aca="false">(K277/$Q$7)*100</f>
        <v>0.170777988614801</v>
      </c>
      <c r="M277" s="16" t="s">
        <v>197</v>
      </c>
      <c r="N277" s="16" t="n">
        <f aca="false">IFERROR(INDEX(BMWP_COL!$B$2:$B$103,MATCH($I277,BMWP_COL!$A$2:$A$103,0)),"No aplica")</f>
        <v>7</v>
      </c>
      <c r="O277" s="16"/>
    </row>
    <row r="278" customFormat="false" ht="14.25" hidden="false" customHeight="true" outlineLevel="0" collapsed="false">
      <c r="A278" s="39" t="n">
        <v>45638</v>
      </c>
      <c r="B278" s="16" t="s">
        <v>311</v>
      </c>
      <c r="C278" s="16" t="s">
        <v>312</v>
      </c>
      <c r="D278" s="16" t="s">
        <v>313</v>
      </c>
      <c r="E278" s="16" t="s">
        <v>314</v>
      </c>
      <c r="F278" s="16" t="s">
        <v>222</v>
      </c>
      <c r="G278" s="16" t="n">
        <v>4</v>
      </c>
      <c r="H278" s="16" t="s">
        <v>208</v>
      </c>
      <c r="I278" s="16" t="s">
        <v>226</v>
      </c>
      <c r="J278" s="16" t="s">
        <v>297</v>
      </c>
      <c r="K278" s="16" t="n">
        <v>4</v>
      </c>
      <c r="L278" s="40" t="n">
        <f aca="false">(K278/$Q$7)*100</f>
        <v>0.0759013282732448</v>
      </c>
      <c r="M278" s="16" t="s">
        <v>197</v>
      </c>
      <c r="N278" s="16" t="n">
        <f aca="false">IFERROR(INDEX(BMWP_COL!$B$2:$B$103,MATCH($I278,BMWP_COL!$A$2:$A$103,0)),"No aplica")</f>
        <v>7</v>
      </c>
      <c r="O278" s="16"/>
    </row>
    <row r="279" customFormat="false" ht="14.25" hidden="false" customHeight="true" outlineLevel="0" collapsed="false">
      <c r="A279" s="39" t="n">
        <v>45638</v>
      </c>
      <c r="B279" s="16" t="s">
        <v>311</v>
      </c>
      <c r="C279" s="16" t="s">
        <v>312</v>
      </c>
      <c r="D279" s="16" t="s">
        <v>313</v>
      </c>
      <c r="E279" s="16" t="s">
        <v>314</v>
      </c>
      <c r="F279" s="16" t="s">
        <v>222</v>
      </c>
      <c r="G279" s="16" t="n">
        <v>4</v>
      </c>
      <c r="H279" s="16" t="s">
        <v>202</v>
      </c>
      <c r="I279" s="16" t="s">
        <v>316</v>
      </c>
      <c r="J279" s="16" t="s">
        <v>317</v>
      </c>
      <c r="K279" s="16" t="n">
        <v>1</v>
      </c>
      <c r="L279" s="40" t="n">
        <f aca="false">(K279/$Q$7)*100</f>
        <v>0.0189753320683112</v>
      </c>
      <c r="M279" s="16" t="s">
        <v>197</v>
      </c>
      <c r="N279" s="16" t="n">
        <f aca="false">IFERROR(INDEX(BMWP_COL!$B$2:$B$103,MATCH($I279,BMWP_COL!$A$2:$A$103,0)),"No aplica")</f>
        <v>7</v>
      </c>
      <c r="O279" s="16"/>
    </row>
    <row r="280" customFormat="false" ht="14.25" hidden="false" customHeight="true" outlineLevel="0" collapsed="false">
      <c r="A280" s="39" t="n">
        <v>45638</v>
      </c>
      <c r="B280" s="16" t="s">
        <v>311</v>
      </c>
      <c r="C280" s="16" t="s">
        <v>312</v>
      </c>
      <c r="D280" s="16" t="s">
        <v>313</v>
      </c>
      <c r="E280" s="16" t="s">
        <v>314</v>
      </c>
      <c r="F280" s="16" t="s">
        <v>222</v>
      </c>
      <c r="G280" s="16" t="n">
        <v>4</v>
      </c>
      <c r="H280" s="16" t="s">
        <v>202</v>
      </c>
      <c r="I280" s="16" t="s">
        <v>203</v>
      </c>
      <c r="J280" s="41" t="s">
        <v>204</v>
      </c>
      <c r="K280" s="16" t="n">
        <v>6</v>
      </c>
      <c r="L280" s="40" t="n">
        <f aca="false">(K280/$Q$7)*100</f>
        <v>0.113851992409867</v>
      </c>
      <c r="M280" s="16" t="s">
        <v>197</v>
      </c>
      <c r="N280" s="16" t="n">
        <f aca="false">IFERROR(INDEX(BMWP_COL!$B$2:$B$103,MATCH($I280,BMWP_COL!$A$2:$A$103,0)),"No aplica")</f>
        <v>2</v>
      </c>
      <c r="O280" s="16"/>
    </row>
    <row r="281" customFormat="false" ht="14.25" hidden="false" customHeight="true" outlineLevel="0" collapsed="false">
      <c r="A281" s="39" t="n">
        <v>45638</v>
      </c>
      <c r="B281" s="16" t="s">
        <v>311</v>
      </c>
      <c r="C281" s="16" t="s">
        <v>312</v>
      </c>
      <c r="D281" s="16" t="s">
        <v>318</v>
      </c>
      <c r="E281" s="16" t="s">
        <v>319</v>
      </c>
      <c r="F281" s="16" t="s">
        <v>222</v>
      </c>
      <c r="G281" s="16" t="n">
        <v>3</v>
      </c>
      <c r="H281" s="16" t="s">
        <v>280</v>
      </c>
      <c r="I281" s="16" t="s">
        <v>281</v>
      </c>
      <c r="J281" s="16" t="s">
        <v>282</v>
      </c>
      <c r="K281" s="16" t="n">
        <v>63</v>
      </c>
      <c r="L281" s="40" t="n">
        <f aca="false">(K281/$Q$7)*100</f>
        <v>1.19544592030361</v>
      </c>
      <c r="M281" s="16" t="s">
        <v>197</v>
      </c>
      <c r="N281" s="16" t="n">
        <f aca="false">IFERROR(INDEX(BMWP_COL!$B$2:$B$103,MATCH($I281,BMWP_COL!$A$2:$A$103,0)),"No aplica")</f>
        <v>6</v>
      </c>
      <c r="O281" s="16"/>
    </row>
    <row r="282" customFormat="false" ht="14.25" hidden="false" customHeight="true" outlineLevel="0" collapsed="false">
      <c r="A282" s="39" t="n">
        <v>45638</v>
      </c>
      <c r="B282" s="16" t="s">
        <v>311</v>
      </c>
      <c r="C282" s="16" t="s">
        <v>312</v>
      </c>
      <c r="D282" s="16" t="s">
        <v>318</v>
      </c>
      <c r="E282" s="16" t="s">
        <v>319</v>
      </c>
      <c r="F282" s="16" t="s">
        <v>222</v>
      </c>
      <c r="G282" s="16" t="n">
        <v>3</v>
      </c>
      <c r="H282" s="16" t="s">
        <v>198</v>
      </c>
      <c r="I282" s="16" t="s">
        <v>320</v>
      </c>
      <c r="J282" s="16" t="s">
        <v>321</v>
      </c>
      <c r="K282" s="16" t="n">
        <v>1</v>
      </c>
      <c r="L282" s="40" t="n">
        <f aca="false">(K282/$Q$7)*100</f>
        <v>0.0189753320683112</v>
      </c>
      <c r="M282" s="16" t="s">
        <v>201</v>
      </c>
      <c r="N282" s="16" t="n">
        <f aca="false">IFERROR(INDEX(BMWP_COL!$B$2:$B$103,MATCH($I282,BMWP_COL!$A$2:$A$103,0)),"No aplica")</f>
        <v>5</v>
      </c>
      <c r="O282" s="16"/>
    </row>
    <row r="283" customFormat="false" ht="14.25" hidden="false" customHeight="true" outlineLevel="0" collapsed="false">
      <c r="A283" s="39" t="n">
        <v>45638</v>
      </c>
      <c r="B283" s="16" t="s">
        <v>311</v>
      </c>
      <c r="C283" s="16" t="s">
        <v>312</v>
      </c>
      <c r="D283" s="16" t="s">
        <v>318</v>
      </c>
      <c r="E283" s="16" t="s">
        <v>319</v>
      </c>
      <c r="F283" s="16" t="s">
        <v>222</v>
      </c>
      <c r="G283" s="16" t="n">
        <v>3</v>
      </c>
      <c r="H283" s="16" t="s">
        <v>198</v>
      </c>
      <c r="I283" s="16" t="s">
        <v>205</v>
      </c>
      <c r="J283" s="16" t="s">
        <v>207</v>
      </c>
      <c r="K283" s="16" t="n">
        <v>2</v>
      </c>
      <c r="L283" s="40" t="n">
        <f aca="false">(K283/$Q$7)*100</f>
        <v>0.0379506641366224</v>
      </c>
      <c r="M283" s="16" t="s">
        <v>201</v>
      </c>
      <c r="N283" s="16" t="n">
        <f aca="false">IFERROR(INDEX(BMWP_COL!$B$2:$B$103,MATCH($I283,BMWP_COL!$A$2:$A$103,0)),"No aplica")</f>
        <v>8</v>
      </c>
      <c r="O283" s="16"/>
    </row>
    <row r="284" customFormat="false" ht="14.25" hidden="false" customHeight="true" outlineLevel="0" collapsed="false">
      <c r="A284" s="39" t="n">
        <v>45638</v>
      </c>
      <c r="B284" s="16" t="s">
        <v>311</v>
      </c>
      <c r="C284" s="16" t="s">
        <v>312</v>
      </c>
      <c r="D284" s="16" t="s">
        <v>318</v>
      </c>
      <c r="E284" s="16" t="s">
        <v>319</v>
      </c>
      <c r="F284" s="16" t="s">
        <v>222</v>
      </c>
      <c r="G284" s="16" t="n">
        <v>3</v>
      </c>
      <c r="H284" s="16" t="s">
        <v>214</v>
      </c>
      <c r="I284" s="16" t="s">
        <v>243</v>
      </c>
      <c r="J284" s="16" t="s">
        <v>244</v>
      </c>
      <c r="K284" s="16" t="n">
        <v>1</v>
      </c>
      <c r="L284" s="40" t="n">
        <f aca="false">(K284/$Q$7)*100</f>
        <v>0.0189753320683112</v>
      </c>
      <c r="M284" s="16" t="s">
        <v>201</v>
      </c>
      <c r="N284" s="16" t="n">
        <f aca="false">IFERROR(INDEX(BMWP_COL!$B$2:$B$103,MATCH($I284,BMWP_COL!$A$2:$A$103,0)),"No aplica")</f>
        <v>7</v>
      </c>
      <c r="O284" s="16"/>
    </row>
    <row r="285" customFormat="false" ht="14.25" hidden="false" customHeight="true" outlineLevel="0" collapsed="false">
      <c r="A285" s="39" t="n">
        <v>45638</v>
      </c>
      <c r="B285" s="16" t="s">
        <v>311</v>
      </c>
      <c r="C285" s="16" t="s">
        <v>312</v>
      </c>
      <c r="D285" s="16" t="s">
        <v>318</v>
      </c>
      <c r="E285" s="16" t="s">
        <v>319</v>
      </c>
      <c r="F285" s="16" t="s">
        <v>222</v>
      </c>
      <c r="G285" s="16" t="n">
        <v>3</v>
      </c>
      <c r="H285" s="16" t="s">
        <v>194</v>
      </c>
      <c r="I285" s="16" t="s">
        <v>195</v>
      </c>
      <c r="J285" s="16" t="s">
        <v>196</v>
      </c>
      <c r="K285" s="16" t="n">
        <v>1</v>
      </c>
      <c r="L285" s="40" t="n">
        <f aca="false">(K285/$Q$7)*100</f>
        <v>0.0189753320683112</v>
      </c>
      <c r="M285" s="16" t="s">
        <v>197</v>
      </c>
      <c r="N285" s="16" t="n">
        <f aca="false">IFERROR(INDEX(BMWP_COL!$B$2:$B$103,MATCH($I285,BMWP_COL!$A$2:$A$103,0)),"No aplica")</f>
        <v>8</v>
      </c>
      <c r="O285" s="16"/>
    </row>
    <row r="286" customFormat="false" ht="14.25" hidden="false" customHeight="true" outlineLevel="0" collapsed="false">
      <c r="A286" s="39" t="n">
        <v>45638</v>
      </c>
      <c r="B286" s="16" t="s">
        <v>311</v>
      </c>
      <c r="C286" s="16" t="s">
        <v>312</v>
      </c>
      <c r="D286" s="16" t="s">
        <v>318</v>
      </c>
      <c r="E286" s="16" t="s">
        <v>319</v>
      </c>
      <c r="F286" s="16" t="s">
        <v>222</v>
      </c>
      <c r="G286" s="16" t="n">
        <v>3</v>
      </c>
      <c r="H286" s="16" t="s">
        <v>208</v>
      </c>
      <c r="I286" s="16" t="s">
        <v>209</v>
      </c>
      <c r="J286" s="16" t="s">
        <v>212</v>
      </c>
      <c r="K286" s="16" t="n">
        <v>2</v>
      </c>
      <c r="L286" s="40" t="n">
        <f aca="false">(K286/$Q$7)*100</f>
        <v>0.0379506641366224</v>
      </c>
      <c r="M286" s="16" t="s">
        <v>197</v>
      </c>
      <c r="N286" s="16" t="n">
        <f aca="false">IFERROR(INDEX(BMWP_COL!$B$2:$B$103,MATCH($I286,BMWP_COL!$A$2:$A$103,0)),"No aplica")</f>
        <v>7</v>
      </c>
      <c r="O286" s="16"/>
    </row>
    <row r="287" customFormat="false" ht="14.25" hidden="false" customHeight="true" outlineLevel="0" collapsed="false">
      <c r="A287" s="39" t="n">
        <v>45638</v>
      </c>
      <c r="B287" s="16" t="s">
        <v>311</v>
      </c>
      <c r="C287" s="16" t="s">
        <v>312</v>
      </c>
      <c r="D287" s="16" t="s">
        <v>313</v>
      </c>
      <c r="E287" s="16" t="s">
        <v>322</v>
      </c>
      <c r="F287" s="16" t="s">
        <v>255</v>
      </c>
      <c r="G287" s="16" t="n">
        <v>4</v>
      </c>
      <c r="H287" s="16" t="s">
        <v>194</v>
      </c>
      <c r="I287" s="16" t="s">
        <v>238</v>
      </c>
      <c r="J287" s="16" t="s">
        <v>239</v>
      </c>
      <c r="K287" s="16" t="n">
        <v>1</v>
      </c>
      <c r="L287" s="40" t="n">
        <f aca="false">(K287/$Q$7)*100</f>
        <v>0.0189753320683112</v>
      </c>
      <c r="M287" s="16" t="s">
        <v>225</v>
      </c>
      <c r="N287" s="16" t="n">
        <f aca="false">IFERROR(INDEX(BMWP_COL!$B$2:$B$103,MATCH($I287,BMWP_COL!$A$2:$A$103,0)),"No aplica")</f>
        <v>10</v>
      </c>
      <c r="O287" s="16"/>
    </row>
    <row r="288" customFormat="false" ht="14.25" hidden="false" customHeight="true" outlineLevel="0" collapsed="false">
      <c r="A288" s="39" t="n">
        <v>45638</v>
      </c>
      <c r="B288" s="16" t="s">
        <v>311</v>
      </c>
      <c r="C288" s="16" t="s">
        <v>312</v>
      </c>
      <c r="D288" s="16" t="s">
        <v>313</v>
      </c>
      <c r="E288" s="16" t="s">
        <v>322</v>
      </c>
      <c r="F288" s="16" t="s">
        <v>255</v>
      </c>
      <c r="G288" s="16" t="n">
        <v>4</v>
      </c>
      <c r="H288" s="16" t="s">
        <v>323</v>
      </c>
      <c r="I288" s="16" t="s">
        <v>324</v>
      </c>
      <c r="J288" s="16" t="s">
        <v>324</v>
      </c>
      <c r="K288" s="16" t="n">
        <v>1</v>
      </c>
      <c r="L288" s="40" t="n">
        <f aca="false">(K288/$Q$7)*100</f>
        <v>0.0189753320683112</v>
      </c>
      <c r="M288" s="16" t="s">
        <v>211</v>
      </c>
      <c r="N288" s="16" t="n">
        <f aca="false">IFERROR(INDEX(BMWP_COL!$B$2:$B$103,MATCH($I288,BMWP_COL!$A$2:$A$103,0)),"No aplica")</f>
        <v>8</v>
      </c>
      <c r="O288" s="16" t="s">
        <v>325</v>
      </c>
    </row>
    <row r="289" customFormat="false" ht="14.25" hidden="false" customHeight="true" outlineLevel="0" collapsed="false">
      <c r="A289" s="39" t="n">
        <v>45638</v>
      </c>
      <c r="B289" s="16" t="s">
        <v>311</v>
      </c>
      <c r="C289" s="16" t="s">
        <v>312</v>
      </c>
      <c r="D289" s="16" t="s">
        <v>313</v>
      </c>
      <c r="E289" s="16" t="s">
        <v>322</v>
      </c>
      <c r="F289" s="16" t="s">
        <v>255</v>
      </c>
      <c r="G289" s="16" t="n">
        <v>4</v>
      </c>
      <c r="H289" s="16" t="s">
        <v>208</v>
      </c>
      <c r="I289" s="16" t="s">
        <v>209</v>
      </c>
      <c r="J289" s="16" t="s">
        <v>212</v>
      </c>
      <c r="K289" s="16" t="n">
        <v>6</v>
      </c>
      <c r="L289" s="40" t="n">
        <f aca="false">(K289/$Q$7)*100</f>
        <v>0.113851992409867</v>
      </c>
      <c r="M289" s="16" t="s">
        <v>197</v>
      </c>
      <c r="N289" s="16" t="n">
        <f aca="false">IFERROR(INDEX(BMWP_COL!$B$2:$B$103,MATCH($I289,BMWP_COL!$A$2:$A$103,0)),"No aplica")</f>
        <v>7</v>
      </c>
      <c r="O289" s="16"/>
    </row>
    <row r="290" customFormat="false" ht="14.25" hidden="false" customHeight="true" outlineLevel="0" collapsed="false">
      <c r="A290" s="39" t="n">
        <v>45638</v>
      </c>
      <c r="B290" s="16" t="s">
        <v>311</v>
      </c>
      <c r="C290" s="16" t="s">
        <v>312</v>
      </c>
      <c r="D290" s="16" t="s">
        <v>313</v>
      </c>
      <c r="E290" s="16" t="s">
        <v>322</v>
      </c>
      <c r="F290" s="16" t="s">
        <v>255</v>
      </c>
      <c r="G290" s="16" t="n">
        <v>4</v>
      </c>
      <c r="H290" s="16" t="s">
        <v>202</v>
      </c>
      <c r="I290" s="16" t="s">
        <v>203</v>
      </c>
      <c r="J290" s="41" t="s">
        <v>204</v>
      </c>
      <c r="K290" s="16" t="n">
        <v>6</v>
      </c>
      <c r="L290" s="40" t="n">
        <f aca="false">(K290/$Q$7)*100</f>
        <v>0.113851992409867</v>
      </c>
      <c r="M290" s="16" t="s">
        <v>197</v>
      </c>
      <c r="N290" s="16" t="n">
        <f aca="false">IFERROR(INDEX(BMWP_COL!$B$2:$B$103,MATCH($I290,BMWP_COL!$A$2:$A$103,0)),"No aplica")</f>
        <v>2</v>
      </c>
      <c r="O290" s="16"/>
    </row>
    <row r="291" customFormat="false" ht="14.25" hidden="false" customHeight="true" outlineLevel="0" collapsed="false">
      <c r="A291" s="39" t="n">
        <v>45638</v>
      </c>
      <c r="B291" s="16" t="s">
        <v>311</v>
      </c>
      <c r="C291" s="16" t="s">
        <v>312</v>
      </c>
      <c r="D291" s="16" t="s">
        <v>313</v>
      </c>
      <c r="E291" s="16" t="s">
        <v>322</v>
      </c>
      <c r="F291" s="16" t="s">
        <v>255</v>
      </c>
      <c r="G291" s="16" t="n">
        <v>4</v>
      </c>
      <c r="H291" s="16" t="s">
        <v>208</v>
      </c>
      <c r="I291" s="16" t="s">
        <v>247</v>
      </c>
      <c r="J291" s="16" t="s">
        <v>275</v>
      </c>
      <c r="K291" s="16" t="n">
        <v>1</v>
      </c>
      <c r="L291" s="40" t="n">
        <f aca="false">(K291/$Q$7)*100</f>
        <v>0.0189753320683112</v>
      </c>
      <c r="M291" s="16" t="s">
        <v>197</v>
      </c>
      <c r="N291" s="16" t="n">
        <f aca="false">IFERROR(INDEX(BMWP_COL!$B$2:$B$103,MATCH($I291,BMWP_COL!$A$2:$A$103,0)),"No aplica")</f>
        <v>9</v>
      </c>
      <c r="O291" s="16"/>
    </row>
    <row r="292" customFormat="false" ht="14.25" hidden="false" customHeight="true" outlineLevel="0" collapsed="false">
      <c r="A292" s="39" t="n">
        <v>45638</v>
      </c>
      <c r="B292" s="16" t="s">
        <v>311</v>
      </c>
      <c r="C292" s="16" t="s">
        <v>312</v>
      </c>
      <c r="D292" s="16" t="s">
        <v>313</v>
      </c>
      <c r="E292" s="16" t="s">
        <v>322</v>
      </c>
      <c r="F292" s="16" t="s">
        <v>255</v>
      </c>
      <c r="G292" s="16" t="n">
        <v>4</v>
      </c>
      <c r="H292" s="16" t="s">
        <v>280</v>
      </c>
      <c r="I292" s="16" t="s">
        <v>281</v>
      </c>
      <c r="J292" s="16" t="s">
        <v>282</v>
      </c>
      <c r="K292" s="16" t="n">
        <v>1</v>
      </c>
      <c r="L292" s="40" t="n">
        <f aca="false">(K292/$Q$7)*100</f>
        <v>0.0189753320683112</v>
      </c>
      <c r="M292" s="16" t="s">
        <v>197</v>
      </c>
      <c r="N292" s="16" t="n">
        <f aca="false">IFERROR(INDEX(BMWP_COL!$B$2:$B$103,MATCH($I292,BMWP_COL!$A$2:$A$103,0)),"No aplica")</f>
        <v>6</v>
      </c>
      <c r="O292" s="16"/>
    </row>
    <row r="293" customFormat="false" ht="14.25" hidden="false" customHeight="true" outlineLevel="0" collapsed="false">
      <c r="A293" s="39" t="n">
        <v>45638</v>
      </c>
      <c r="B293" s="16" t="s">
        <v>311</v>
      </c>
      <c r="C293" s="16" t="s">
        <v>312</v>
      </c>
      <c r="D293" s="16" t="s">
        <v>313</v>
      </c>
      <c r="E293" s="16" t="s">
        <v>322</v>
      </c>
      <c r="F293" s="16" t="s">
        <v>255</v>
      </c>
      <c r="G293" s="16" t="n">
        <v>4</v>
      </c>
      <c r="H293" s="16" t="s">
        <v>214</v>
      </c>
      <c r="I293" s="16" t="s">
        <v>262</v>
      </c>
      <c r="J293" s="16" t="s">
        <v>263</v>
      </c>
      <c r="K293" s="16" t="n">
        <v>1</v>
      </c>
      <c r="L293" s="40" t="n">
        <f aca="false">(K293/$Q$7)*100</f>
        <v>0.0189753320683112</v>
      </c>
      <c r="M293" s="16" t="s">
        <v>201</v>
      </c>
      <c r="N293" s="16" t="n">
        <f aca="false">IFERROR(INDEX(BMWP_COL!$B$2:$B$103,MATCH($I293,BMWP_COL!$A$2:$A$103,0)),"No aplica")</f>
        <v>7</v>
      </c>
      <c r="O293" s="16"/>
    </row>
    <row r="294" customFormat="false" ht="14.25" hidden="false" customHeight="true" outlineLevel="0" collapsed="false">
      <c r="A294" s="39" t="n">
        <v>45638</v>
      </c>
      <c r="B294" s="16" t="s">
        <v>311</v>
      </c>
      <c r="C294" s="16" t="s">
        <v>312</v>
      </c>
      <c r="D294" s="16" t="s">
        <v>313</v>
      </c>
      <c r="E294" s="16" t="s">
        <v>314</v>
      </c>
      <c r="F294" s="16" t="s">
        <v>277</v>
      </c>
      <c r="G294" s="16" t="n">
        <v>1</v>
      </c>
      <c r="H294" s="16" t="s">
        <v>280</v>
      </c>
      <c r="I294" s="16" t="s">
        <v>281</v>
      </c>
      <c r="J294" s="16" t="s">
        <v>282</v>
      </c>
      <c r="K294" s="16" t="n">
        <v>4</v>
      </c>
      <c r="L294" s="40" t="n">
        <f aca="false">(K294/$Q$7)*100</f>
        <v>0.0759013282732448</v>
      </c>
      <c r="M294" s="16" t="s">
        <v>197</v>
      </c>
      <c r="N294" s="16" t="n">
        <f aca="false">IFERROR(INDEX(BMWP_COL!$B$2:$B$103,MATCH($I294,BMWP_COL!$A$2:$A$103,0)),"No aplica")</f>
        <v>6</v>
      </c>
      <c r="O294" s="16"/>
    </row>
    <row r="295" customFormat="false" ht="14.25" hidden="false" customHeight="true" outlineLevel="0" collapsed="false">
      <c r="A295" s="39" t="n">
        <v>45638</v>
      </c>
      <c r="B295" s="16" t="s">
        <v>311</v>
      </c>
      <c r="C295" s="16" t="s">
        <v>312</v>
      </c>
      <c r="D295" s="16" t="s">
        <v>313</v>
      </c>
      <c r="E295" s="16" t="s">
        <v>314</v>
      </c>
      <c r="F295" s="16" t="s">
        <v>277</v>
      </c>
      <c r="G295" s="16" t="n">
        <v>1</v>
      </c>
      <c r="H295" s="16" t="s">
        <v>208</v>
      </c>
      <c r="I295" s="16" t="s">
        <v>209</v>
      </c>
      <c r="J295" s="16" t="s">
        <v>210</v>
      </c>
      <c r="K295" s="16" t="n">
        <v>1</v>
      </c>
      <c r="L295" s="40" t="n">
        <f aca="false">(K295/$Q$7)*100</f>
        <v>0.0189753320683112</v>
      </c>
      <c r="M295" s="16" t="s">
        <v>211</v>
      </c>
      <c r="N295" s="16" t="n">
        <f aca="false">IFERROR(INDEX(BMWP_COL!$B$2:$B$103,MATCH($I295,BMWP_COL!$A$2:$A$103,0)),"No aplica")</f>
        <v>7</v>
      </c>
      <c r="O295" s="16"/>
    </row>
    <row r="296" customFormat="false" ht="14.25" hidden="false" customHeight="true" outlineLevel="0" collapsed="false">
      <c r="A296" s="39" t="n">
        <v>45638</v>
      </c>
      <c r="B296" s="16" t="s">
        <v>311</v>
      </c>
      <c r="C296" s="16" t="s">
        <v>312</v>
      </c>
      <c r="D296" s="16" t="s">
        <v>313</v>
      </c>
      <c r="E296" s="16" t="s">
        <v>314</v>
      </c>
      <c r="F296" s="16" t="s">
        <v>277</v>
      </c>
      <c r="G296" s="16" t="n">
        <v>1</v>
      </c>
      <c r="H296" s="16" t="s">
        <v>202</v>
      </c>
      <c r="I296" s="16" t="s">
        <v>228</v>
      </c>
      <c r="J296" s="16" t="s">
        <v>229</v>
      </c>
      <c r="K296" s="16" t="n">
        <v>10</v>
      </c>
      <c r="L296" s="40" t="n">
        <f aca="false">(K296/$Q$7)*100</f>
        <v>0.189753320683112</v>
      </c>
      <c r="M296" s="16" t="s">
        <v>230</v>
      </c>
      <c r="N296" s="16" t="n">
        <f aca="false">IFERROR(INDEX(BMWP_COL!$B$2:$B$103,MATCH($I296,BMWP_COL!$A$2:$A$103,0)),"No aplica")</f>
        <v>8</v>
      </c>
      <c r="O296" s="16"/>
    </row>
    <row r="297" customFormat="false" ht="14.25" hidden="false" customHeight="true" outlineLevel="0" collapsed="false">
      <c r="A297" s="39" t="n">
        <v>45638</v>
      </c>
      <c r="B297" s="16" t="s">
        <v>311</v>
      </c>
      <c r="C297" s="16" t="s">
        <v>312</v>
      </c>
      <c r="D297" s="16" t="s">
        <v>313</v>
      </c>
      <c r="E297" s="16" t="s">
        <v>314</v>
      </c>
      <c r="F297" s="16" t="s">
        <v>277</v>
      </c>
      <c r="G297" s="16" t="n">
        <v>1</v>
      </c>
      <c r="H297" s="16" t="s">
        <v>208</v>
      </c>
      <c r="I297" s="16" t="s">
        <v>209</v>
      </c>
      <c r="J297" s="16" t="s">
        <v>212</v>
      </c>
      <c r="K297" s="16" t="n">
        <v>5</v>
      </c>
      <c r="L297" s="40" t="n">
        <f aca="false">(K297/$Q$7)*100</f>
        <v>0.094876660341556</v>
      </c>
      <c r="M297" s="16" t="s">
        <v>197</v>
      </c>
      <c r="N297" s="16" t="n">
        <f aca="false">IFERROR(INDEX(BMWP_COL!$B$2:$B$103,MATCH($I297,BMWP_COL!$A$2:$A$103,0)),"No aplica")</f>
        <v>7</v>
      </c>
      <c r="O297" s="16"/>
    </row>
    <row r="298" customFormat="false" ht="14.25" hidden="false" customHeight="true" outlineLevel="0" collapsed="false">
      <c r="A298" s="39" t="n">
        <v>45638</v>
      </c>
      <c r="B298" s="16" t="s">
        <v>311</v>
      </c>
      <c r="C298" s="16" t="s">
        <v>312</v>
      </c>
      <c r="D298" s="16" t="s">
        <v>313</v>
      </c>
      <c r="E298" s="16" t="s">
        <v>314</v>
      </c>
      <c r="F298" s="16" t="s">
        <v>277</v>
      </c>
      <c r="G298" s="16" t="n">
        <v>1</v>
      </c>
      <c r="H298" s="16" t="s">
        <v>202</v>
      </c>
      <c r="I298" s="16" t="s">
        <v>203</v>
      </c>
      <c r="J298" s="41" t="s">
        <v>204</v>
      </c>
      <c r="K298" s="16" t="n">
        <v>1</v>
      </c>
      <c r="L298" s="40" t="n">
        <f aca="false">(K298/$Q$7)*100</f>
        <v>0.0189753320683112</v>
      </c>
      <c r="M298" s="16" t="s">
        <v>197</v>
      </c>
      <c r="N298" s="16" t="n">
        <f aca="false">IFERROR(INDEX(BMWP_COL!$B$2:$B$103,MATCH($I298,BMWP_COL!$A$2:$A$103,0)),"No aplica")</f>
        <v>2</v>
      </c>
      <c r="O298" s="16"/>
    </row>
    <row r="299" customFormat="false" ht="14.25" hidden="false" customHeight="true" outlineLevel="0" collapsed="false">
      <c r="A299" s="39" t="n">
        <v>45638</v>
      </c>
      <c r="B299" s="16" t="s">
        <v>311</v>
      </c>
      <c r="C299" s="16" t="s">
        <v>312</v>
      </c>
      <c r="D299" s="16" t="s">
        <v>313</v>
      </c>
      <c r="E299" s="16" t="s">
        <v>314</v>
      </c>
      <c r="F299" s="16" t="s">
        <v>277</v>
      </c>
      <c r="G299" s="16" t="n">
        <v>1</v>
      </c>
      <c r="H299" s="16" t="s">
        <v>249</v>
      </c>
      <c r="I299" s="16" t="s">
        <v>250</v>
      </c>
      <c r="J299" s="16" t="s">
        <v>251</v>
      </c>
      <c r="K299" s="16" t="n">
        <v>4</v>
      </c>
      <c r="L299" s="40" t="n">
        <f aca="false">(K299/$Q$7)*100</f>
        <v>0.0759013282732448</v>
      </c>
      <c r="M299" s="16" t="s">
        <v>201</v>
      </c>
      <c r="N299" s="16" t="n">
        <f aca="false">IFERROR(INDEX(BMWP_COL!$B$2:$B$103,MATCH($I299,BMWP_COL!$A$2:$A$103,0)),"No aplica")</f>
        <v>10</v>
      </c>
      <c r="O299" s="16"/>
    </row>
    <row r="300" customFormat="false" ht="14.25" hidden="false" customHeight="true" outlineLevel="0" collapsed="false">
      <c r="A300" s="39" t="n">
        <v>45638</v>
      </c>
      <c r="B300" s="16" t="s">
        <v>311</v>
      </c>
      <c r="C300" s="16" t="s">
        <v>312</v>
      </c>
      <c r="D300" s="16" t="s">
        <v>313</v>
      </c>
      <c r="E300" s="16" t="s">
        <v>314</v>
      </c>
      <c r="F300" s="16" t="s">
        <v>277</v>
      </c>
      <c r="G300" s="16" t="n">
        <v>1</v>
      </c>
      <c r="H300" s="16" t="s">
        <v>208</v>
      </c>
      <c r="I300" s="16" t="s">
        <v>226</v>
      </c>
      <c r="J300" s="16" t="s">
        <v>297</v>
      </c>
      <c r="K300" s="16" t="n">
        <v>6</v>
      </c>
      <c r="L300" s="40" t="n">
        <f aca="false">(K300/$Q$7)*100</f>
        <v>0.113851992409867</v>
      </c>
      <c r="M300" s="16" t="s">
        <v>197</v>
      </c>
      <c r="N300" s="16" t="n">
        <f aca="false">IFERROR(INDEX(BMWP_COL!$B$2:$B$103,MATCH($I300,BMWP_COL!$A$2:$A$103,0)),"No aplica")</f>
        <v>7</v>
      </c>
      <c r="O300" s="16"/>
    </row>
    <row r="301" customFormat="false" ht="14.25" hidden="false" customHeight="true" outlineLevel="0" collapsed="false">
      <c r="A301" s="39" t="n">
        <v>45638</v>
      </c>
      <c r="B301" s="16" t="s">
        <v>311</v>
      </c>
      <c r="C301" s="16" t="s">
        <v>312</v>
      </c>
      <c r="D301" s="16" t="s">
        <v>313</v>
      </c>
      <c r="E301" s="16" t="s">
        <v>314</v>
      </c>
      <c r="F301" s="16" t="s">
        <v>277</v>
      </c>
      <c r="G301" s="16" t="n">
        <v>1</v>
      </c>
      <c r="H301" s="16" t="s">
        <v>208</v>
      </c>
      <c r="I301" s="16" t="s">
        <v>226</v>
      </c>
      <c r="J301" s="16" t="s">
        <v>227</v>
      </c>
      <c r="K301" s="16" t="n">
        <v>3</v>
      </c>
      <c r="L301" s="40" t="n">
        <f aca="false">(K301/$Q$7)*100</f>
        <v>0.0569259962049336</v>
      </c>
      <c r="M301" s="16" t="s">
        <v>197</v>
      </c>
      <c r="N301" s="16" t="n">
        <f aca="false">IFERROR(INDEX(BMWP_COL!$B$2:$B$103,MATCH($I301,BMWP_COL!$A$2:$A$103,0)),"No aplica")</f>
        <v>7</v>
      </c>
      <c r="O301" s="16"/>
    </row>
    <row r="302" customFormat="false" ht="14.25" hidden="false" customHeight="true" outlineLevel="0" collapsed="false">
      <c r="A302" s="39" t="n">
        <v>45638</v>
      </c>
      <c r="B302" s="16" t="s">
        <v>311</v>
      </c>
      <c r="C302" s="16" t="s">
        <v>312</v>
      </c>
      <c r="D302" s="16" t="s">
        <v>313</v>
      </c>
      <c r="E302" s="16" t="s">
        <v>314</v>
      </c>
      <c r="F302" s="16" t="s">
        <v>277</v>
      </c>
      <c r="G302" s="16" t="n">
        <v>1</v>
      </c>
      <c r="H302" s="16" t="s">
        <v>219</v>
      </c>
      <c r="I302" s="16" t="s">
        <v>220</v>
      </c>
      <c r="J302" s="16" t="s">
        <v>221</v>
      </c>
      <c r="K302" s="16" t="n">
        <v>6</v>
      </c>
      <c r="L302" s="40" t="n">
        <f aca="false">(K302/$Q$7)*100</f>
        <v>0.113851992409867</v>
      </c>
      <c r="M302" s="16" t="s">
        <v>197</v>
      </c>
      <c r="N302" s="16" t="n">
        <f aca="false">IFERROR(INDEX(BMWP_COL!$B$2:$B$103,MATCH($I302,BMWP_COL!$A$2:$A$103,0)),"No aplica")</f>
        <v>6</v>
      </c>
      <c r="O302" s="16"/>
    </row>
    <row r="303" customFormat="false" ht="14.25" hidden="false" customHeight="true" outlineLevel="0" collapsed="false">
      <c r="A303" s="39" t="n">
        <v>45638</v>
      </c>
      <c r="B303" s="16" t="s">
        <v>311</v>
      </c>
      <c r="C303" s="16" t="s">
        <v>312</v>
      </c>
      <c r="D303" s="16" t="s">
        <v>313</v>
      </c>
      <c r="E303" s="16" t="s">
        <v>314</v>
      </c>
      <c r="F303" s="16" t="s">
        <v>277</v>
      </c>
      <c r="G303" s="16" t="n">
        <v>1</v>
      </c>
      <c r="H303" s="16" t="s">
        <v>194</v>
      </c>
      <c r="I303" s="16" t="s">
        <v>223</v>
      </c>
      <c r="J303" s="16" t="s">
        <v>234</v>
      </c>
      <c r="K303" s="16" t="n">
        <v>1</v>
      </c>
      <c r="L303" s="40" t="n">
        <f aca="false">(K303/$Q$7)*100</f>
        <v>0.0189753320683112</v>
      </c>
      <c r="M303" s="16" t="s">
        <v>225</v>
      </c>
      <c r="N303" s="16" t="n">
        <f aca="false">IFERROR(INDEX(BMWP_COL!$B$2:$B$103,MATCH($I303,BMWP_COL!$A$2:$A$103,0)),"No aplica")</f>
        <v>7</v>
      </c>
      <c r="O303" s="16"/>
    </row>
    <row r="304" customFormat="false" ht="14.25" hidden="false" customHeight="true" outlineLevel="0" collapsed="false">
      <c r="A304" s="39" t="n">
        <v>45638</v>
      </c>
      <c r="B304" s="16" t="s">
        <v>311</v>
      </c>
      <c r="C304" s="16" t="s">
        <v>312</v>
      </c>
      <c r="D304" s="16" t="s">
        <v>313</v>
      </c>
      <c r="E304" s="16" t="s">
        <v>314</v>
      </c>
      <c r="F304" s="16" t="s">
        <v>277</v>
      </c>
      <c r="G304" s="16" t="n">
        <v>1</v>
      </c>
      <c r="H304" s="16" t="s">
        <v>208</v>
      </c>
      <c r="I304" s="16" t="s">
        <v>209</v>
      </c>
      <c r="J304" s="16" t="s">
        <v>210</v>
      </c>
      <c r="K304" s="16" t="n">
        <v>1</v>
      </c>
      <c r="L304" s="40" t="n">
        <f aca="false">(K304/$Q$7)*100</f>
        <v>0.0189753320683112</v>
      </c>
      <c r="M304" s="16" t="s">
        <v>211</v>
      </c>
      <c r="N304" s="16" t="n">
        <f aca="false">IFERROR(INDEX(BMWP_COL!$B$2:$B$103,MATCH($I304,BMWP_COL!$A$2:$A$103,0)),"No aplica")</f>
        <v>7</v>
      </c>
      <c r="O304" s="16"/>
    </row>
    <row r="305" customFormat="false" ht="14.25" hidden="false" customHeight="true" outlineLevel="0" collapsed="false">
      <c r="A305" s="39" t="n">
        <v>45638</v>
      </c>
      <c r="B305" s="16" t="s">
        <v>311</v>
      </c>
      <c r="C305" s="16" t="s">
        <v>312</v>
      </c>
      <c r="D305" s="16" t="s">
        <v>313</v>
      </c>
      <c r="E305" s="16" t="s">
        <v>314</v>
      </c>
      <c r="F305" s="16" t="s">
        <v>277</v>
      </c>
      <c r="G305" s="16" t="n">
        <v>2</v>
      </c>
      <c r="H305" s="16" t="s">
        <v>249</v>
      </c>
      <c r="I305" s="16" t="s">
        <v>250</v>
      </c>
      <c r="J305" s="16" t="s">
        <v>251</v>
      </c>
      <c r="K305" s="16" t="n">
        <v>4</v>
      </c>
      <c r="L305" s="40" t="n">
        <f aca="false">(K305/$Q$7)*100</f>
        <v>0.0759013282732448</v>
      </c>
      <c r="M305" s="16" t="s">
        <v>201</v>
      </c>
      <c r="N305" s="16" t="n">
        <f aca="false">IFERROR(INDEX(BMWP_COL!$B$2:$B$103,MATCH($I305,BMWP_COL!$A$2:$A$103,0)),"No aplica")</f>
        <v>10</v>
      </c>
      <c r="O305" s="16"/>
    </row>
    <row r="306" customFormat="false" ht="14.25" hidden="false" customHeight="true" outlineLevel="0" collapsed="false">
      <c r="A306" s="39" t="n">
        <v>45638</v>
      </c>
      <c r="B306" s="16" t="s">
        <v>311</v>
      </c>
      <c r="C306" s="16" t="s">
        <v>312</v>
      </c>
      <c r="D306" s="16" t="s">
        <v>313</v>
      </c>
      <c r="E306" s="16" t="s">
        <v>314</v>
      </c>
      <c r="F306" s="16" t="s">
        <v>277</v>
      </c>
      <c r="G306" s="16" t="n">
        <v>2</v>
      </c>
      <c r="H306" s="16" t="s">
        <v>208</v>
      </c>
      <c r="I306" s="16" t="s">
        <v>209</v>
      </c>
      <c r="J306" s="16" t="s">
        <v>212</v>
      </c>
      <c r="K306" s="16" t="n">
        <v>6</v>
      </c>
      <c r="L306" s="40" t="n">
        <f aca="false">(K306/$Q$7)*100</f>
        <v>0.113851992409867</v>
      </c>
      <c r="M306" s="16" t="s">
        <v>197</v>
      </c>
      <c r="N306" s="16" t="n">
        <f aca="false">IFERROR(INDEX(BMWP_COL!$B$2:$B$103,MATCH($I306,BMWP_COL!$A$2:$A$103,0)),"No aplica")</f>
        <v>7</v>
      </c>
      <c r="O306" s="16"/>
    </row>
    <row r="307" customFormat="false" ht="14.25" hidden="false" customHeight="true" outlineLevel="0" collapsed="false">
      <c r="A307" s="39" t="n">
        <v>45638</v>
      </c>
      <c r="B307" s="16" t="s">
        <v>311</v>
      </c>
      <c r="C307" s="16" t="s">
        <v>312</v>
      </c>
      <c r="D307" s="16" t="s">
        <v>313</v>
      </c>
      <c r="E307" s="16" t="s">
        <v>314</v>
      </c>
      <c r="F307" s="16" t="s">
        <v>277</v>
      </c>
      <c r="G307" s="16" t="n">
        <v>2</v>
      </c>
      <c r="H307" s="16" t="s">
        <v>198</v>
      </c>
      <c r="I307" s="16" t="s">
        <v>199</v>
      </c>
      <c r="J307" s="16" t="s">
        <v>200</v>
      </c>
      <c r="K307" s="16" t="n">
        <v>3</v>
      </c>
      <c r="L307" s="40" t="n">
        <f aca="false">(K307/$Q$7)*100</f>
        <v>0.0569259962049336</v>
      </c>
      <c r="M307" s="16" t="s">
        <v>201</v>
      </c>
      <c r="N307" s="16" t="n">
        <f aca="false">IFERROR(INDEX(BMWP_COL!$B$2:$B$103,MATCH($I307,BMWP_COL!$A$2:$A$103,0)),"No aplica")</f>
        <v>7</v>
      </c>
      <c r="O307" s="16"/>
    </row>
    <row r="308" customFormat="false" ht="14.25" hidden="false" customHeight="true" outlineLevel="0" collapsed="false">
      <c r="A308" s="39" t="n">
        <v>45638</v>
      </c>
      <c r="B308" s="16" t="s">
        <v>311</v>
      </c>
      <c r="C308" s="16" t="s">
        <v>312</v>
      </c>
      <c r="D308" s="16" t="s">
        <v>313</v>
      </c>
      <c r="E308" s="16" t="s">
        <v>314</v>
      </c>
      <c r="F308" s="16" t="s">
        <v>277</v>
      </c>
      <c r="G308" s="16" t="n">
        <v>2</v>
      </c>
      <c r="H308" s="16" t="s">
        <v>323</v>
      </c>
      <c r="I308" s="16" t="s">
        <v>324</v>
      </c>
      <c r="J308" s="16" t="s">
        <v>324</v>
      </c>
      <c r="K308" s="16" t="n">
        <v>1</v>
      </c>
      <c r="L308" s="40" t="n">
        <f aca="false">(K308/$Q$7)*100</f>
        <v>0.0189753320683112</v>
      </c>
      <c r="M308" s="16" t="s">
        <v>211</v>
      </c>
      <c r="N308" s="16" t="n">
        <f aca="false">IFERROR(INDEX(BMWP_COL!$B$2:$B$103,MATCH($I308,BMWP_COL!$A$2:$A$103,0)),"No aplica")</f>
        <v>8</v>
      </c>
      <c r="O308" s="16" t="s">
        <v>325</v>
      </c>
    </row>
    <row r="309" customFormat="false" ht="14.25" hidden="false" customHeight="true" outlineLevel="0" collapsed="false">
      <c r="A309" s="39" t="n">
        <v>45638</v>
      </c>
      <c r="B309" s="16" t="s">
        <v>311</v>
      </c>
      <c r="C309" s="16" t="s">
        <v>312</v>
      </c>
      <c r="D309" s="16" t="s">
        <v>313</v>
      </c>
      <c r="E309" s="16" t="s">
        <v>314</v>
      </c>
      <c r="F309" s="16" t="s">
        <v>277</v>
      </c>
      <c r="G309" s="16" t="n">
        <v>2</v>
      </c>
      <c r="H309" s="16" t="s">
        <v>219</v>
      </c>
      <c r="I309" s="16" t="s">
        <v>220</v>
      </c>
      <c r="J309" s="16" t="s">
        <v>221</v>
      </c>
      <c r="K309" s="16" t="n">
        <v>2</v>
      </c>
      <c r="L309" s="40" t="n">
        <f aca="false">(K309/$Q$7)*100</f>
        <v>0.0379506641366224</v>
      </c>
      <c r="M309" s="16" t="s">
        <v>197</v>
      </c>
      <c r="N309" s="16" t="n">
        <f aca="false">IFERROR(INDEX(BMWP_COL!$B$2:$B$103,MATCH($I309,BMWP_COL!$A$2:$A$103,0)),"No aplica")</f>
        <v>6</v>
      </c>
      <c r="O309" s="16"/>
    </row>
    <row r="310" customFormat="false" ht="14.25" hidden="false" customHeight="true" outlineLevel="0" collapsed="false">
      <c r="A310" s="39" t="n">
        <v>45638</v>
      </c>
      <c r="B310" s="16" t="s">
        <v>311</v>
      </c>
      <c r="C310" s="16" t="s">
        <v>312</v>
      </c>
      <c r="D310" s="16" t="s">
        <v>313</v>
      </c>
      <c r="E310" s="16" t="s">
        <v>314</v>
      </c>
      <c r="F310" s="16" t="s">
        <v>277</v>
      </c>
      <c r="G310" s="16" t="n">
        <v>2</v>
      </c>
      <c r="H310" s="16" t="s">
        <v>202</v>
      </c>
      <c r="I310" s="16" t="s">
        <v>228</v>
      </c>
      <c r="J310" s="16" t="s">
        <v>229</v>
      </c>
      <c r="K310" s="16" t="n">
        <v>2</v>
      </c>
      <c r="L310" s="40" t="n">
        <f aca="false">(K310/$Q$7)*100</f>
        <v>0.0379506641366224</v>
      </c>
      <c r="M310" s="16" t="s">
        <v>230</v>
      </c>
      <c r="N310" s="16" t="n">
        <f aca="false">IFERROR(INDEX(BMWP_COL!$B$2:$B$103,MATCH($I310,BMWP_COL!$A$2:$A$103,0)),"No aplica")</f>
        <v>8</v>
      </c>
      <c r="O310" s="16"/>
    </row>
    <row r="311" customFormat="false" ht="14.25" hidden="false" customHeight="true" outlineLevel="0" collapsed="false">
      <c r="A311" s="39" t="n">
        <v>45638</v>
      </c>
      <c r="B311" s="16" t="s">
        <v>311</v>
      </c>
      <c r="C311" s="16" t="s">
        <v>312</v>
      </c>
      <c r="D311" s="16" t="s">
        <v>313</v>
      </c>
      <c r="E311" s="16" t="s">
        <v>314</v>
      </c>
      <c r="F311" s="16" t="s">
        <v>277</v>
      </c>
      <c r="G311" s="16" t="n">
        <v>2</v>
      </c>
      <c r="H311" s="16" t="s">
        <v>202</v>
      </c>
      <c r="I311" s="16" t="s">
        <v>203</v>
      </c>
      <c r="J311" s="41" t="s">
        <v>204</v>
      </c>
      <c r="K311" s="16" t="n">
        <v>1</v>
      </c>
      <c r="L311" s="40" t="n">
        <f aca="false">(K311/$Q$7)*100</f>
        <v>0.0189753320683112</v>
      </c>
      <c r="M311" s="16" t="s">
        <v>197</v>
      </c>
      <c r="N311" s="16" t="n">
        <f aca="false">IFERROR(INDEX(BMWP_COL!$B$2:$B$103,MATCH($I311,BMWP_COL!$A$2:$A$103,0)),"No aplica")</f>
        <v>2</v>
      </c>
      <c r="O311" s="16"/>
    </row>
    <row r="312" customFormat="false" ht="14.25" hidden="false" customHeight="true" outlineLevel="0" collapsed="false">
      <c r="A312" s="39" t="n">
        <v>45638</v>
      </c>
      <c r="B312" s="16" t="s">
        <v>311</v>
      </c>
      <c r="C312" s="16" t="s">
        <v>312</v>
      </c>
      <c r="D312" s="16" t="s">
        <v>318</v>
      </c>
      <c r="E312" s="16" t="s">
        <v>319</v>
      </c>
      <c r="F312" s="16" t="s">
        <v>255</v>
      </c>
      <c r="G312" s="16" t="n">
        <v>3</v>
      </c>
      <c r="H312" s="16" t="s">
        <v>202</v>
      </c>
      <c r="I312" s="16" t="s">
        <v>203</v>
      </c>
      <c r="J312" s="41" t="s">
        <v>204</v>
      </c>
      <c r="K312" s="16" t="n">
        <v>1</v>
      </c>
      <c r="L312" s="40" t="n">
        <f aca="false">(K312/$Q$7)*100</f>
        <v>0.0189753320683112</v>
      </c>
      <c r="M312" s="16" t="s">
        <v>197</v>
      </c>
      <c r="N312" s="16" t="n">
        <f aca="false">IFERROR(INDEX(BMWP_COL!$B$2:$B$103,MATCH($I312,BMWP_COL!$A$2:$A$103,0)),"No aplica")</f>
        <v>2</v>
      </c>
      <c r="O312" s="16"/>
    </row>
    <row r="313" customFormat="false" ht="14.25" hidden="false" customHeight="true" outlineLevel="0" collapsed="false">
      <c r="A313" s="39" t="n">
        <v>45638</v>
      </c>
      <c r="B313" s="16" t="s">
        <v>311</v>
      </c>
      <c r="C313" s="16" t="s">
        <v>312</v>
      </c>
      <c r="D313" s="16" t="s">
        <v>318</v>
      </c>
      <c r="E313" s="16" t="s">
        <v>319</v>
      </c>
      <c r="F313" s="16" t="s">
        <v>255</v>
      </c>
      <c r="G313" s="16" t="n">
        <v>3</v>
      </c>
      <c r="H313" s="16" t="s">
        <v>208</v>
      </c>
      <c r="I313" s="16" t="s">
        <v>226</v>
      </c>
      <c r="J313" s="16" t="s">
        <v>297</v>
      </c>
      <c r="K313" s="16" t="n">
        <v>1</v>
      </c>
      <c r="L313" s="40" t="n">
        <f aca="false">(K313/$Q$7)*100</f>
        <v>0.0189753320683112</v>
      </c>
      <c r="M313" s="16" t="s">
        <v>197</v>
      </c>
      <c r="N313" s="16" t="n">
        <f aca="false">IFERROR(INDEX(BMWP_COL!$B$2:$B$103,MATCH($I313,BMWP_COL!$A$2:$A$103,0)),"No aplica")</f>
        <v>7</v>
      </c>
      <c r="O313" s="16"/>
    </row>
    <row r="314" customFormat="false" ht="14.25" hidden="false" customHeight="true" outlineLevel="0" collapsed="false">
      <c r="A314" s="39" t="n">
        <v>45638</v>
      </c>
      <c r="B314" s="16" t="s">
        <v>311</v>
      </c>
      <c r="C314" s="16" t="s">
        <v>312</v>
      </c>
      <c r="D314" s="16" t="s">
        <v>318</v>
      </c>
      <c r="E314" s="16" t="s">
        <v>319</v>
      </c>
      <c r="F314" s="16" t="s">
        <v>255</v>
      </c>
      <c r="G314" s="16" t="n">
        <v>3</v>
      </c>
      <c r="H314" s="16" t="s">
        <v>202</v>
      </c>
      <c r="I314" s="16" t="s">
        <v>228</v>
      </c>
      <c r="J314" s="16" t="s">
        <v>229</v>
      </c>
      <c r="K314" s="16" t="n">
        <v>1</v>
      </c>
      <c r="L314" s="40" t="n">
        <f aca="false">(K314/$Q$7)*100</f>
        <v>0.0189753320683112</v>
      </c>
      <c r="M314" s="16" t="s">
        <v>230</v>
      </c>
      <c r="N314" s="16" t="n">
        <f aca="false">IFERROR(INDEX(BMWP_COL!$B$2:$B$103,MATCH($I314,BMWP_COL!$A$2:$A$103,0)),"No aplica")</f>
        <v>8</v>
      </c>
      <c r="O314" s="16"/>
    </row>
    <row r="315" customFormat="false" ht="14.25" hidden="false" customHeight="true" outlineLevel="0" collapsed="false">
      <c r="A315" s="39" t="n">
        <v>45638</v>
      </c>
      <c r="B315" s="16" t="s">
        <v>311</v>
      </c>
      <c r="C315" s="16" t="s">
        <v>312</v>
      </c>
      <c r="D315" s="16" t="s">
        <v>318</v>
      </c>
      <c r="E315" s="16" t="s">
        <v>319</v>
      </c>
      <c r="F315" s="16" t="s">
        <v>255</v>
      </c>
      <c r="G315" s="16" t="n">
        <v>3</v>
      </c>
      <c r="H315" s="16" t="s">
        <v>280</v>
      </c>
      <c r="I315" s="16" t="s">
        <v>281</v>
      </c>
      <c r="J315" s="16" t="s">
        <v>282</v>
      </c>
      <c r="K315" s="16" t="n">
        <v>1</v>
      </c>
      <c r="L315" s="40" t="n">
        <f aca="false">(K315/$Q$7)*100</f>
        <v>0.0189753320683112</v>
      </c>
      <c r="M315" s="16" t="s">
        <v>197</v>
      </c>
      <c r="N315" s="16" t="n">
        <f aca="false">IFERROR(INDEX(BMWP_COL!$B$2:$B$103,MATCH($I315,BMWP_COL!$A$2:$A$103,0)),"No aplica")</f>
        <v>6</v>
      </c>
      <c r="O315" s="16"/>
    </row>
    <row r="316" customFormat="false" ht="14.25" hidden="false" customHeight="true" outlineLevel="0" collapsed="false">
      <c r="A316" s="39" t="n">
        <v>45638</v>
      </c>
      <c r="B316" s="16" t="s">
        <v>311</v>
      </c>
      <c r="C316" s="16" t="s">
        <v>312</v>
      </c>
      <c r="D316" s="16" t="s">
        <v>318</v>
      </c>
      <c r="E316" s="16" t="s">
        <v>319</v>
      </c>
      <c r="F316" s="16" t="s">
        <v>255</v>
      </c>
      <c r="G316" s="16" t="n">
        <v>3</v>
      </c>
      <c r="H316" s="16" t="s">
        <v>240</v>
      </c>
      <c r="I316" s="16" t="s">
        <v>241</v>
      </c>
      <c r="J316" s="16" t="s">
        <v>242</v>
      </c>
      <c r="K316" s="16" t="n">
        <v>1</v>
      </c>
      <c r="L316" s="40" t="n">
        <f aca="false">(K316/$Q$7)*100</f>
        <v>0.0189753320683112</v>
      </c>
      <c r="M316" s="16" t="s">
        <v>211</v>
      </c>
      <c r="N316" s="16" t="n">
        <f aca="false">IFERROR(INDEX(BMWP_COL!$B$2:$B$103,MATCH($I316,BMWP_COL!$A$2:$A$103,0)),"No aplica")</f>
        <v>5</v>
      </c>
      <c r="O316" s="16"/>
    </row>
    <row r="317" customFormat="false" ht="14.25" hidden="false" customHeight="true" outlineLevel="0" collapsed="false">
      <c r="A317" s="39" t="n">
        <v>45638</v>
      </c>
      <c r="B317" s="16" t="s">
        <v>311</v>
      </c>
      <c r="C317" s="16" t="s">
        <v>312</v>
      </c>
      <c r="D317" s="16" t="s">
        <v>318</v>
      </c>
      <c r="E317" s="16" t="s">
        <v>319</v>
      </c>
      <c r="F317" s="16" t="s">
        <v>255</v>
      </c>
      <c r="G317" s="16" t="n">
        <v>3</v>
      </c>
      <c r="H317" s="16" t="s">
        <v>208</v>
      </c>
      <c r="I317" s="16" t="s">
        <v>209</v>
      </c>
      <c r="J317" s="16" t="s">
        <v>212</v>
      </c>
      <c r="K317" s="16" t="n">
        <v>2</v>
      </c>
      <c r="L317" s="40" t="n">
        <f aca="false">(K317/$Q$7)*100</f>
        <v>0.0379506641366224</v>
      </c>
      <c r="M317" s="16" t="s">
        <v>197</v>
      </c>
      <c r="N317" s="16" t="n">
        <f aca="false">IFERROR(INDEX(BMWP_COL!$B$2:$B$103,MATCH($I317,BMWP_COL!$A$2:$A$103,0)),"No aplica")</f>
        <v>7</v>
      </c>
      <c r="O317" s="16"/>
    </row>
    <row r="318" customFormat="false" ht="14.25" hidden="false" customHeight="true" outlineLevel="0" collapsed="false">
      <c r="A318" s="39" t="n">
        <v>45638</v>
      </c>
      <c r="B318" s="16" t="s">
        <v>311</v>
      </c>
      <c r="C318" s="16" t="s">
        <v>312</v>
      </c>
      <c r="D318" s="16" t="s">
        <v>318</v>
      </c>
      <c r="E318" s="16" t="s">
        <v>319</v>
      </c>
      <c r="F318" s="16" t="s">
        <v>193</v>
      </c>
      <c r="G318" s="16" t="n">
        <v>4</v>
      </c>
      <c r="H318" s="16" t="s">
        <v>198</v>
      </c>
      <c r="I318" s="16" t="s">
        <v>205</v>
      </c>
      <c r="J318" s="16" t="s">
        <v>207</v>
      </c>
      <c r="K318" s="16" t="n">
        <v>1</v>
      </c>
      <c r="L318" s="40" t="n">
        <f aca="false">(K318/$Q$7)*100</f>
        <v>0.0189753320683112</v>
      </c>
      <c r="M318" s="16" t="s">
        <v>201</v>
      </c>
      <c r="N318" s="16" t="n">
        <f aca="false">IFERROR(INDEX(BMWP_COL!$B$2:$B$103,MATCH($I318,BMWP_COL!$A$2:$A$103,0)),"No aplica")</f>
        <v>8</v>
      </c>
      <c r="O318" s="16"/>
    </row>
    <row r="319" customFormat="false" ht="14.25" hidden="false" customHeight="true" outlineLevel="0" collapsed="false">
      <c r="A319" s="39" t="n">
        <v>45638</v>
      </c>
      <c r="B319" s="16" t="s">
        <v>311</v>
      </c>
      <c r="C319" s="16" t="s">
        <v>312</v>
      </c>
      <c r="D319" s="16" t="s">
        <v>318</v>
      </c>
      <c r="E319" s="16" t="s">
        <v>319</v>
      </c>
      <c r="F319" s="16" t="s">
        <v>193</v>
      </c>
      <c r="G319" s="16" t="n">
        <v>4</v>
      </c>
      <c r="H319" s="16" t="s">
        <v>202</v>
      </c>
      <c r="I319" s="16" t="s">
        <v>228</v>
      </c>
      <c r="J319" s="16" t="s">
        <v>229</v>
      </c>
      <c r="K319" s="16" t="n">
        <v>2</v>
      </c>
      <c r="L319" s="40" t="n">
        <f aca="false">(K319/$Q$7)*100</f>
        <v>0.0379506641366224</v>
      </c>
      <c r="M319" s="16" t="s">
        <v>230</v>
      </c>
      <c r="N319" s="16" t="n">
        <f aca="false">IFERROR(INDEX(BMWP_COL!$B$2:$B$103,MATCH($I319,BMWP_COL!$A$2:$A$103,0)),"No aplica")</f>
        <v>8</v>
      </c>
      <c r="O319" s="16"/>
    </row>
    <row r="320" customFormat="false" ht="14.25" hidden="false" customHeight="true" outlineLevel="0" collapsed="false">
      <c r="A320" s="39" t="n">
        <v>45638</v>
      </c>
      <c r="B320" s="16" t="s">
        <v>311</v>
      </c>
      <c r="C320" s="16" t="s">
        <v>312</v>
      </c>
      <c r="D320" s="16" t="s">
        <v>318</v>
      </c>
      <c r="E320" s="16" t="s">
        <v>319</v>
      </c>
      <c r="F320" s="16" t="s">
        <v>193</v>
      </c>
      <c r="G320" s="16" t="n">
        <v>4</v>
      </c>
      <c r="H320" s="16" t="s">
        <v>208</v>
      </c>
      <c r="I320" s="16" t="s">
        <v>209</v>
      </c>
      <c r="J320" s="16" t="s">
        <v>212</v>
      </c>
      <c r="K320" s="16" t="n">
        <v>3</v>
      </c>
      <c r="L320" s="40" t="n">
        <f aca="false">(K320/$Q$7)*100</f>
        <v>0.0569259962049336</v>
      </c>
      <c r="M320" s="16" t="s">
        <v>197</v>
      </c>
      <c r="N320" s="16" t="n">
        <f aca="false">IFERROR(INDEX(BMWP_COL!$B$2:$B$103,MATCH($I320,BMWP_COL!$A$2:$A$103,0)),"No aplica")</f>
        <v>7</v>
      </c>
      <c r="O320" s="16"/>
    </row>
    <row r="321" customFormat="false" ht="14.25" hidden="false" customHeight="true" outlineLevel="0" collapsed="false">
      <c r="A321" s="39" t="n">
        <v>45638</v>
      </c>
      <c r="B321" s="16" t="s">
        <v>311</v>
      </c>
      <c r="C321" s="16" t="s">
        <v>312</v>
      </c>
      <c r="D321" s="16" t="s">
        <v>318</v>
      </c>
      <c r="E321" s="16" t="s">
        <v>319</v>
      </c>
      <c r="F321" s="16" t="s">
        <v>222</v>
      </c>
      <c r="G321" s="16" t="n">
        <v>1</v>
      </c>
      <c r="H321" s="16" t="s">
        <v>249</v>
      </c>
      <c r="I321" s="16" t="s">
        <v>250</v>
      </c>
      <c r="J321" s="16" t="s">
        <v>251</v>
      </c>
      <c r="K321" s="16" t="n">
        <v>1</v>
      </c>
      <c r="L321" s="40" t="n">
        <f aca="false">(K321/$Q$7)*100</f>
        <v>0.0189753320683112</v>
      </c>
      <c r="M321" s="16" t="s">
        <v>201</v>
      </c>
      <c r="N321" s="16" t="n">
        <f aca="false">IFERROR(INDEX(BMWP_COL!$B$2:$B$103,MATCH($I321,BMWP_COL!$A$2:$A$103,0)),"No aplica")</f>
        <v>10</v>
      </c>
      <c r="O321" s="16"/>
    </row>
    <row r="322" customFormat="false" ht="14.25" hidden="false" customHeight="true" outlineLevel="0" collapsed="false">
      <c r="A322" s="39" t="n">
        <v>45638</v>
      </c>
      <c r="B322" s="16" t="s">
        <v>311</v>
      </c>
      <c r="C322" s="16" t="s">
        <v>312</v>
      </c>
      <c r="D322" s="16" t="s">
        <v>318</v>
      </c>
      <c r="E322" s="16" t="s">
        <v>319</v>
      </c>
      <c r="F322" s="16" t="s">
        <v>222</v>
      </c>
      <c r="G322" s="16" t="n">
        <v>1</v>
      </c>
      <c r="H322" s="16" t="s">
        <v>198</v>
      </c>
      <c r="I322" s="16" t="s">
        <v>199</v>
      </c>
      <c r="J322" s="16" t="s">
        <v>200</v>
      </c>
      <c r="K322" s="16" t="n">
        <v>3</v>
      </c>
      <c r="L322" s="40" t="n">
        <f aca="false">(K322/$Q$7)*100</f>
        <v>0.0569259962049336</v>
      </c>
      <c r="M322" s="16" t="s">
        <v>201</v>
      </c>
      <c r="N322" s="16" t="n">
        <f aca="false">IFERROR(INDEX(BMWP_COL!$B$2:$B$103,MATCH($I322,BMWP_COL!$A$2:$A$103,0)),"No aplica")</f>
        <v>7</v>
      </c>
      <c r="O322" s="16"/>
    </row>
    <row r="323" customFormat="false" ht="14.25" hidden="false" customHeight="true" outlineLevel="0" collapsed="false">
      <c r="A323" s="39" t="n">
        <v>45638</v>
      </c>
      <c r="B323" s="16" t="s">
        <v>311</v>
      </c>
      <c r="C323" s="16" t="s">
        <v>312</v>
      </c>
      <c r="D323" s="16" t="s">
        <v>318</v>
      </c>
      <c r="E323" s="16" t="s">
        <v>319</v>
      </c>
      <c r="F323" s="16" t="s">
        <v>222</v>
      </c>
      <c r="G323" s="16" t="n">
        <v>1</v>
      </c>
      <c r="H323" s="16" t="s">
        <v>194</v>
      </c>
      <c r="I323" s="16" t="s">
        <v>195</v>
      </c>
      <c r="J323" s="16" t="s">
        <v>196</v>
      </c>
      <c r="K323" s="16" t="n">
        <v>1</v>
      </c>
      <c r="L323" s="40" t="n">
        <f aca="false">(K323/$Q$7)*100</f>
        <v>0.0189753320683112</v>
      </c>
      <c r="M323" s="16" t="s">
        <v>197</v>
      </c>
      <c r="N323" s="16" t="n">
        <f aca="false">IFERROR(INDEX(BMWP_COL!$B$2:$B$103,MATCH($I323,BMWP_COL!$A$2:$A$103,0)),"No aplica")</f>
        <v>8</v>
      </c>
      <c r="O323" s="16"/>
    </row>
    <row r="324" customFormat="false" ht="14.25" hidden="false" customHeight="true" outlineLevel="0" collapsed="false">
      <c r="A324" s="39" t="n">
        <v>45638</v>
      </c>
      <c r="B324" s="16" t="s">
        <v>311</v>
      </c>
      <c r="C324" s="16" t="s">
        <v>312</v>
      </c>
      <c r="D324" s="16" t="s">
        <v>318</v>
      </c>
      <c r="E324" s="16" t="s">
        <v>319</v>
      </c>
      <c r="F324" s="16" t="s">
        <v>222</v>
      </c>
      <c r="G324" s="16" t="n">
        <v>1</v>
      </c>
      <c r="H324" s="16" t="s">
        <v>249</v>
      </c>
      <c r="I324" s="16" t="s">
        <v>250</v>
      </c>
      <c r="J324" s="16" t="s">
        <v>251</v>
      </c>
      <c r="K324" s="16" t="n">
        <v>3</v>
      </c>
      <c r="L324" s="40" t="n">
        <f aca="false">(K324/$Q$7)*100</f>
        <v>0.0569259962049336</v>
      </c>
      <c r="M324" s="16" t="s">
        <v>201</v>
      </c>
      <c r="N324" s="16" t="n">
        <f aca="false">IFERROR(INDEX(BMWP_COL!$B$2:$B$103,MATCH($I324,BMWP_COL!$A$2:$A$103,0)),"No aplica")</f>
        <v>10</v>
      </c>
      <c r="O324" s="16"/>
    </row>
    <row r="325" customFormat="false" ht="14.25" hidden="false" customHeight="true" outlineLevel="0" collapsed="false">
      <c r="A325" s="39" t="n">
        <v>45638</v>
      </c>
      <c r="B325" s="16" t="s">
        <v>311</v>
      </c>
      <c r="C325" s="16" t="s">
        <v>312</v>
      </c>
      <c r="D325" s="16" t="s">
        <v>318</v>
      </c>
      <c r="E325" s="16" t="s">
        <v>319</v>
      </c>
      <c r="F325" s="16" t="s">
        <v>222</v>
      </c>
      <c r="G325" s="16" t="n">
        <v>1</v>
      </c>
      <c r="H325" s="16" t="s">
        <v>214</v>
      </c>
      <c r="I325" s="16" t="s">
        <v>215</v>
      </c>
      <c r="J325" s="16" t="s">
        <v>216</v>
      </c>
      <c r="K325" s="16" t="n">
        <v>1</v>
      </c>
      <c r="L325" s="40" t="n">
        <f aca="false">(K325/$Q$7)*100</f>
        <v>0.0189753320683112</v>
      </c>
      <c r="M325" s="16" t="s">
        <v>201</v>
      </c>
      <c r="N325" s="16" t="n">
        <f aca="false">IFERROR(INDEX(BMWP_COL!$B$2:$B$103,MATCH($I325,BMWP_COL!$A$2:$A$103,0)),"No aplica")</f>
        <v>10</v>
      </c>
      <c r="O325" s="16"/>
    </row>
    <row r="326" customFormat="false" ht="14.25" hidden="false" customHeight="true" outlineLevel="0" collapsed="false">
      <c r="A326" s="39" t="n">
        <v>45638</v>
      </c>
      <c r="B326" s="16" t="s">
        <v>311</v>
      </c>
      <c r="C326" s="16" t="s">
        <v>312</v>
      </c>
      <c r="D326" s="16" t="s">
        <v>318</v>
      </c>
      <c r="E326" s="16" t="s">
        <v>319</v>
      </c>
      <c r="F326" s="16" t="s">
        <v>222</v>
      </c>
      <c r="G326" s="16" t="n">
        <v>1</v>
      </c>
      <c r="H326" s="16" t="s">
        <v>208</v>
      </c>
      <c r="I326" s="16" t="s">
        <v>209</v>
      </c>
      <c r="J326" s="16" t="s">
        <v>212</v>
      </c>
      <c r="K326" s="16" t="n">
        <v>17</v>
      </c>
      <c r="L326" s="40" t="n">
        <f aca="false">(K326/$Q$7)*100</f>
        <v>0.32258064516129</v>
      </c>
      <c r="M326" s="16" t="s">
        <v>197</v>
      </c>
      <c r="N326" s="16" t="n">
        <f aca="false">IFERROR(INDEX(BMWP_COL!$B$2:$B$103,MATCH($I326,BMWP_COL!$A$2:$A$103,0)),"No aplica")</f>
        <v>7</v>
      </c>
      <c r="O326" s="16"/>
    </row>
    <row r="327" customFormat="false" ht="14.25" hidden="false" customHeight="true" outlineLevel="0" collapsed="false">
      <c r="A327" s="39" t="n">
        <v>45638</v>
      </c>
      <c r="B327" s="16" t="s">
        <v>311</v>
      </c>
      <c r="C327" s="16" t="s">
        <v>312</v>
      </c>
      <c r="D327" s="16" t="s">
        <v>318</v>
      </c>
      <c r="E327" s="16" t="s">
        <v>319</v>
      </c>
      <c r="F327" s="16" t="s">
        <v>222</v>
      </c>
      <c r="G327" s="16" t="n">
        <v>1</v>
      </c>
      <c r="H327" s="16" t="s">
        <v>194</v>
      </c>
      <c r="I327" s="16" t="s">
        <v>195</v>
      </c>
      <c r="J327" s="16" t="s">
        <v>295</v>
      </c>
      <c r="K327" s="16" t="n">
        <v>1</v>
      </c>
      <c r="L327" s="40" t="n">
        <f aca="false">(K327/$Q$7)*100</f>
        <v>0.0189753320683112</v>
      </c>
      <c r="M327" s="16" t="s">
        <v>201</v>
      </c>
      <c r="N327" s="16" t="n">
        <f aca="false">IFERROR(INDEX(BMWP_COL!$B$2:$B$103,MATCH($I327,BMWP_COL!$A$2:$A$103,0)),"No aplica")</f>
        <v>8</v>
      </c>
      <c r="O327" s="16"/>
    </row>
    <row r="328" customFormat="false" ht="14.25" hidden="false" customHeight="true" outlineLevel="0" collapsed="false">
      <c r="A328" s="39" t="n">
        <v>45638</v>
      </c>
      <c r="B328" s="16" t="s">
        <v>311</v>
      </c>
      <c r="C328" s="16" t="s">
        <v>312</v>
      </c>
      <c r="D328" s="16" t="s">
        <v>318</v>
      </c>
      <c r="E328" s="16" t="s">
        <v>319</v>
      </c>
      <c r="F328" s="16" t="s">
        <v>222</v>
      </c>
      <c r="G328" s="16" t="n">
        <v>1</v>
      </c>
      <c r="H328" s="16" t="s">
        <v>194</v>
      </c>
      <c r="I328" s="16" t="s">
        <v>223</v>
      </c>
      <c r="J328" s="16" t="s">
        <v>224</v>
      </c>
      <c r="K328" s="16" t="n">
        <v>5</v>
      </c>
      <c r="L328" s="40" t="n">
        <f aca="false">(K328/$Q$7)*100</f>
        <v>0.094876660341556</v>
      </c>
      <c r="M328" s="16" t="s">
        <v>225</v>
      </c>
      <c r="N328" s="16" t="n">
        <f aca="false">IFERROR(INDEX(BMWP_COL!$B$2:$B$103,MATCH($I328,BMWP_COL!$A$2:$A$103,0)),"No aplica")</f>
        <v>7</v>
      </c>
      <c r="O328" s="16"/>
    </row>
    <row r="329" customFormat="false" ht="14.25" hidden="false" customHeight="true" outlineLevel="0" collapsed="false">
      <c r="A329" s="39" t="n">
        <v>45638</v>
      </c>
      <c r="B329" s="16" t="s">
        <v>311</v>
      </c>
      <c r="C329" s="16" t="s">
        <v>312</v>
      </c>
      <c r="D329" s="16" t="s">
        <v>318</v>
      </c>
      <c r="E329" s="16" t="s">
        <v>319</v>
      </c>
      <c r="F329" s="16" t="s">
        <v>222</v>
      </c>
      <c r="G329" s="16" t="n">
        <v>1</v>
      </c>
      <c r="H329" s="16" t="s">
        <v>194</v>
      </c>
      <c r="I329" s="16" t="s">
        <v>223</v>
      </c>
      <c r="J329" s="16" t="s">
        <v>234</v>
      </c>
      <c r="K329" s="16" t="n">
        <v>5</v>
      </c>
      <c r="L329" s="40" t="n">
        <f aca="false">(K329/$Q$7)*100</f>
        <v>0.094876660341556</v>
      </c>
      <c r="M329" s="16" t="s">
        <v>225</v>
      </c>
      <c r="N329" s="16" t="n">
        <f aca="false">IFERROR(INDEX(BMWP_COL!$B$2:$B$103,MATCH($I329,BMWP_COL!$A$2:$A$103,0)),"No aplica")</f>
        <v>7</v>
      </c>
      <c r="O329" s="16"/>
    </row>
    <row r="330" customFormat="false" ht="14.25" hidden="false" customHeight="true" outlineLevel="0" collapsed="false">
      <c r="A330" s="39" t="n">
        <v>45638</v>
      </c>
      <c r="B330" s="16" t="s">
        <v>311</v>
      </c>
      <c r="C330" s="16" t="s">
        <v>312</v>
      </c>
      <c r="D330" s="16" t="s">
        <v>318</v>
      </c>
      <c r="E330" s="16" t="s">
        <v>319</v>
      </c>
      <c r="F330" s="16" t="s">
        <v>222</v>
      </c>
      <c r="G330" s="16" t="n">
        <v>1</v>
      </c>
      <c r="H330" s="16" t="s">
        <v>240</v>
      </c>
      <c r="I330" s="16" t="s">
        <v>241</v>
      </c>
      <c r="J330" s="16" t="s">
        <v>242</v>
      </c>
      <c r="K330" s="16" t="n">
        <v>7</v>
      </c>
      <c r="L330" s="40" t="n">
        <f aca="false">(K330/$Q$7)*100</f>
        <v>0.132827324478178</v>
      </c>
      <c r="M330" s="16" t="s">
        <v>211</v>
      </c>
      <c r="N330" s="16" t="n">
        <f aca="false">IFERROR(INDEX(BMWP_COL!$B$2:$B$103,MATCH($I330,BMWP_COL!$A$2:$A$103,0)),"No aplica")</f>
        <v>5</v>
      </c>
      <c r="O330" s="16"/>
    </row>
    <row r="331" customFormat="false" ht="14.25" hidden="false" customHeight="true" outlineLevel="0" collapsed="false">
      <c r="A331" s="39" t="n">
        <v>45638</v>
      </c>
      <c r="B331" s="16" t="s">
        <v>311</v>
      </c>
      <c r="C331" s="16" t="s">
        <v>312</v>
      </c>
      <c r="D331" s="16" t="s">
        <v>318</v>
      </c>
      <c r="E331" s="16" t="s">
        <v>319</v>
      </c>
      <c r="F331" s="16" t="s">
        <v>222</v>
      </c>
      <c r="G331" s="16" t="n">
        <v>1</v>
      </c>
      <c r="H331" s="16" t="s">
        <v>208</v>
      </c>
      <c r="I331" s="16" t="s">
        <v>226</v>
      </c>
      <c r="J331" s="16" t="s">
        <v>297</v>
      </c>
      <c r="K331" s="16" t="n">
        <v>13</v>
      </c>
      <c r="L331" s="40" t="n">
        <f aca="false">(K331/$Q$7)*100</f>
        <v>0.246679316888046</v>
      </c>
      <c r="M331" s="16" t="s">
        <v>197</v>
      </c>
      <c r="N331" s="16" t="n">
        <f aca="false">IFERROR(INDEX(BMWP_COL!$B$2:$B$103,MATCH($I331,BMWP_COL!$A$2:$A$103,0)),"No aplica")</f>
        <v>7</v>
      </c>
      <c r="O331" s="16"/>
    </row>
    <row r="332" customFormat="false" ht="14.25" hidden="false" customHeight="true" outlineLevel="0" collapsed="false">
      <c r="A332" s="39" t="n">
        <v>45638</v>
      </c>
      <c r="B332" s="16" t="s">
        <v>311</v>
      </c>
      <c r="C332" s="16" t="s">
        <v>312</v>
      </c>
      <c r="D332" s="16" t="s">
        <v>318</v>
      </c>
      <c r="E332" s="16" t="s">
        <v>319</v>
      </c>
      <c r="F332" s="16" t="s">
        <v>222</v>
      </c>
      <c r="G332" s="16" t="n">
        <v>1</v>
      </c>
      <c r="H332" s="16" t="s">
        <v>219</v>
      </c>
      <c r="I332" s="16" t="s">
        <v>220</v>
      </c>
      <c r="J332" s="16" t="s">
        <v>221</v>
      </c>
      <c r="K332" s="16" t="n">
        <v>9</v>
      </c>
      <c r="L332" s="40" t="n">
        <f aca="false">(K332/$Q$7)*100</f>
        <v>0.170777988614801</v>
      </c>
      <c r="M332" s="16" t="s">
        <v>197</v>
      </c>
      <c r="N332" s="16" t="n">
        <f aca="false">IFERROR(INDEX(BMWP_COL!$B$2:$B$103,MATCH($I332,BMWP_COL!$A$2:$A$103,0)),"No aplica")</f>
        <v>6</v>
      </c>
      <c r="O332" s="16"/>
    </row>
    <row r="333" customFormat="false" ht="14.25" hidden="false" customHeight="true" outlineLevel="0" collapsed="false">
      <c r="A333" s="39" t="n">
        <v>45638</v>
      </c>
      <c r="B333" s="16" t="s">
        <v>311</v>
      </c>
      <c r="C333" s="16" t="s">
        <v>312</v>
      </c>
      <c r="D333" s="16" t="s">
        <v>318</v>
      </c>
      <c r="E333" s="16" t="s">
        <v>319</v>
      </c>
      <c r="F333" s="16" t="s">
        <v>222</v>
      </c>
      <c r="G333" s="16" t="n">
        <v>1</v>
      </c>
      <c r="H333" s="16" t="s">
        <v>202</v>
      </c>
      <c r="I333" s="16" t="s">
        <v>203</v>
      </c>
      <c r="J333" s="41" t="s">
        <v>204</v>
      </c>
      <c r="K333" s="16" t="n">
        <v>4</v>
      </c>
      <c r="L333" s="40" t="n">
        <f aca="false">(K333/$Q$7)*100</f>
        <v>0.0759013282732448</v>
      </c>
      <c r="M333" s="16" t="s">
        <v>197</v>
      </c>
      <c r="N333" s="16" t="n">
        <f aca="false">IFERROR(INDEX(BMWP_COL!$B$2:$B$103,MATCH($I333,BMWP_COL!$A$2:$A$103,0)),"No aplica")</f>
        <v>2</v>
      </c>
      <c r="O333" s="16"/>
    </row>
    <row r="334" customFormat="false" ht="14.25" hidden="false" customHeight="true" outlineLevel="0" collapsed="false">
      <c r="A334" s="39" t="n">
        <v>45638</v>
      </c>
      <c r="B334" s="16" t="s">
        <v>311</v>
      </c>
      <c r="C334" s="16" t="s">
        <v>312</v>
      </c>
      <c r="D334" s="16" t="s">
        <v>318</v>
      </c>
      <c r="E334" s="16" t="s">
        <v>319</v>
      </c>
      <c r="F334" s="16" t="s">
        <v>222</v>
      </c>
      <c r="G334" s="16" t="n">
        <v>1</v>
      </c>
      <c r="H334" s="16" t="s">
        <v>208</v>
      </c>
      <c r="I334" s="16" t="s">
        <v>226</v>
      </c>
      <c r="J334" s="16" t="s">
        <v>227</v>
      </c>
      <c r="K334" s="16" t="n">
        <v>5</v>
      </c>
      <c r="L334" s="40" t="n">
        <f aca="false">(K334/$Q$7)*100</f>
        <v>0.094876660341556</v>
      </c>
      <c r="M334" s="16" t="s">
        <v>197</v>
      </c>
      <c r="N334" s="16" t="n">
        <f aca="false">IFERROR(INDEX(BMWP_COL!$B$2:$B$103,MATCH($I334,BMWP_COL!$A$2:$A$103,0)),"No aplica")</f>
        <v>7</v>
      </c>
      <c r="O334" s="16"/>
    </row>
    <row r="335" customFormat="false" ht="14.25" hidden="false" customHeight="true" outlineLevel="0" collapsed="false">
      <c r="A335" s="39" t="n">
        <v>45638</v>
      </c>
      <c r="B335" s="16" t="s">
        <v>311</v>
      </c>
      <c r="C335" s="16" t="s">
        <v>312</v>
      </c>
      <c r="D335" s="16" t="s">
        <v>318</v>
      </c>
      <c r="E335" s="16" t="s">
        <v>319</v>
      </c>
      <c r="F335" s="16" t="s">
        <v>222</v>
      </c>
      <c r="G335" s="16" t="n">
        <v>1</v>
      </c>
      <c r="H335" s="16" t="s">
        <v>202</v>
      </c>
      <c r="I335" s="16" t="s">
        <v>228</v>
      </c>
      <c r="J335" s="16" t="s">
        <v>229</v>
      </c>
      <c r="K335" s="16" t="n">
        <v>3</v>
      </c>
      <c r="L335" s="40" t="n">
        <f aca="false">(K335/$Q$7)*100</f>
        <v>0.0569259962049336</v>
      </c>
      <c r="M335" s="16" t="s">
        <v>230</v>
      </c>
      <c r="N335" s="16" t="n">
        <f aca="false">IFERROR(INDEX(BMWP_COL!$B$2:$B$103,MATCH($I335,BMWP_COL!$A$2:$A$103,0)),"No aplica")</f>
        <v>8</v>
      </c>
      <c r="O335" s="16"/>
    </row>
    <row r="336" customFormat="false" ht="14.25" hidden="false" customHeight="true" outlineLevel="0" collapsed="false">
      <c r="A336" s="39" t="n">
        <v>45638</v>
      </c>
      <c r="B336" s="16" t="s">
        <v>311</v>
      </c>
      <c r="C336" s="16" t="s">
        <v>312</v>
      </c>
      <c r="D336" s="16" t="s">
        <v>318</v>
      </c>
      <c r="E336" s="16" t="s">
        <v>319</v>
      </c>
      <c r="F336" s="16" t="s">
        <v>222</v>
      </c>
      <c r="G336" s="16" t="n">
        <v>1</v>
      </c>
      <c r="H336" s="16" t="s">
        <v>202</v>
      </c>
      <c r="I336" s="16" t="s">
        <v>203</v>
      </c>
      <c r="J336" s="16" t="s">
        <v>213</v>
      </c>
      <c r="K336" s="16" t="n">
        <v>2</v>
      </c>
      <c r="L336" s="40" t="n">
        <f aca="false">(K336/$Q$7)*100</f>
        <v>0.0379506641366224</v>
      </c>
      <c r="M336" s="16" t="s">
        <v>201</v>
      </c>
      <c r="N336" s="16" t="n">
        <f aca="false">IFERROR(INDEX(BMWP_COL!$B$2:$B$103,MATCH($I336,BMWP_COL!$A$2:$A$103,0)),"No aplica")</f>
        <v>2</v>
      </c>
      <c r="O336" s="16"/>
    </row>
    <row r="337" customFormat="false" ht="14.25" hidden="false" customHeight="true" outlineLevel="0" collapsed="false">
      <c r="A337" s="39" t="n">
        <v>45638</v>
      </c>
      <c r="B337" s="16" t="s">
        <v>311</v>
      </c>
      <c r="C337" s="16" t="s">
        <v>312</v>
      </c>
      <c r="D337" s="16" t="s">
        <v>318</v>
      </c>
      <c r="E337" s="16" t="s">
        <v>319</v>
      </c>
      <c r="F337" s="16" t="s">
        <v>222</v>
      </c>
      <c r="G337" s="16" t="n">
        <v>1</v>
      </c>
      <c r="H337" s="16" t="s">
        <v>323</v>
      </c>
      <c r="I337" s="16" t="s">
        <v>324</v>
      </c>
      <c r="J337" s="16" t="s">
        <v>324</v>
      </c>
      <c r="K337" s="16" t="n">
        <v>1</v>
      </c>
      <c r="L337" s="40" t="n">
        <f aca="false">(K337/$Q$7)*100</f>
        <v>0.0189753320683112</v>
      </c>
      <c r="M337" s="16" t="s">
        <v>211</v>
      </c>
      <c r="N337" s="16" t="n">
        <f aca="false">IFERROR(INDEX(BMWP_COL!$B$2:$B$103,MATCH($I337,BMWP_COL!$A$2:$A$103,0)),"No aplica")</f>
        <v>8</v>
      </c>
      <c r="O337" s="16" t="s">
        <v>325</v>
      </c>
    </row>
    <row r="338" customFormat="false" ht="14.25" hidden="false" customHeight="true" outlineLevel="0" collapsed="false">
      <c r="A338" s="39" t="n">
        <v>45638</v>
      </c>
      <c r="B338" s="16" t="s">
        <v>311</v>
      </c>
      <c r="C338" s="16" t="s">
        <v>312</v>
      </c>
      <c r="D338" s="16" t="s">
        <v>318</v>
      </c>
      <c r="E338" s="16" t="s">
        <v>319</v>
      </c>
      <c r="F338" s="16" t="s">
        <v>222</v>
      </c>
      <c r="G338" s="16" t="n">
        <v>1</v>
      </c>
      <c r="H338" s="16" t="s">
        <v>208</v>
      </c>
      <c r="I338" s="16" t="s">
        <v>247</v>
      </c>
      <c r="J338" s="16" t="s">
        <v>248</v>
      </c>
      <c r="K338" s="16" t="n">
        <v>2</v>
      </c>
      <c r="L338" s="40" t="n">
        <f aca="false">(K338/$Q$7)*100</f>
        <v>0.0379506641366224</v>
      </c>
      <c r="M338" s="16" t="s">
        <v>197</v>
      </c>
      <c r="N338" s="16" t="n">
        <f aca="false">IFERROR(INDEX(BMWP_COL!$B$2:$B$103,MATCH($I338,BMWP_COL!$A$2:$A$103,0)),"No aplica")</f>
        <v>9</v>
      </c>
      <c r="O338" s="16"/>
    </row>
    <row r="339" customFormat="false" ht="14.25" hidden="false" customHeight="true" outlineLevel="0" collapsed="false">
      <c r="A339" s="39" t="n">
        <v>45638</v>
      </c>
      <c r="B339" s="16" t="s">
        <v>311</v>
      </c>
      <c r="C339" s="16" t="s">
        <v>312</v>
      </c>
      <c r="D339" s="16" t="s">
        <v>318</v>
      </c>
      <c r="E339" s="16" t="s">
        <v>319</v>
      </c>
      <c r="F339" s="16" t="s">
        <v>222</v>
      </c>
      <c r="G339" s="16" t="n">
        <v>1</v>
      </c>
      <c r="H339" s="16" t="s">
        <v>280</v>
      </c>
      <c r="I339" s="16" t="s">
        <v>308</v>
      </c>
      <c r="J339" s="16" t="s">
        <v>309</v>
      </c>
      <c r="K339" s="16" t="n">
        <v>1</v>
      </c>
      <c r="L339" s="40" t="n">
        <f aca="false">(K339/$Q$7)*100</f>
        <v>0.0189753320683112</v>
      </c>
      <c r="M339" s="16" t="s">
        <v>310</v>
      </c>
      <c r="N339" s="16" t="n">
        <f aca="false">IFERROR(INDEX(BMWP_COL!$B$2:$B$103,MATCH($I339,BMWP_COL!$A$2:$A$103,0)),"No aplica")</f>
        <v>8</v>
      </c>
      <c r="O339" s="16"/>
    </row>
    <row r="340" customFormat="false" ht="14.25" hidden="false" customHeight="true" outlineLevel="0" collapsed="false">
      <c r="A340" s="39" t="n">
        <v>45638</v>
      </c>
      <c r="B340" s="16" t="s">
        <v>311</v>
      </c>
      <c r="C340" s="16" t="s">
        <v>312</v>
      </c>
      <c r="D340" s="16" t="s">
        <v>318</v>
      </c>
      <c r="E340" s="16" t="s">
        <v>319</v>
      </c>
      <c r="F340" s="16" t="s">
        <v>222</v>
      </c>
      <c r="G340" s="16" t="n">
        <v>1</v>
      </c>
      <c r="H340" s="16" t="s">
        <v>208</v>
      </c>
      <c r="I340" s="16" t="s">
        <v>247</v>
      </c>
      <c r="J340" s="16" t="s">
        <v>275</v>
      </c>
      <c r="K340" s="16" t="n">
        <v>1</v>
      </c>
      <c r="L340" s="40" t="n">
        <f aca="false">(K340/$Q$7)*100</f>
        <v>0.0189753320683112</v>
      </c>
      <c r="M340" s="16" t="s">
        <v>197</v>
      </c>
      <c r="N340" s="16" t="n">
        <f aca="false">IFERROR(INDEX(BMWP_COL!$B$2:$B$103,MATCH($I340,BMWP_COL!$A$2:$A$103,0)),"No aplica")</f>
        <v>9</v>
      </c>
      <c r="O340" s="16"/>
    </row>
    <row r="341" customFormat="false" ht="14.25" hidden="false" customHeight="true" outlineLevel="0" collapsed="false">
      <c r="A341" s="39" t="n">
        <v>45638</v>
      </c>
      <c r="B341" s="16" t="s">
        <v>311</v>
      </c>
      <c r="C341" s="16" t="s">
        <v>312</v>
      </c>
      <c r="D341" s="16" t="s">
        <v>318</v>
      </c>
      <c r="E341" s="16" t="s">
        <v>319</v>
      </c>
      <c r="F341" s="16" t="s">
        <v>222</v>
      </c>
      <c r="G341" s="16" t="n">
        <v>1</v>
      </c>
      <c r="H341" s="16" t="s">
        <v>194</v>
      </c>
      <c r="I341" s="16" t="s">
        <v>195</v>
      </c>
      <c r="J341" s="16" t="s">
        <v>196</v>
      </c>
      <c r="K341" s="16" t="n">
        <v>1</v>
      </c>
      <c r="L341" s="40" t="n">
        <f aca="false">(K341/$Q$7)*100</f>
        <v>0.0189753320683112</v>
      </c>
      <c r="M341" s="16" t="s">
        <v>197</v>
      </c>
      <c r="N341" s="16" t="n">
        <f aca="false">IFERROR(INDEX(BMWP_COL!$B$2:$B$103,MATCH($I341,BMWP_COL!$A$2:$A$103,0)),"No aplica")</f>
        <v>8</v>
      </c>
      <c r="O341" s="16"/>
    </row>
    <row r="342" customFormat="false" ht="14.25" hidden="false" customHeight="true" outlineLevel="0" collapsed="false">
      <c r="A342" s="39" t="n">
        <v>45638</v>
      </c>
      <c r="B342" s="16" t="s">
        <v>311</v>
      </c>
      <c r="C342" s="16" t="s">
        <v>312</v>
      </c>
      <c r="D342" s="16" t="s">
        <v>318</v>
      </c>
      <c r="E342" s="16" t="s">
        <v>319</v>
      </c>
      <c r="F342" s="16" t="s">
        <v>255</v>
      </c>
      <c r="G342" s="16" t="n">
        <v>1</v>
      </c>
      <c r="H342" s="16" t="s">
        <v>198</v>
      </c>
      <c r="I342" s="16" t="s">
        <v>320</v>
      </c>
      <c r="J342" s="16" t="s">
        <v>321</v>
      </c>
      <c r="K342" s="16" t="n">
        <v>1</v>
      </c>
      <c r="L342" s="40" t="n">
        <f aca="false">(K342/$Q$7)*100</f>
        <v>0.0189753320683112</v>
      </c>
      <c r="M342" s="16" t="s">
        <v>201</v>
      </c>
      <c r="N342" s="16" t="n">
        <f aca="false">IFERROR(INDEX(BMWP_COL!$B$2:$B$103,MATCH($I342,BMWP_COL!$A$2:$A$103,0)),"No aplica")</f>
        <v>5</v>
      </c>
      <c r="O342" s="16"/>
    </row>
    <row r="343" customFormat="false" ht="14.25" hidden="false" customHeight="true" outlineLevel="0" collapsed="false">
      <c r="A343" s="39" t="n">
        <v>45638</v>
      </c>
      <c r="B343" s="16" t="s">
        <v>311</v>
      </c>
      <c r="C343" s="16" t="s">
        <v>312</v>
      </c>
      <c r="D343" s="16" t="s">
        <v>318</v>
      </c>
      <c r="E343" s="16" t="s">
        <v>319</v>
      </c>
      <c r="F343" s="16" t="s">
        <v>255</v>
      </c>
      <c r="G343" s="16" t="n">
        <v>1</v>
      </c>
      <c r="H343" s="16" t="s">
        <v>208</v>
      </c>
      <c r="I343" s="16" t="s">
        <v>209</v>
      </c>
      <c r="J343" s="16" t="s">
        <v>212</v>
      </c>
      <c r="K343" s="16" t="n">
        <f aca="false">9+8</f>
        <v>17</v>
      </c>
      <c r="L343" s="40" t="n">
        <f aca="false">(K343/$Q$7)*100</f>
        <v>0.32258064516129</v>
      </c>
      <c r="M343" s="16" t="s">
        <v>197</v>
      </c>
      <c r="N343" s="16" t="n">
        <f aca="false">IFERROR(INDEX(BMWP_COL!$B$2:$B$103,MATCH($I343,BMWP_COL!$A$2:$A$103,0)),"No aplica")</f>
        <v>7</v>
      </c>
      <c r="O343" s="16"/>
    </row>
    <row r="344" customFormat="false" ht="14.25" hidden="false" customHeight="true" outlineLevel="0" collapsed="false">
      <c r="A344" s="39" t="n">
        <v>45638</v>
      </c>
      <c r="B344" s="16" t="s">
        <v>311</v>
      </c>
      <c r="C344" s="16" t="s">
        <v>312</v>
      </c>
      <c r="D344" s="16" t="s">
        <v>318</v>
      </c>
      <c r="E344" s="16" t="s">
        <v>319</v>
      </c>
      <c r="F344" s="16" t="s">
        <v>255</v>
      </c>
      <c r="G344" s="16" t="n">
        <v>1</v>
      </c>
      <c r="H344" s="16" t="s">
        <v>208</v>
      </c>
      <c r="I344" s="16" t="s">
        <v>226</v>
      </c>
      <c r="J344" s="16" t="s">
        <v>227</v>
      </c>
      <c r="K344" s="16" t="n">
        <v>3</v>
      </c>
      <c r="L344" s="40" t="n">
        <f aca="false">(K344/$Q$7)*100</f>
        <v>0.0569259962049336</v>
      </c>
      <c r="M344" s="16" t="s">
        <v>197</v>
      </c>
      <c r="N344" s="16" t="n">
        <f aca="false">IFERROR(INDEX(BMWP_COL!$B$2:$B$103,MATCH($I344,BMWP_COL!$A$2:$A$103,0)),"No aplica")</f>
        <v>7</v>
      </c>
      <c r="O344" s="16"/>
    </row>
    <row r="345" customFormat="false" ht="14.25" hidden="false" customHeight="true" outlineLevel="0" collapsed="false">
      <c r="A345" s="39" t="n">
        <v>45638</v>
      </c>
      <c r="B345" s="16" t="s">
        <v>311</v>
      </c>
      <c r="C345" s="16" t="s">
        <v>312</v>
      </c>
      <c r="D345" s="16" t="s">
        <v>318</v>
      </c>
      <c r="E345" s="16" t="s">
        <v>319</v>
      </c>
      <c r="F345" s="16" t="s">
        <v>255</v>
      </c>
      <c r="G345" s="16" t="n">
        <v>1</v>
      </c>
      <c r="H345" s="16" t="s">
        <v>219</v>
      </c>
      <c r="I345" s="16" t="s">
        <v>220</v>
      </c>
      <c r="J345" s="16" t="s">
        <v>221</v>
      </c>
      <c r="K345" s="16" t="n">
        <v>2</v>
      </c>
      <c r="L345" s="40" t="n">
        <f aca="false">(K345/$Q$7)*100</f>
        <v>0.0379506641366224</v>
      </c>
      <c r="M345" s="16" t="s">
        <v>197</v>
      </c>
      <c r="N345" s="16" t="n">
        <f aca="false">IFERROR(INDEX(BMWP_COL!$B$2:$B$103,MATCH($I345,BMWP_COL!$A$2:$A$103,0)),"No aplica")</f>
        <v>6</v>
      </c>
      <c r="O345" s="16"/>
    </row>
    <row r="346" customFormat="false" ht="14.25" hidden="false" customHeight="true" outlineLevel="0" collapsed="false">
      <c r="A346" s="39" t="n">
        <v>45638</v>
      </c>
      <c r="B346" s="16" t="s">
        <v>311</v>
      </c>
      <c r="C346" s="16" t="s">
        <v>312</v>
      </c>
      <c r="D346" s="16" t="s">
        <v>318</v>
      </c>
      <c r="E346" s="16" t="s">
        <v>319</v>
      </c>
      <c r="F346" s="16" t="s">
        <v>255</v>
      </c>
      <c r="G346" s="16" t="n">
        <v>1</v>
      </c>
      <c r="H346" s="16" t="s">
        <v>198</v>
      </c>
      <c r="I346" s="16" t="s">
        <v>199</v>
      </c>
      <c r="J346" s="16" t="s">
        <v>200</v>
      </c>
      <c r="K346" s="16" t="n">
        <v>1</v>
      </c>
      <c r="L346" s="40" t="n">
        <f aca="false">(K346/$Q$7)*100</f>
        <v>0.0189753320683112</v>
      </c>
      <c r="M346" s="16" t="s">
        <v>201</v>
      </c>
      <c r="N346" s="16" t="n">
        <f aca="false">IFERROR(INDEX(BMWP_COL!$B$2:$B$103,MATCH($I346,BMWP_COL!$A$2:$A$103,0)),"No aplica")</f>
        <v>7</v>
      </c>
      <c r="O346" s="16"/>
    </row>
    <row r="347" customFormat="false" ht="14.25" hidden="false" customHeight="true" outlineLevel="0" collapsed="false">
      <c r="A347" s="39" t="n">
        <v>45638</v>
      </c>
      <c r="B347" s="16" t="s">
        <v>311</v>
      </c>
      <c r="C347" s="16" t="s">
        <v>312</v>
      </c>
      <c r="D347" s="16" t="s">
        <v>318</v>
      </c>
      <c r="E347" s="16" t="s">
        <v>319</v>
      </c>
      <c r="F347" s="16" t="s">
        <v>255</v>
      </c>
      <c r="G347" s="16" t="n">
        <v>1</v>
      </c>
      <c r="H347" s="16" t="s">
        <v>280</v>
      </c>
      <c r="I347" s="16" t="s">
        <v>281</v>
      </c>
      <c r="J347" s="16" t="s">
        <v>282</v>
      </c>
      <c r="K347" s="16" t="n">
        <v>1</v>
      </c>
      <c r="L347" s="40" t="n">
        <f aca="false">(K347/$Q$7)*100</f>
        <v>0.0189753320683112</v>
      </c>
      <c r="M347" s="16" t="s">
        <v>197</v>
      </c>
      <c r="N347" s="16" t="n">
        <f aca="false">IFERROR(INDEX(BMWP_COL!$B$2:$B$103,MATCH($I347,BMWP_COL!$A$2:$A$103,0)),"No aplica")</f>
        <v>6</v>
      </c>
      <c r="O347" s="16"/>
    </row>
    <row r="348" customFormat="false" ht="14.25" hidden="false" customHeight="true" outlineLevel="0" collapsed="false">
      <c r="A348" s="39" t="n">
        <v>45638</v>
      </c>
      <c r="B348" s="16" t="s">
        <v>311</v>
      </c>
      <c r="C348" s="16" t="s">
        <v>312</v>
      </c>
      <c r="D348" s="16" t="s">
        <v>318</v>
      </c>
      <c r="E348" s="16" t="s">
        <v>319</v>
      </c>
      <c r="F348" s="16" t="s">
        <v>255</v>
      </c>
      <c r="G348" s="16" t="n">
        <v>1</v>
      </c>
      <c r="H348" s="16" t="s">
        <v>198</v>
      </c>
      <c r="I348" s="16" t="s">
        <v>235</v>
      </c>
      <c r="J348" s="16" t="s">
        <v>236</v>
      </c>
      <c r="K348" s="16" t="n">
        <v>1</v>
      </c>
      <c r="L348" s="40" t="n">
        <f aca="false">(K348/$Q$7)*100</f>
        <v>0.0189753320683112</v>
      </c>
      <c r="M348" s="16" t="s">
        <v>201</v>
      </c>
      <c r="N348" s="16" t="n">
        <f aca="false">IFERROR(INDEX(BMWP_COL!$B$2:$B$103,MATCH($I348,BMWP_COL!$A$2:$A$103,0)),"No aplica")</f>
        <v>5</v>
      </c>
      <c r="O348" s="16"/>
    </row>
    <row r="349" customFormat="false" ht="14.25" hidden="false" customHeight="true" outlineLevel="0" collapsed="false">
      <c r="A349" s="39" t="n">
        <v>45638</v>
      </c>
      <c r="B349" s="16" t="s">
        <v>311</v>
      </c>
      <c r="C349" s="16" t="s">
        <v>312</v>
      </c>
      <c r="D349" s="16" t="s">
        <v>318</v>
      </c>
      <c r="E349" s="16" t="s">
        <v>319</v>
      </c>
      <c r="F349" s="16" t="s">
        <v>255</v>
      </c>
      <c r="G349" s="16" t="n">
        <v>1</v>
      </c>
      <c r="H349" s="16" t="s">
        <v>208</v>
      </c>
      <c r="I349" s="16" t="s">
        <v>247</v>
      </c>
      <c r="J349" s="16" t="s">
        <v>248</v>
      </c>
      <c r="K349" s="16" t="n">
        <v>2</v>
      </c>
      <c r="L349" s="40" t="n">
        <f aca="false">(K349/$Q$7)*100</f>
        <v>0.0379506641366224</v>
      </c>
      <c r="M349" s="16" t="s">
        <v>197</v>
      </c>
      <c r="N349" s="16" t="n">
        <f aca="false">IFERROR(INDEX(BMWP_COL!$B$2:$B$103,MATCH($I349,BMWP_COL!$A$2:$A$103,0)),"No aplica")</f>
        <v>9</v>
      </c>
      <c r="O349" s="16"/>
    </row>
    <row r="350" customFormat="false" ht="14.25" hidden="false" customHeight="true" outlineLevel="0" collapsed="false">
      <c r="A350" s="39" t="n">
        <v>45638</v>
      </c>
      <c r="B350" s="16" t="s">
        <v>311</v>
      </c>
      <c r="C350" s="16" t="s">
        <v>312</v>
      </c>
      <c r="D350" s="16" t="s">
        <v>318</v>
      </c>
      <c r="E350" s="16" t="s">
        <v>319</v>
      </c>
      <c r="F350" s="16" t="s">
        <v>255</v>
      </c>
      <c r="G350" s="16" t="n">
        <v>1</v>
      </c>
      <c r="H350" s="16" t="s">
        <v>194</v>
      </c>
      <c r="I350" s="16" t="s">
        <v>326</v>
      </c>
      <c r="J350" s="16" t="s">
        <v>327</v>
      </c>
      <c r="K350" s="16" t="n">
        <v>1</v>
      </c>
      <c r="L350" s="40" t="n">
        <f aca="false">(K350/$Q$7)*100</f>
        <v>0.0189753320683112</v>
      </c>
      <c r="M350" s="16" t="s">
        <v>197</v>
      </c>
      <c r="N350" s="16" t="n">
        <f aca="false">IFERROR(INDEX(BMWP_COL!$B$2:$B$103,MATCH($I350,BMWP_COL!$A$2:$A$103,0)),"No aplica")</f>
        <v>7</v>
      </c>
      <c r="O350" s="16"/>
    </row>
    <row r="351" customFormat="false" ht="14.25" hidden="false" customHeight="true" outlineLevel="0" collapsed="false">
      <c r="A351" s="39" t="n">
        <v>45638</v>
      </c>
      <c r="B351" s="16" t="s">
        <v>311</v>
      </c>
      <c r="C351" s="16" t="s">
        <v>312</v>
      </c>
      <c r="D351" s="16" t="s">
        <v>318</v>
      </c>
      <c r="E351" s="16" t="s">
        <v>319</v>
      </c>
      <c r="F351" s="16" t="s">
        <v>255</v>
      </c>
      <c r="G351" s="16" t="n">
        <v>1</v>
      </c>
      <c r="H351" s="16" t="s">
        <v>214</v>
      </c>
      <c r="I351" s="16" t="s">
        <v>262</v>
      </c>
      <c r="J351" s="16" t="s">
        <v>263</v>
      </c>
      <c r="K351" s="16" t="n">
        <v>1</v>
      </c>
      <c r="L351" s="40" t="n">
        <f aca="false">(K351/$Q$7)*100</f>
        <v>0.0189753320683112</v>
      </c>
      <c r="M351" s="16" t="s">
        <v>201</v>
      </c>
      <c r="N351" s="16" t="n">
        <f aca="false">IFERROR(INDEX(BMWP_COL!$B$2:$B$103,MATCH($I351,BMWP_COL!$A$2:$A$103,0)),"No aplica")</f>
        <v>7</v>
      </c>
      <c r="O351" s="16"/>
    </row>
    <row r="352" customFormat="false" ht="14.25" hidden="false" customHeight="true" outlineLevel="0" collapsed="false">
      <c r="A352" s="39" t="n">
        <v>45638</v>
      </c>
      <c r="B352" s="16" t="s">
        <v>311</v>
      </c>
      <c r="C352" s="16" t="s">
        <v>312</v>
      </c>
      <c r="D352" s="16" t="s">
        <v>318</v>
      </c>
      <c r="E352" s="16" t="s">
        <v>319</v>
      </c>
      <c r="F352" s="16" t="s">
        <v>255</v>
      </c>
      <c r="G352" s="16" t="n">
        <v>1</v>
      </c>
      <c r="H352" s="16" t="s">
        <v>208</v>
      </c>
      <c r="I352" s="16" t="s">
        <v>226</v>
      </c>
      <c r="J352" s="16" t="s">
        <v>297</v>
      </c>
      <c r="K352" s="16" t="n">
        <v>1</v>
      </c>
      <c r="L352" s="40" t="n">
        <f aca="false">(K352/$Q$7)*100</f>
        <v>0.0189753320683112</v>
      </c>
      <c r="M352" s="16" t="s">
        <v>197</v>
      </c>
      <c r="N352" s="16" t="n">
        <f aca="false">IFERROR(INDEX(BMWP_COL!$B$2:$B$103,MATCH($I352,BMWP_COL!$A$2:$A$103,0)),"No aplica")</f>
        <v>7</v>
      </c>
      <c r="O352" s="16"/>
    </row>
    <row r="353" customFormat="false" ht="14.25" hidden="false" customHeight="true" outlineLevel="0" collapsed="false">
      <c r="A353" s="39" t="n">
        <v>45638</v>
      </c>
      <c r="B353" s="16" t="s">
        <v>311</v>
      </c>
      <c r="C353" s="16" t="s">
        <v>312</v>
      </c>
      <c r="D353" s="16" t="s">
        <v>318</v>
      </c>
      <c r="E353" s="16" t="s">
        <v>319</v>
      </c>
      <c r="F353" s="16" t="s">
        <v>255</v>
      </c>
      <c r="G353" s="16" t="n">
        <v>1</v>
      </c>
      <c r="H353" s="16" t="s">
        <v>202</v>
      </c>
      <c r="I353" s="16" t="s">
        <v>203</v>
      </c>
      <c r="J353" s="41" t="s">
        <v>204</v>
      </c>
      <c r="K353" s="16" t="n">
        <v>3</v>
      </c>
      <c r="L353" s="40" t="n">
        <f aca="false">(K353/$Q$7)*100</f>
        <v>0.0569259962049336</v>
      </c>
      <c r="M353" s="16" t="s">
        <v>197</v>
      </c>
      <c r="N353" s="16" t="n">
        <f aca="false">IFERROR(INDEX(BMWP_COL!$B$2:$B$103,MATCH($I353,BMWP_COL!$A$2:$A$103,0)),"No aplica")</f>
        <v>2</v>
      </c>
      <c r="O353" s="16"/>
    </row>
    <row r="354" customFormat="false" ht="14.25" hidden="false" customHeight="true" outlineLevel="0" collapsed="false">
      <c r="A354" s="39" t="n">
        <v>45638</v>
      </c>
      <c r="B354" s="16" t="s">
        <v>311</v>
      </c>
      <c r="C354" s="16" t="s">
        <v>312</v>
      </c>
      <c r="D354" s="16" t="s">
        <v>318</v>
      </c>
      <c r="E354" s="16" t="s">
        <v>319</v>
      </c>
      <c r="F354" s="16" t="s">
        <v>277</v>
      </c>
      <c r="G354" s="16" t="n">
        <v>3</v>
      </c>
      <c r="H354" s="16" t="s">
        <v>280</v>
      </c>
      <c r="I354" s="16" t="s">
        <v>281</v>
      </c>
      <c r="J354" s="16" t="s">
        <v>282</v>
      </c>
      <c r="K354" s="16" t="n">
        <v>44</v>
      </c>
      <c r="L354" s="40" t="n">
        <f aca="false">(K354/$Q$7)*100</f>
        <v>0.834914611005693</v>
      </c>
      <c r="M354" s="16" t="s">
        <v>197</v>
      </c>
      <c r="N354" s="16" t="n">
        <f aca="false">IFERROR(INDEX(BMWP_COL!$B$2:$B$103,MATCH($I354,BMWP_COL!$A$2:$A$103,0)),"No aplica")</f>
        <v>6</v>
      </c>
      <c r="O354" s="16"/>
    </row>
    <row r="355" customFormat="false" ht="14.25" hidden="false" customHeight="true" outlineLevel="0" collapsed="false">
      <c r="A355" s="39" t="n">
        <v>45638</v>
      </c>
      <c r="B355" s="16" t="s">
        <v>311</v>
      </c>
      <c r="C355" s="16" t="s">
        <v>312</v>
      </c>
      <c r="D355" s="16" t="s">
        <v>318</v>
      </c>
      <c r="E355" s="16" t="s">
        <v>319</v>
      </c>
      <c r="F355" s="16" t="s">
        <v>277</v>
      </c>
      <c r="G355" s="16" t="n">
        <v>3</v>
      </c>
      <c r="H355" s="16" t="s">
        <v>208</v>
      </c>
      <c r="I355" s="16" t="s">
        <v>209</v>
      </c>
      <c r="J355" s="16" t="s">
        <v>212</v>
      </c>
      <c r="K355" s="16" t="n">
        <v>6</v>
      </c>
      <c r="L355" s="40" t="n">
        <f aca="false">(K355/$Q$7)*100</f>
        <v>0.113851992409867</v>
      </c>
      <c r="M355" s="16" t="s">
        <v>197</v>
      </c>
      <c r="N355" s="16" t="n">
        <f aca="false">IFERROR(INDEX(BMWP_COL!$B$2:$B$103,MATCH($I355,BMWP_COL!$A$2:$A$103,0)),"No aplica")</f>
        <v>7</v>
      </c>
      <c r="O355" s="16"/>
    </row>
    <row r="356" customFormat="false" ht="14.25" hidden="false" customHeight="true" outlineLevel="0" collapsed="false">
      <c r="A356" s="39" t="n">
        <v>45638</v>
      </c>
      <c r="B356" s="16" t="s">
        <v>311</v>
      </c>
      <c r="C356" s="16" t="s">
        <v>312</v>
      </c>
      <c r="D356" s="16" t="s">
        <v>318</v>
      </c>
      <c r="E356" s="16" t="s">
        <v>319</v>
      </c>
      <c r="F356" s="16" t="s">
        <v>277</v>
      </c>
      <c r="G356" s="16" t="n">
        <v>3</v>
      </c>
      <c r="H356" s="16" t="s">
        <v>249</v>
      </c>
      <c r="I356" s="16" t="s">
        <v>250</v>
      </c>
      <c r="J356" s="16" t="s">
        <v>251</v>
      </c>
      <c r="K356" s="16" t="n">
        <v>5</v>
      </c>
      <c r="L356" s="40" t="n">
        <f aca="false">(K356/$Q$7)*100</f>
        <v>0.094876660341556</v>
      </c>
      <c r="M356" s="16" t="s">
        <v>201</v>
      </c>
      <c r="N356" s="16" t="n">
        <f aca="false">IFERROR(INDEX(BMWP_COL!$B$2:$B$103,MATCH($I356,BMWP_COL!$A$2:$A$103,0)),"No aplica")</f>
        <v>10</v>
      </c>
      <c r="O356" s="16"/>
    </row>
    <row r="357" customFormat="false" ht="14.25" hidden="false" customHeight="true" outlineLevel="0" collapsed="false">
      <c r="A357" s="39" t="n">
        <v>45638</v>
      </c>
      <c r="B357" s="16" t="s">
        <v>311</v>
      </c>
      <c r="C357" s="16" t="s">
        <v>312</v>
      </c>
      <c r="D357" s="16" t="s">
        <v>318</v>
      </c>
      <c r="E357" s="16" t="s">
        <v>319</v>
      </c>
      <c r="F357" s="16" t="s">
        <v>277</v>
      </c>
      <c r="G357" s="16" t="n">
        <v>3</v>
      </c>
      <c r="H357" s="16" t="s">
        <v>219</v>
      </c>
      <c r="I357" s="16" t="s">
        <v>220</v>
      </c>
      <c r="J357" s="16" t="s">
        <v>221</v>
      </c>
      <c r="K357" s="16" t="n">
        <v>3</v>
      </c>
      <c r="L357" s="40" t="n">
        <f aca="false">(K357/$Q$7)*100</f>
        <v>0.0569259962049336</v>
      </c>
      <c r="M357" s="16" t="s">
        <v>197</v>
      </c>
      <c r="N357" s="16" t="n">
        <f aca="false">IFERROR(INDEX(BMWP_COL!$B$2:$B$103,MATCH($I357,BMWP_COL!$A$2:$A$103,0)),"No aplica")</f>
        <v>6</v>
      </c>
      <c r="O357" s="16"/>
    </row>
    <row r="358" customFormat="false" ht="14.25" hidden="false" customHeight="true" outlineLevel="0" collapsed="false">
      <c r="A358" s="39" t="n">
        <v>45638</v>
      </c>
      <c r="B358" s="16" t="s">
        <v>311</v>
      </c>
      <c r="C358" s="16" t="s">
        <v>312</v>
      </c>
      <c r="D358" s="16" t="s">
        <v>318</v>
      </c>
      <c r="E358" s="16" t="s">
        <v>319</v>
      </c>
      <c r="F358" s="16" t="s">
        <v>277</v>
      </c>
      <c r="G358" s="16" t="n">
        <v>3</v>
      </c>
      <c r="H358" s="16" t="s">
        <v>272</v>
      </c>
      <c r="I358" s="16" t="s">
        <v>273</v>
      </c>
      <c r="J358" s="16" t="s">
        <v>274</v>
      </c>
      <c r="K358" s="16" t="n">
        <v>1</v>
      </c>
      <c r="L358" s="40" t="n">
        <f aca="false">(K358/$Q$7)*100</f>
        <v>0.0189753320683112</v>
      </c>
      <c r="M358" s="16" t="s">
        <v>201</v>
      </c>
      <c r="N358" s="16" t="n">
        <f aca="false">IFERROR(INDEX(BMWP_COL!$B$2:$B$103,MATCH($I358,BMWP_COL!$A$2:$A$103,0)),"No aplica")</f>
        <v>6</v>
      </c>
      <c r="O358" s="16"/>
    </row>
    <row r="359" customFormat="false" ht="14.25" hidden="false" customHeight="true" outlineLevel="0" collapsed="false">
      <c r="A359" s="39" t="n">
        <v>45638</v>
      </c>
      <c r="B359" s="16" t="s">
        <v>311</v>
      </c>
      <c r="C359" s="16" t="s">
        <v>312</v>
      </c>
      <c r="D359" s="16" t="s">
        <v>318</v>
      </c>
      <c r="E359" s="16" t="s">
        <v>319</v>
      </c>
      <c r="F359" s="16" t="s">
        <v>277</v>
      </c>
      <c r="G359" s="16" t="n">
        <v>3</v>
      </c>
      <c r="H359" s="16" t="s">
        <v>202</v>
      </c>
      <c r="I359" s="16" t="s">
        <v>203</v>
      </c>
      <c r="J359" s="41" t="s">
        <v>204</v>
      </c>
      <c r="K359" s="16" t="n">
        <v>1</v>
      </c>
      <c r="L359" s="40" t="n">
        <f aca="false">(K359/$Q$7)*100</f>
        <v>0.0189753320683112</v>
      </c>
      <c r="M359" s="16" t="s">
        <v>197</v>
      </c>
      <c r="N359" s="16" t="n">
        <f aca="false">IFERROR(INDEX(BMWP_COL!$B$2:$B$103,MATCH($I359,BMWP_COL!$A$2:$A$103,0)),"No aplica")</f>
        <v>2</v>
      </c>
      <c r="O359" s="16"/>
    </row>
    <row r="360" customFormat="false" ht="14.25" hidden="false" customHeight="true" outlineLevel="0" collapsed="false">
      <c r="A360" s="39" t="n">
        <v>45638</v>
      </c>
      <c r="B360" s="16" t="s">
        <v>311</v>
      </c>
      <c r="C360" s="16" t="s">
        <v>312</v>
      </c>
      <c r="D360" s="16" t="s">
        <v>318</v>
      </c>
      <c r="E360" s="16" t="s">
        <v>319</v>
      </c>
      <c r="F360" s="16" t="s">
        <v>277</v>
      </c>
      <c r="G360" s="16" t="n">
        <v>3</v>
      </c>
      <c r="H360" s="16" t="s">
        <v>208</v>
      </c>
      <c r="I360" s="16" t="s">
        <v>226</v>
      </c>
      <c r="J360" s="16" t="s">
        <v>227</v>
      </c>
      <c r="K360" s="16" t="n">
        <v>1</v>
      </c>
      <c r="L360" s="40" t="n">
        <f aca="false">(K360/$Q$7)*100</f>
        <v>0.0189753320683112</v>
      </c>
      <c r="M360" s="16" t="s">
        <v>197</v>
      </c>
      <c r="N360" s="16" t="n">
        <f aca="false">IFERROR(INDEX(BMWP_COL!$B$2:$B$103,MATCH($I360,BMWP_COL!$A$2:$A$103,0)),"No aplica")</f>
        <v>7</v>
      </c>
      <c r="O360" s="16"/>
    </row>
    <row r="361" customFormat="false" ht="14.25" hidden="false" customHeight="true" outlineLevel="0" collapsed="false">
      <c r="A361" s="39" t="n">
        <v>45638</v>
      </c>
      <c r="B361" s="16" t="s">
        <v>311</v>
      </c>
      <c r="C361" s="16" t="s">
        <v>312</v>
      </c>
      <c r="D361" s="16" t="s">
        <v>318</v>
      </c>
      <c r="E361" s="16" t="s">
        <v>319</v>
      </c>
      <c r="F361" s="16" t="s">
        <v>277</v>
      </c>
      <c r="G361" s="16" t="n">
        <v>3</v>
      </c>
      <c r="H361" s="16" t="s">
        <v>202</v>
      </c>
      <c r="I361" s="16" t="s">
        <v>304</v>
      </c>
      <c r="J361" s="16" t="s">
        <v>304</v>
      </c>
      <c r="K361" s="16" t="n">
        <v>1</v>
      </c>
      <c r="L361" s="40" t="n">
        <f aca="false">(K361/$Q$7)*100</f>
        <v>0.0189753320683112</v>
      </c>
      <c r="M361" s="16" t="s">
        <v>201</v>
      </c>
      <c r="N361" s="16" t="n">
        <f aca="false">IFERROR(INDEX(BMWP_COL!$B$2:$B$103,MATCH($I361,BMWP_COL!$A$2:$A$103,0)),"No aplica")</f>
        <v>4</v>
      </c>
      <c r="O361" s="16"/>
    </row>
    <row r="362" customFormat="false" ht="14.25" hidden="false" customHeight="true" outlineLevel="0" collapsed="false">
      <c r="A362" s="39" t="n">
        <v>45638</v>
      </c>
      <c r="B362" s="16" t="s">
        <v>311</v>
      </c>
      <c r="C362" s="16" t="s">
        <v>312</v>
      </c>
      <c r="D362" s="16" t="s">
        <v>318</v>
      </c>
      <c r="E362" s="16" t="s">
        <v>319</v>
      </c>
      <c r="F362" s="16" t="s">
        <v>193</v>
      </c>
      <c r="G362" s="16" t="n">
        <v>3</v>
      </c>
      <c r="H362" s="16" t="s">
        <v>202</v>
      </c>
      <c r="I362" s="16" t="s">
        <v>228</v>
      </c>
      <c r="J362" s="16" t="s">
        <v>229</v>
      </c>
      <c r="K362" s="16" t="n">
        <v>1</v>
      </c>
      <c r="L362" s="40" t="n">
        <f aca="false">(K362/$Q$7)*100</f>
        <v>0.0189753320683112</v>
      </c>
      <c r="M362" s="16" t="s">
        <v>230</v>
      </c>
      <c r="N362" s="16" t="n">
        <f aca="false">IFERROR(INDEX(BMWP_COL!$B$2:$B$103,MATCH($I362,BMWP_COL!$A$2:$A$103,0)),"No aplica")</f>
        <v>8</v>
      </c>
      <c r="O362" s="16"/>
    </row>
    <row r="363" customFormat="false" ht="14.25" hidden="false" customHeight="true" outlineLevel="0" collapsed="false">
      <c r="A363" s="39" t="n">
        <v>45638</v>
      </c>
      <c r="B363" s="16" t="s">
        <v>311</v>
      </c>
      <c r="C363" s="16" t="s">
        <v>312</v>
      </c>
      <c r="D363" s="16" t="s">
        <v>318</v>
      </c>
      <c r="E363" s="16" t="s">
        <v>319</v>
      </c>
      <c r="F363" s="16" t="s">
        <v>193</v>
      </c>
      <c r="G363" s="16" t="n">
        <v>3</v>
      </c>
      <c r="H363" s="16" t="s">
        <v>202</v>
      </c>
      <c r="I363" s="16" t="s">
        <v>302</v>
      </c>
      <c r="J363" s="16" t="s">
        <v>303</v>
      </c>
      <c r="K363" s="16" t="n">
        <v>1</v>
      </c>
      <c r="L363" s="40" t="n">
        <f aca="false">(K363/$Q$7)*100</f>
        <v>0.0189753320683112</v>
      </c>
      <c r="M363" s="16" t="s">
        <v>201</v>
      </c>
      <c r="N363" s="16" t="n">
        <f aca="false">IFERROR(INDEX(BMWP_COL!$B$2:$B$103,MATCH($I363,BMWP_COL!$A$2:$A$103,0)),"No aplica")</f>
        <v>3</v>
      </c>
      <c r="O363" s="16"/>
    </row>
    <row r="364" customFormat="false" ht="14.25" hidden="false" customHeight="true" outlineLevel="0" collapsed="false">
      <c r="A364" s="39" t="n">
        <v>45638</v>
      </c>
      <c r="B364" s="16" t="s">
        <v>311</v>
      </c>
      <c r="C364" s="16" t="s">
        <v>312</v>
      </c>
      <c r="D364" s="16" t="s">
        <v>318</v>
      </c>
      <c r="E364" s="16" t="s">
        <v>319</v>
      </c>
      <c r="F364" s="16" t="s">
        <v>193</v>
      </c>
      <c r="G364" s="16" t="n">
        <v>3</v>
      </c>
      <c r="H364" s="16" t="s">
        <v>208</v>
      </c>
      <c r="I364" s="16" t="s">
        <v>209</v>
      </c>
      <c r="J364" s="16" t="s">
        <v>212</v>
      </c>
      <c r="K364" s="16" t="n">
        <v>1</v>
      </c>
      <c r="L364" s="40" t="n">
        <f aca="false">(K364/$Q$7)*100</f>
        <v>0.0189753320683112</v>
      </c>
      <c r="M364" s="16" t="s">
        <v>197</v>
      </c>
      <c r="N364" s="16" t="n">
        <f aca="false">IFERROR(INDEX(BMWP_COL!$B$2:$B$103,MATCH($I364,BMWP_COL!$A$2:$A$103,0)),"No aplica")</f>
        <v>7</v>
      </c>
      <c r="O364" s="16"/>
    </row>
    <row r="365" customFormat="false" ht="14.25" hidden="false" customHeight="true" outlineLevel="0" collapsed="false">
      <c r="A365" s="39" t="n">
        <v>45779</v>
      </c>
      <c r="B365" s="6" t="s">
        <v>283</v>
      </c>
      <c r="C365" s="16" t="s">
        <v>20</v>
      </c>
      <c r="D365" s="16" t="s">
        <v>328</v>
      </c>
      <c r="E365" s="16" t="s">
        <v>329</v>
      </c>
      <c r="F365" s="16" t="s">
        <v>255</v>
      </c>
      <c r="G365" s="16" t="n">
        <v>1</v>
      </c>
      <c r="H365" s="16" t="s">
        <v>272</v>
      </c>
      <c r="I365" s="16" t="s">
        <v>273</v>
      </c>
      <c r="J365" s="16" t="s">
        <v>274</v>
      </c>
      <c r="K365" s="16" t="n">
        <v>4</v>
      </c>
      <c r="L365" s="40" t="n">
        <f aca="false">(K365/$Q$7)*100</f>
        <v>0.0759013282732448</v>
      </c>
      <c r="M365" s="16" t="s">
        <v>201</v>
      </c>
      <c r="N365" s="16" t="n">
        <f aca="false">IFERROR(INDEX(BMWP_COL!$B$2:$B$103,MATCH($I365,BMWP_COL!$A$2:$A$103,0)),"No aplica")</f>
        <v>6</v>
      </c>
      <c r="O365" s="16"/>
    </row>
    <row r="366" customFormat="false" ht="14.25" hidden="false" customHeight="true" outlineLevel="0" collapsed="false">
      <c r="A366" s="39" t="n">
        <v>45779</v>
      </c>
      <c r="B366" s="6" t="s">
        <v>283</v>
      </c>
      <c r="C366" s="16" t="s">
        <v>20</v>
      </c>
      <c r="D366" s="16" t="s">
        <v>328</v>
      </c>
      <c r="E366" s="16" t="s">
        <v>329</v>
      </c>
      <c r="F366" s="16" t="s">
        <v>255</v>
      </c>
      <c r="G366" s="16" t="n">
        <v>1</v>
      </c>
      <c r="H366" s="16" t="s">
        <v>214</v>
      </c>
      <c r="I366" s="16" t="s">
        <v>215</v>
      </c>
      <c r="J366" s="16" t="s">
        <v>216</v>
      </c>
      <c r="K366" s="16" t="n">
        <v>23</v>
      </c>
      <c r="L366" s="40" t="n">
        <f aca="false">(K366/$Q$7)*100</f>
        <v>0.436432637571157</v>
      </c>
      <c r="M366" s="16" t="s">
        <v>201</v>
      </c>
      <c r="N366" s="16" t="n">
        <f aca="false">IFERROR(INDEX(BMWP_COL!$B$2:$B$103,MATCH($I366,BMWP_COL!$A$2:$A$103,0)),"No aplica")</f>
        <v>10</v>
      </c>
      <c r="O366" s="16"/>
    </row>
    <row r="367" customFormat="false" ht="14.25" hidden="false" customHeight="true" outlineLevel="0" collapsed="false">
      <c r="A367" s="39" t="n">
        <v>45779</v>
      </c>
      <c r="B367" s="6" t="s">
        <v>283</v>
      </c>
      <c r="C367" s="16" t="s">
        <v>20</v>
      </c>
      <c r="D367" s="16" t="s">
        <v>328</v>
      </c>
      <c r="E367" s="16" t="s">
        <v>329</v>
      </c>
      <c r="F367" s="16" t="s">
        <v>255</v>
      </c>
      <c r="G367" s="16" t="n">
        <v>1</v>
      </c>
      <c r="H367" s="16" t="s">
        <v>249</v>
      </c>
      <c r="I367" s="16" t="s">
        <v>250</v>
      </c>
      <c r="J367" s="16" t="s">
        <v>251</v>
      </c>
      <c r="K367" s="16" t="n">
        <v>28</v>
      </c>
      <c r="L367" s="40" t="n">
        <f aca="false">(K367/$Q$7)*100</f>
        <v>0.531309297912713</v>
      </c>
      <c r="M367" s="16" t="s">
        <v>201</v>
      </c>
      <c r="N367" s="16" t="n">
        <f aca="false">IFERROR(INDEX(BMWP_COL!$B$2:$B$103,MATCH($I367,BMWP_COL!$A$2:$A$103,0)),"No aplica")</f>
        <v>10</v>
      </c>
      <c r="O367" s="16"/>
    </row>
    <row r="368" customFormat="false" ht="14.25" hidden="false" customHeight="true" outlineLevel="0" collapsed="false">
      <c r="A368" s="39" t="n">
        <v>45779</v>
      </c>
      <c r="B368" s="6" t="s">
        <v>283</v>
      </c>
      <c r="C368" s="16" t="s">
        <v>20</v>
      </c>
      <c r="D368" s="16" t="s">
        <v>328</v>
      </c>
      <c r="E368" s="16" t="s">
        <v>329</v>
      </c>
      <c r="F368" s="16" t="s">
        <v>255</v>
      </c>
      <c r="G368" s="16" t="n">
        <v>1</v>
      </c>
      <c r="H368" s="16" t="s">
        <v>202</v>
      </c>
      <c r="I368" s="16" t="s">
        <v>217</v>
      </c>
      <c r="J368" s="16" t="s">
        <v>330</v>
      </c>
      <c r="K368" s="16" t="n">
        <v>1</v>
      </c>
      <c r="L368" s="40" t="n">
        <f aca="false">(K368/$Q$7)*100</f>
        <v>0.0189753320683112</v>
      </c>
      <c r="M368" s="16" t="s">
        <v>201</v>
      </c>
      <c r="N368" s="16" t="n">
        <f aca="false">IFERROR(INDEX(BMWP_COL!$B$2:$B$103,MATCH($I368,BMWP_COL!$A$2:$A$103,0)),"No aplica")</f>
        <v>4</v>
      </c>
      <c r="O368" s="16"/>
    </row>
    <row r="369" customFormat="false" ht="14.25" hidden="false" customHeight="true" outlineLevel="0" collapsed="false">
      <c r="A369" s="39" t="n">
        <v>45779</v>
      </c>
      <c r="B369" s="6" t="s">
        <v>283</v>
      </c>
      <c r="C369" s="16" t="s">
        <v>20</v>
      </c>
      <c r="D369" s="16" t="s">
        <v>328</v>
      </c>
      <c r="E369" s="16" t="s">
        <v>329</v>
      </c>
      <c r="F369" s="16" t="s">
        <v>255</v>
      </c>
      <c r="G369" s="16" t="n">
        <v>1</v>
      </c>
      <c r="H369" s="16" t="s">
        <v>219</v>
      </c>
      <c r="I369" s="16" t="s">
        <v>265</v>
      </c>
      <c r="J369" s="16" t="s">
        <v>266</v>
      </c>
      <c r="K369" s="16" t="n">
        <v>3</v>
      </c>
      <c r="L369" s="40" t="n">
        <f aca="false">(K369/$Q$7)*100</f>
        <v>0.0569259962049336</v>
      </c>
      <c r="M369" s="16" t="s">
        <v>211</v>
      </c>
      <c r="N369" s="16" t="n">
        <f aca="false">IFERROR(INDEX(BMWP_COL!$B$2:$B$103,MATCH($I369,BMWP_COL!$A$2:$A$103,0)),"No aplica")</f>
        <v>10</v>
      </c>
      <c r="O369" s="16"/>
    </row>
    <row r="370" customFormat="false" ht="14.25" hidden="false" customHeight="true" outlineLevel="0" collapsed="false">
      <c r="A370" s="39" t="n">
        <v>45779</v>
      </c>
      <c r="B370" s="6" t="s">
        <v>283</v>
      </c>
      <c r="C370" s="16" t="s">
        <v>20</v>
      </c>
      <c r="D370" s="16" t="s">
        <v>328</v>
      </c>
      <c r="E370" s="16" t="s">
        <v>329</v>
      </c>
      <c r="F370" s="16" t="s">
        <v>255</v>
      </c>
      <c r="G370" s="16" t="n">
        <v>1</v>
      </c>
      <c r="H370" s="16" t="s">
        <v>198</v>
      </c>
      <c r="I370" s="16" t="s">
        <v>205</v>
      </c>
      <c r="J370" s="16" t="s">
        <v>207</v>
      </c>
      <c r="K370" s="16" t="n">
        <v>2</v>
      </c>
      <c r="L370" s="40" t="n">
        <f aca="false">(K370/$Q$7)*100</f>
        <v>0.0379506641366224</v>
      </c>
      <c r="M370" s="16" t="s">
        <v>201</v>
      </c>
      <c r="N370" s="16" t="n">
        <f aca="false">IFERROR(INDEX(BMWP_COL!$B$2:$B$103,MATCH($I370,BMWP_COL!$A$2:$A$103,0)),"No aplica")</f>
        <v>8</v>
      </c>
      <c r="O370" s="16"/>
    </row>
    <row r="371" customFormat="false" ht="14.25" hidden="false" customHeight="true" outlineLevel="0" collapsed="false">
      <c r="A371" s="39" t="n">
        <v>45779</v>
      </c>
      <c r="B371" s="6" t="s">
        <v>283</v>
      </c>
      <c r="C371" s="16" t="s">
        <v>20</v>
      </c>
      <c r="D371" s="16" t="s">
        <v>328</v>
      </c>
      <c r="E371" s="16" t="s">
        <v>329</v>
      </c>
      <c r="F371" s="16" t="s">
        <v>255</v>
      </c>
      <c r="G371" s="16" t="n">
        <v>1</v>
      </c>
      <c r="H371" s="16" t="s">
        <v>208</v>
      </c>
      <c r="I371" s="16" t="s">
        <v>209</v>
      </c>
      <c r="J371" s="16" t="s">
        <v>210</v>
      </c>
      <c r="K371" s="16" t="n">
        <v>57</v>
      </c>
      <c r="L371" s="40" t="n">
        <f aca="false">(K371/$Q$7)*100</f>
        <v>1.08159392789374</v>
      </c>
      <c r="M371" s="16" t="s">
        <v>211</v>
      </c>
      <c r="N371" s="16" t="n">
        <f aca="false">IFERROR(INDEX(BMWP_COL!$B$2:$B$103,MATCH($I371,BMWP_COL!$A$2:$A$103,0)),"No aplica")</f>
        <v>7</v>
      </c>
      <c r="O371" s="16"/>
    </row>
    <row r="372" customFormat="false" ht="14.25" hidden="false" customHeight="true" outlineLevel="0" collapsed="false">
      <c r="A372" s="39" t="n">
        <v>45779</v>
      </c>
      <c r="B372" s="6" t="s">
        <v>283</v>
      </c>
      <c r="C372" s="16" t="s">
        <v>20</v>
      </c>
      <c r="D372" s="16" t="s">
        <v>328</v>
      </c>
      <c r="E372" s="16" t="s">
        <v>329</v>
      </c>
      <c r="F372" s="16" t="s">
        <v>255</v>
      </c>
      <c r="G372" s="16" t="n">
        <v>1</v>
      </c>
      <c r="H372" s="16" t="s">
        <v>208</v>
      </c>
      <c r="I372" s="16" t="s">
        <v>209</v>
      </c>
      <c r="J372" s="16" t="s">
        <v>276</v>
      </c>
      <c r="K372" s="16" t="n">
        <v>22</v>
      </c>
      <c r="L372" s="40" t="n">
        <f aca="false">(K372/$Q$7)*100</f>
        <v>0.417457305502846</v>
      </c>
      <c r="M372" s="16" t="s">
        <v>211</v>
      </c>
      <c r="N372" s="16" t="n">
        <f aca="false">IFERROR(INDEX(BMWP_COL!$B$2:$B$103,MATCH($I372,BMWP_COL!$A$2:$A$103,0)),"No aplica")</f>
        <v>7</v>
      </c>
      <c r="O372" s="16"/>
    </row>
    <row r="373" customFormat="false" ht="14.25" hidden="false" customHeight="true" outlineLevel="0" collapsed="false">
      <c r="A373" s="39" t="n">
        <v>45779</v>
      </c>
      <c r="B373" s="6" t="s">
        <v>283</v>
      </c>
      <c r="C373" s="16" t="s">
        <v>20</v>
      </c>
      <c r="D373" s="16" t="s">
        <v>328</v>
      </c>
      <c r="E373" s="16" t="s">
        <v>329</v>
      </c>
      <c r="F373" s="16" t="s">
        <v>255</v>
      </c>
      <c r="G373" s="16" t="n">
        <v>1</v>
      </c>
      <c r="H373" s="16" t="s">
        <v>219</v>
      </c>
      <c r="I373" s="16" t="s">
        <v>260</v>
      </c>
      <c r="J373" s="16" t="s">
        <v>261</v>
      </c>
      <c r="K373" s="16" t="n">
        <v>8</v>
      </c>
      <c r="L373" s="40" t="n">
        <f aca="false">(K373/$Q$7)*100</f>
        <v>0.15180265654649</v>
      </c>
      <c r="M373" s="16" t="s">
        <v>225</v>
      </c>
      <c r="N373" s="16" t="n">
        <f aca="false">IFERROR(INDEX(BMWP_COL!$B$2:$B$103,MATCH($I373,BMWP_COL!$A$2:$A$103,0)),"No aplica")</f>
        <v>10</v>
      </c>
      <c r="O373" s="16"/>
    </row>
    <row r="374" customFormat="false" ht="14.25" hidden="false" customHeight="true" outlineLevel="0" collapsed="false">
      <c r="A374" s="39" t="n">
        <v>45779</v>
      </c>
      <c r="B374" s="6" t="s">
        <v>283</v>
      </c>
      <c r="C374" s="16" t="s">
        <v>20</v>
      </c>
      <c r="D374" s="16" t="s">
        <v>328</v>
      </c>
      <c r="E374" s="16" t="s">
        <v>329</v>
      </c>
      <c r="F374" s="16" t="s">
        <v>255</v>
      </c>
      <c r="G374" s="16" t="n">
        <v>1</v>
      </c>
      <c r="H374" s="16" t="s">
        <v>194</v>
      </c>
      <c r="I374" s="16" t="s">
        <v>223</v>
      </c>
      <c r="J374" s="16" t="s">
        <v>224</v>
      </c>
      <c r="K374" s="16" t="n">
        <v>10</v>
      </c>
      <c r="L374" s="40" t="n">
        <f aca="false">(K374/$Q$7)*100</f>
        <v>0.189753320683112</v>
      </c>
      <c r="M374" s="16" t="s">
        <v>225</v>
      </c>
      <c r="N374" s="16" t="n">
        <f aca="false">IFERROR(INDEX(BMWP_COL!$B$2:$B$103,MATCH($I374,BMWP_COL!$A$2:$A$103,0)),"No aplica")</f>
        <v>7</v>
      </c>
      <c r="O374" s="16"/>
    </row>
    <row r="375" customFormat="false" ht="14.25" hidden="false" customHeight="true" outlineLevel="0" collapsed="false">
      <c r="A375" s="39" t="n">
        <v>45779</v>
      </c>
      <c r="B375" s="6" t="s">
        <v>283</v>
      </c>
      <c r="C375" s="16" t="s">
        <v>20</v>
      </c>
      <c r="D375" s="16" t="s">
        <v>328</v>
      </c>
      <c r="E375" s="16" t="s">
        <v>329</v>
      </c>
      <c r="F375" s="16" t="s">
        <v>255</v>
      </c>
      <c r="G375" s="16" t="n">
        <v>1</v>
      </c>
      <c r="H375" s="16" t="s">
        <v>231</v>
      </c>
      <c r="I375" s="16" t="s">
        <v>232</v>
      </c>
      <c r="J375" s="16" t="s">
        <v>233</v>
      </c>
      <c r="K375" s="16" t="n">
        <v>1</v>
      </c>
      <c r="L375" s="40" t="n">
        <f aca="false">(K375/$Q$7)*100</f>
        <v>0.0189753320683112</v>
      </c>
      <c r="M375" s="16" t="s">
        <v>201</v>
      </c>
      <c r="N375" s="16" t="n">
        <f aca="false">IFERROR(INDEX(BMWP_COL!$B$2:$B$103,MATCH($I375,BMWP_COL!$A$2:$A$103,0)),"No aplica")</f>
        <v>6</v>
      </c>
      <c r="O375" s="16"/>
    </row>
    <row r="376" customFormat="false" ht="14.25" hidden="false" customHeight="true" outlineLevel="0" collapsed="false">
      <c r="A376" s="39" t="n">
        <v>45779</v>
      </c>
      <c r="B376" s="6" t="s">
        <v>283</v>
      </c>
      <c r="C376" s="16" t="s">
        <v>20</v>
      </c>
      <c r="D376" s="16" t="s">
        <v>328</v>
      </c>
      <c r="E376" s="16" t="s">
        <v>329</v>
      </c>
      <c r="F376" s="16" t="s">
        <v>255</v>
      </c>
      <c r="G376" s="16" t="n">
        <v>1</v>
      </c>
      <c r="H376" s="16" t="s">
        <v>194</v>
      </c>
      <c r="I376" s="16" t="s">
        <v>223</v>
      </c>
      <c r="J376" s="16" t="s">
        <v>234</v>
      </c>
      <c r="K376" s="16" t="n">
        <v>27</v>
      </c>
      <c r="L376" s="40" t="n">
        <f aca="false">(K376/$Q$7)*100</f>
        <v>0.512333965844402</v>
      </c>
      <c r="M376" s="16" t="s">
        <v>225</v>
      </c>
      <c r="N376" s="16" t="n">
        <f aca="false">IFERROR(INDEX(BMWP_COL!$B$2:$B$103,MATCH($I376,BMWP_COL!$A$2:$A$103,0)),"No aplica")</f>
        <v>7</v>
      </c>
      <c r="O376" s="16"/>
    </row>
    <row r="377" customFormat="false" ht="14.25" hidden="false" customHeight="true" outlineLevel="0" collapsed="false">
      <c r="A377" s="39" t="n">
        <v>45779</v>
      </c>
      <c r="B377" s="6" t="s">
        <v>283</v>
      </c>
      <c r="C377" s="16" t="s">
        <v>20</v>
      </c>
      <c r="D377" s="16" t="s">
        <v>328</v>
      </c>
      <c r="E377" s="16" t="s">
        <v>329</v>
      </c>
      <c r="F377" s="16" t="s">
        <v>255</v>
      </c>
      <c r="G377" s="16" t="n">
        <v>1</v>
      </c>
      <c r="H377" s="16" t="s">
        <v>202</v>
      </c>
      <c r="I377" s="16" t="s">
        <v>228</v>
      </c>
      <c r="J377" s="16" t="s">
        <v>229</v>
      </c>
      <c r="K377" s="16" t="n">
        <v>3</v>
      </c>
      <c r="L377" s="40" t="n">
        <f aca="false">(K377/$Q$7)*100</f>
        <v>0.0569259962049336</v>
      </c>
      <c r="M377" s="16" t="s">
        <v>230</v>
      </c>
      <c r="N377" s="16" t="n">
        <f aca="false">IFERROR(INDEX(BMWP_COL!$B$2:$B$103,MATCH($I377,BMWP_COL!$A$2:$A$103,0)),"No aplica")</f>
        <v>8</v>
      </c>
      <c r="O377" s="16"/>
    </row>
    <row r="378" customFormat="false" ht="14.25" hidden="false" customHeight="true" outlineLevel="0" collapsed="false">
      <c r="A378" s="39" t="n">
        <v>45779</v>
      </c>
      <c r="B378" s="6" t="s">
        <v>283</v>
      </c>
      <c r="C378" s="16" t="s">
        <v>20</v>
      </c>
      <c r="D378" s="16" t="s">
        <v>328</v>
      </c>
      <c r="E378" s="16" t="s">
        <v>329</v>
      </c>
      <c r="F378" s="16" t="s">
        <v>255</v>
      </c>
      <c r="G378" s="16" t="n">
        <v>1</v>
      </c>
      <c r="H378" s="16" t="s">
        <v>194</v>
      </c>
      <c r="I378" s="16" t="s">
        <v>195</v>
      </c>
      <c r="J378" s="16" t="s">
        <v>196</v>
      </c>
      <c r="K378" s="16" t="n">
        <v>4</v>
      </c>
      <c r="L378" s="40" t="n">
        <f aca="false">(K378/$Q$7)*100</f>
        <v>0.0759013282732448</v>
      </c>
      <c r="M378" s="16" t="s">
        <v>197</v>
      </c>
      <c r="N378" s="16" t="n">
        <f aca="false">IFERROR(INDEX(BMWP_COL!$B$2:$B$103,MATCH($I378,BMWP_COL!$A$2:$A$103,0)),"No aplica")</f>
        <v>8</v>
      </c>
      <c r="O378" s="16"/>
    </row>
    <row r="379" customFormat="false" ht="14.25" hidden="false" customHeight="true" outlineLevel="0" collapsed="false">
      <c r="A379" s="39" t="n">
        <v>45779</v>
      </c>
      <c r="B379" s="6" t="s">
        <v>283</v>
      </c>
      <c r="C379" s="16" t="s">
        <v>20</v>
      </c>
      <c r="D379" s="16" t="s">
        <v>328</v>
      </c>
      <c r="E379" s="16" t="s">
        <v>329</v>
      </c>
      <c r="F379" s="16" t="s">
        <v>255</v>
      </c>
      <c r="G379" s="16" t="n">
        <v>1</v>
      </c>
      <c r="H379" s="16" t="s">
        <v>194</v>
      </c>
      <c r="I379" s="16" t="s">
        <v>238</v>
      </c>
      <c r="J379" s="16" t="s">
        <v>239</v>
      </c>
      <c r="K379" s="16" t="n">
        <v>1</v>
      </c>
      <c r="L379" s="40" t="n">
        <f aca="false">(K379/$Q$7)*100</f>
        <v>0.0189753320683112</v>
      </c>
      <c r="M379" s="16" t="s">
        <v>225</v>
      </c>
      <c r="N379" s="16" t="n">
        <f aca="false">IFERROR(INDEX(BMWP_COL!$B$2:$B$103,MATCH($I379,BMWP_COL!$A$2:$A$103,0)),"No aplica")</f>
        <v>10</v>
      </c>
      <c r="O379" s="16"/>
    </row>
    <row r="380" customFormat="false" ht="14.25" hidden="false" customHeight="true" outlineLevel="0" collapsed="false">
      <c r="A380" s="39" t="n">
        <v>45779</v>
      </c>
      <c r="B380" s="6" t="s">
        <v>283</v>
      </c>
      <c r="C380" s="16" t="s">
        <v>20</v>
      </c>
      <c r="D380" s="16" t="s">
        <v>328</v>
      </c>
      <c r="E380" s="16" t="s">
        <v>329</v>
      </c>
      <c r="F380" s="16" t="s">
        <v>255</v>
      </c>
      <c r="G380" s="16" t="n">
        <v>1</v>
      </c>
      <c r="H380" s="16" t="s">
        <v>194</v>
      </c>
      <c r="I380" s="16" t="s">
        <v>331</v>
      </c>
      <c r="J380" s="16" t="s">
        <v>332</v>
      </c>
      <c r="K380" s="16" t="n">
        <v>1</v>
      </c>
      <c r="L380" s="40" t="n">
        <f aca="false">(K380/$Q$7)*100</f>
        <v>0.0189753320683112</v>
      </c>
      <c r="M380" s="16" t="s">
        <v>197</v>
      </c>
      <c r="N380" s="16" t="n">
        <f aca="false">IFERROR(INDEX(BMWP_COL!$B$2:$B$103,MATCH($I380,BMWP_COL!$A$2:$A$103,0)),"No aplica")</f>
        <v>8</v>
      </c>
      <c r="O380" s="16"/>
    </row>
    <row r="381" customFormat="false" ht="14.25" hidden="false" customHeight="true" outlineLevel="0" collapsed="false">
      <c r="A381" s="39" t="n">
        <v>45779</v>
      </c>
      <c r="B381" s="6" t="s">
        <v>283</v>
      </c>
      <c r="C381" s="16" t="s">
        <v>20</v>
      </c>
      <c r="D381" s="16" t="s">
        <v>328</v>
      </c>
      <c r="E381" s="16" t="s">
        <v>329</v>
      </c>
      <c r="F381" s="16" t="s">
        <v>255</v>
      </c>
      <c r="G381" s="16" t="n">
        <v>1</v>
      </c>
      <c r="H381" s="16" t="s">
        <v>208</v>
      </c>
      <c r="I381" s="16" t="s">
        <v>209</v>
      </c>
      <c r="J381" s="16" t="s">
        <v>212</v>
      </c>
      <c r="K381" s="16" t="n">
        <v>19</v>
      </c>
      <c r="L381" s="40" t="n">
        <f aca="false">(K381/$Q$7)*100</f>
        <v>0.360531309297913</v>
      </c>
      <c r="M381" s="16" t="s">
        <v>197</v>
      </c>
      <c r="N381" s="16" t="n">
        <f aca="false">IFERROR(INDEX(BMWP_COL!$B$2:$B$103,MATCH($I381,BMWP_COL!$A$2:$A$103,0)),"No aplica")</f>
        <v>7</v>
      </c>
      <c r="O381" s="16"/>
    </row>
    <row r="382" customFormat="false" ht="14.25" hidden="false" customHeight="true" outlineLevel="0" collapsed="false">
      <c r="A382" s="39" t="n">
        <v>45779</v>
      </c>
      <c r="B382" s="6" t="s">
        <v>283</v>
      </c>
      <c r="C382" s="16" t="s">
        <v>20</v>
      </c>
      <c r="D382" s="16" t="s">
        <v>328</v>
      </c>
      <c r="E382" s="16" t="s">
        <v>329</v>
      </c>
      <c r="F382" s="16" t="s">
        <v>255</v>
      </c>
      <c r="G382" s="16" t="n">
        <v>1</v>
      </c>
      <c r="H382" s="16" t="s">
        <v>198</v>
      </c>
      <c r="I382" s="16" t="s">
        <v>199</v>
      </c>
      <c r="J382" s="16" t="s">
        <v>200</v>
      </c>
      <c r="K382" s="16" t="n">
        <v>3</v>
      </c>
      <c r="L382" s="40" t="n">
        <f aca="false">(K382/$Q$7)*100</f>
        <v>0.0569259962049336</v>
      </c>
      <c r="M382" s="16" t="s">
        <v>201</v>
      </c>
      <c r="N382" s="16" t="n">
        <f aca="false">IFERROR(INDEX(BMWP_COL!$B$2:$B$103,MATCH($I382,BMWP_COL!$A$2:$A$103,0)),"No aplica")</f>
        <v>7</v>
      </c>
      <c r="O382" s="16"/>
    </row>
    <row r="383" customFormat="false" ht="14.25" hidden="false" customHeight="true" outlineLevel="0" collapsed="false">
      <c r="A383" s="39" t="n">
        <v>45779</v>
      </c>
      <c r="B383" s="6" t="s">
        <v>283</v>
      </c>
      <c r="C383" s="16" t="s">
        <v>20</v>
      </c>
      <c r="D383" s="16" t="s">
        <v>328</v>
      </c>
      <c r="E383" s="16" t="s">
        <v>329</v>
      </c>
      <c r="F383" s="16" t="s">
        <v>255</v>
      </c>
      <c r="G383" s="16" t="n">
        <v>1</v>
      </c>
      <c r="H383" s="16" t="s">
        <v>219</v>
      </c>
      <c r="I383" s="16" t="s">
        <v>220</v>
      </c>
      <c r="J383" s="16" t="s">
        <v>278</v>
      </c>
      <c r="K383" s="16" t="n">
        <v>7</v>
      </c>
      <c r="L383" s="40" t="n">
        <f aca="false">(K383/$Q$7)*100</f>
        <v>0.132827324478178</v>
      </c>
      <c r="M383" s="16" t="s">
        <v>197</v>
      </c>
      <c r="N383" s="16" t="n">
        <f aca="false">IFERROR(INDEX(BMWP_COL!$B$2:$B$103,MATCH($I383,BMWP_COL!$A$2:$A$103,0)),"No aplica")</f>
        <v>6</v>
      </c>
      <c r="O383" s="16"/>
    </row>
    <row r="384" customFormat="false" ht="14.25" hidden="false" customHeight="true" outlineLevel="0" collapsed="false">
      <c r="A384" s="39" t="n">
        <v>45779</v>
      </c>
      <c r="B384" s="6" t="s">
        <v>283</v>
      </c>
      <c r="C384" s="16" t="s">
        <v>20</v>
      </c>
      <c r="D384" s="16" t="s">
        <v>328</v>
      </c>
      <c r="E384" s="16" t="s">
        <v>329</v>
      </c>
      <c r="F384" s="16" t="s">
        <v>255</v>
      </c>
      <c r="G384" s="16" t="n">
        <v>1</v>
      </c>
      <c r="H384" s="16" t="s">
        <v>323</v>
      </c>
      <c r="I384" s="16" t="s">
        <v>333</v>
      </c>
      <c r="J384" s="16" t="s">
        <v>334</v>
      </c>
      <c r="K384" s="16" t="n">
        <v>2</v>
      </c>
      <c r="L384" s="40" t="n">
        <f aca="false">(K384/$Q$7)*100</f>
        <v>0.0379506641366224</v>
      </c>
      <c r="M384" s="16" t="s">
        <v>211</v>
      </c>
      <c r="N384" s="16" t="str">
        <f aca="false">IFERROR(INDEX(BMWP_COL!$B$2:$B$103,MATCH($I384,BMWP_COL!$A$2:$A$103,0)),"No aplica")</f>
        <v>No aplica</v>
      </c>
      <c r="O384" s="16"/>
    </row>
    <row r="385" customFormat="false" ht="14.25" hidden="false" customHeight="true" outlineLevel="0" collapsed="false">
      <c r="A385" s="39" t="n">
        <v>45779</v>
      </c>
      <c r="B385" s="6" t="s">
        <v>283</v>
      </c>
      <c r="C385" s="16" t="s">
        <v>20</v>
      </c>
      <c r="D385" s="16" t="s">
        <v>328</v>
      </c>
      <c r="E385" s="16" t="s">
        <v>329</v>
      </c>
      <c r="F385" s="16" t="s">
        <v>255</v>
      </c>
      <c r="G385" s="16" t="n">
        <v>2</v>
      </c>
      <c r="H385" s="16" t="s">
        <v>272</v>
      </c>
      <c r="I385" s="16" t="s">
        <v>273</v>
      </c>
      <c r="J385" s="16" t="s">
        <v>274</v>
      </c>
      <c r="K385" s="16" t="n">
        <v>16</v>
      </c>
      <c r="L385" s="40" t="n">
        <f aca="false">(K385/$Q$7)*100</f>
        <v>0.303605313092979</v>
      </c>
      <c r="M385" s="16" t="s">
        <v>201</v>
      </c>
      <c r="N385" s="16" t="n">
        <f aca="false">IFERROR(INDEX(BMWP_COL!$B$2:$B$103,MATCH($I385,BMWP_COL!$A$2:$A$103,0)),"No aplica")</f>
        <v>6</v>
      </c>
      <c r="O385" s="16"/>
    </row>
    <row r="386" customFormat="false" ht="14.25" hidden="false" customHeight="true" outlineLevel="0" collapsed="false">
      <c r="A386" s="39" t="n">
        <v>45779</v>
      </c>
      <c r="B386" s="6" t="s">
        <v>283</v>
      </c>
      <c r="C386" s="16" t="s">
        <v>20</v>
      </c>
      <c r="D386" s="16" t="s">
        <v>328</v>
      </c>
      <c r="E386" s="16" t="s">
        <v>329</v>
      </c>
      <c r="F386" s="16" t="s">
        <v>255</v>
      </c>
      <c r="G386" s="16" t="n">
        <v>2</v>
      </c>
      <c r="H386" s="16" t="s">
        <v>219</v>
      </c>
      <c r="I386" s="16" t="s">
        <v>220</v>
      </c>
      <c r="J386" s="16" t="s">
        <v>221</v>
      </c>
      <c r="K386" s="16" t="n">
        <v>96</v>
      </c>
      <c r="L386" s="40" t="n">
        <f aca="false">(K386/$Q$7)*100</f>
        <v>1.82163187855787</v>
      </c>
      <c r="M386" s="16" t="s">
        <v>197</v>
      </c>
      <c r="N386" s="16" t="n">
        <f aca="false">IFERROR(INDEX(BMWP_COL!$B$2:$B$103,MATCH($I386,BMWP_COL!$A$2:$A$103,0)),"No aplica")</f>
        <v>6</v>
      </c>
      <c r="O386" s="16"/>
    </row>
    <row r="387" customFormat="false" ht="14.25" hidden="false" customHeight="true" outlineLevel="0" collapsed="false">
      <c r="A387" s="39" t="n">
        <v>45779</v>
      </c>
      <c r="B387" s="6" t="s">
        <v>283</v>
      </c>
      <c r="C387" s="16" t="s">
        <v>20</v>
      </c>
      <c r="D387" s="16" t="s">
        <v>328</v>
      </c>
      <c r="E387" s="16" t="s">
        <v>329</v>
      </c>
      <c r="F387" s="16" t="s">
        <v>255</v>
      </c>
      <c r="G387" s="16" t="n">
        <v>2</v>
      </c>
      <c r="H387" s="16" t="s">
        <v>214</v>
      </c>
      <c r="I387" s="16" t="s">
        <v>215</v>
      </c>
      <c r="J387" s="16" t="s">
        <v>216</v>
      </c>
      <c r="K387" s="16" t="n">
        <v>18</v>
      </c>
      <c r="L387" s="40" t="n">
        <f aca="false">(K387/$Q$7)*100</f>
        <v>0.341555977229602</v>
      </c>
      <c r="M387" s="16" t="s">
        <v>201</v>
      </c>
      <c r="N387" s="16" t="n">
        <f aca="false">IFERROR(INDEX(BMWP_COL!$B$2:$B$103,MATCH($I387,BMWP_COL!$A$2:$A$103,0)),"No aplica")</f>
        <v>10</v>
      </c>
      <c r="O387" s="16"/>
    </row>
    <row r="388" customFormat="false" ht="14.25" hidden="false" customHeight="true" outlineLevel="0" collapsed="false">
      <c r="A388" s="39" t="n">
        <v>45779</v>
      </c>
      <c r="B388" s="6" t="s">
        <v>283</v>
      </c>
      <c r="C388" s="16" t="s">
        <v>20</v>
      </c>
      <c r="D388" s="16" t="s">
        <v>328</v>
      </c>
      <c r="E388" s="16" t="s">
        <v>329</v>
      </c>
      <c r="F388" s="16" t="s">
        <v>255</v>
      </c>
      <c r="G388" s="16" t="n">
        <v>2</v>
      </c>
      <c r="H388" s="16" t="s">
        <v>198</v>
      </c>
      <c r="I388" s="16" t="s">
        <v>199</v>
      </c>
      <c r="J388" s="16" t="s">
        <v>200</v>
      </c>
      <c r="K388" s="16" t="n">
        <v>12</v>
      </c>
      <c r="L388" s="40" t="n">
        <f aca="false">(K388/$Q$7)*100</f>
        <v>0.227703984819734</v>
      </c>
      <c r="M388" s="16" t="s">
        <v>201</v>
      </c>
      <c r="N388" s="16" t="n">
        <f aca="false">IFERROR(INDEX(BMWP_COL!$B$2:$B$103,MATCH($I388,BMWP_COL!$A$2:$A$103,0)),"No aplica")</f>
        <v>7</v>
      </c>
      <c r="O388" s="16"/>
    </row>
    <row r="389" customFormat="false" ht="14.25" hidden="false" customHeight="true" outlineLevel="0" collapsed="false">
      <c r="A389" s="39" t="n">
        <v>45779</v>
      </c>
      <c r="B389" s="6" t="s">
        <v>283</v>
      </c>
      <c r="C389" s="16" t="s">
        <v>20</v>
      </c>
      <c r="D389" s="16" t="s">
        <v>328</v>
      </c>
      <c r="E389" s="16" t="s">
        <v>329</v>
      </c>
      <c r="F389" s="16" t="s">
        <v>255</v>
      </c>
      <c r="G389" s="16" t="n">
        <v>2</v>
      </c>
      <c r="H389" s="16" t="s">
        <v>194</v>
      </c>
      <c r="I389" s="16" t="s">
        <v>223</v>
      </c>
      <c r="J389" s="16" t="s">
        <v>224</v>
      </c>
      <c r="K389" s="16" t="n">
        <v>16</v>
      </c>
      <c r="L389" s="40" t="n">
        <f aca="false">(K389/$Q$7)*100</f>
        <v>0.303605313092979</v>
      </c>
      <c r="M389" s="16" t="s">
        <v>225</v>
      </c>
      <c r="N389" s="16" t="n">
        <f aca="false">IFERROR(INDEX(BMWP_COL!$B$2:$B$103,MATCH($I389,BMWP_COL!$A$2:$A$103,0)),"No aplica")</f>
        <v>7</v>
      </c>
      <c r="O389" s="16"/>
    </row>
    <row r="390" customFormat="false" ht="14.25" hidden="false" customHeight="true" outlineLevel="0" collapsed="false">
      <c r="A390" s="39" t="n">
        <v>45779</v>
      </c>
      <c r="B390" s="6" t="s">
        <v>283</v>
      </c>
      <c r="C390" s="16" t="s">
        <v>20</v>
      </c>
      <c r="D390" s="16" t="s">
        <v>328</v>
      </c>
      <c r="E390" s="16" t="s">
        <v>329</v>
      </c>
      <c r="F390" s="16" t="s">
        <v>255</v>
      </c>
      <c r="G390" s="16" t="n">
        <v>2</v>
      </c>
      <c r="H390" s="16" t="s">
        <v>194</v>
      </c>
      <c r="I390" s="16" t="s">
        <v>223</v>
      </c>
      <c r="J390" s="16" t="s">
        <v>234</v>
      </c>
      <c r="K390" s="16" t="n">
        <v>33</v>
      </c>
      <c r="L390" s="40" t="n">
        <f aca="false">(K390/$Q$7)*100</f>
        <v>0.62618595825427</v>
      </c>
      <c r="M390" s="16" t="s">
        <v>225</v>
      </c>
      <c r="N390" s="16" t="n">
        <f aca="false">IFERROR(INDEX(BMWP_COL!$B$2:$B$103,MATCH($I390,BMWP_COL!$A$2:$A$103,0)),"No aplica")</f>
        <v>7</v>
      </c>
      <c r="O390" s="16"/>
    </row>
    <row r="391" customFormat="false" ht="14.25" hidden="false" customHeight="true" outlineLevel="0" collapsed="false">
      <c r="A391" s="39" t="n">
        <v>45779</v>
      </c>
      <c r="B391" s="6" t="s">
        <v>283</v>
      </c>
      <c r="C391" s="16" t="s">
        <v>20</v>
      </c>
      <c r="D391" s="16" t="s">
        <v>328</v>
      </c>
      <c r="E391" s="16" t="s">
        <v>329</v>
      </c>
      <c r="F391" s="16" t="s">
        <v>255</v>
      </c>
      <c r="G391" s="16" t="n">
        <v>2</v>
      </c>
      <c r="H391" s="16" t="s">
        <v>202</v>
      </c>
      <c r="I391" s="16" t="s">
        <v>217</v>
      </c>
      <c r="J391" s="16" t="s">
        <v>330</v>
      </c>
      <c r="K391" s="16" t="n">
        <v>2</v>
      </c>
      <c r="L391" s="40" t="n">
        <f aca="false">(K391/$Q$7)*100</f>
        <v>0.0379506641366224</v>
      </c>
      <c r="M391" s="16" t="s">
        <v>201</v>
      </c>
      <c r="N391" s="16" t="n">
        <f aca="false">IFERROR(INDEX(BMWP_COL!$B$2:$B$103,MATCH($I391,BMWP_COL!$A$2:$A$103,0)),"No aplica")</f>
        <v>4</v>
      </c>
      <c r="O391" s="16"/>
    </row>
    <row r="392" customFormat="false" ht="14.25" hidden="false" customHeight="true" outlineLevel="0" collapsed="false">
      <c r="A392" s="39" t="n">
        <v>45779</v>
      </c>
      <c r="B392" s="6" t="s">
        <v>283</v>
      </c>
      <c r="C392" s="16" t="s">
        <v>20</v>
      </c>
      <c r="D392" s="16" t="s">
        <v>328</v>
      </c>
      <c r="E392" s="16" t="s">
        <v>329</v>
      </c>
      <c r="F392" s="16" t="s">
        <v>255</v>
      </c>
      <c r="G392" s="16" t="n">
        <v>2</v>
      </c>
      <c r="H392" s="16" t="s">
        <v>219</v>
      </c>
      <c r="I392" s="16" t="s">
        <v>265</v>
      </c>
      <c r="J392" s="16" t="s">
        <v>266</v>
      </c>
      <c r="K392" s="16" t="n">
        <v>13</v>
      </c>
      <c r="L392" s="40" t="n">
        <f aca="false">(K392/$Q$7)*100</f>
        <v>0.246679316888046</v>
      </c>
      <c r="M392" s="16" t="s">
        <v>211</v>
      </c>
      <c r="N392" s="16" t="n">
        <f aca="false">IFERROR(INDEX(BMWP_COL!$B$2:$B$103,MATCH($I392,BMWP_COL!$A$2:$A$103,0)),"No aplica")</f>
        <v>10</v>
      </c>
      <c r="O392" s="16" t="s">
        <v>335</v>
      </c>
    </row>
    <row r="393" customFormat="false" ht="14.25" hidden="false" customHeight="true" outlineLevel="0" collapsed="false">
      <c r="A393" s="39" t="n">
        <v>45779</v>
      </c>
      <c r="B393" s="6" t="s">
        <v>283</v>
      </c>
      <c r="C393" s="16" t="s">
        <v>20</v>
      </c>
      <c r="D393" s="16" t="s">
        <v>328</v>
      </c>
      <c r="E393" s="16" t="s">
        <v>329</v>
      </c>
      <c r="F393" s="16" t="s">
        <v>255</v>
      </c>
      <c r="G393" s="16" t="n">
        <v>2</v>
      </c>
      <c r="H393" s="16" t="s">
        <v>286</v>
      </c>
      <c r="I393" s="16" t="s">
        <v>336</v>
      </c>
      <c r="J393" s="16" t="s">
        <v>337</v>
      </c>
      <c r="K393" s="16" t="n">
        <v>1</v>
      </c>
      <c r="L393" s="40" t="n">
        <f aca="false">(K393/$Q$7)*100</f>
        <v>0.0189753320683112</v>
      </c>
      <c r="M393" s="16" t="s">
        <v>211</v>
      </c>
      <c r="N393" s="16" t="n">
        <f aca="false">IFERROR(INDEX(BMWP_COL!$B$2:$B$103,MATCH($I393,BMWP_COL!$A$2:$A$103,0)),"No aplica")</f>
        <v>3</v>
      </c>
      <c r="O393" s="16"/>
    </row>
    <row r="394" customFormat="false" ht="14.25" hidden="false" customHeight="true" outlineLevel="0" collapsed="false">
      <c r="A394" s="39" t="n">
        <v>45779</v>
      </c>
      <c r="B394" s="6" t="s">
        <v>283</v>
      </c>
      <c r="C394" s="16" t="s">
        <v>20</v>
      </c>
      <c r="D394" s="16" t="s">
        <v>328</v>
      </c>
      <c r="E394" s="16" t="s">
        <v>329</v>
      </c>
      <c r="F394" s="16" t="s">
        <v>255</v>
      </c>
      <c r="G394" s="16" t="n">
        <v>2</v>
      </c>
      <c r="H394" s="16" t="s">
        <v>249</v>
      </c>
      <c r="I394" s="16" t="s">
        <v>250</v>
      </c>
      <c r="J394" s="16" t="s">
        <v>251</v>
      </c>
      <c r="K394" s="16" t="n">
        <v>54</v>
      </c>
      <c r="L394" s="40" t="n">
        <f aca="false">(K394/$Q$7)*100</f>
        <v>1.0246679316888</v>
      </c>
      <c r="M394" s="16" t="s">
        <v>201</v>
      </c>
      <c r="N394" s="16" t="n">
        <f aca="false">IFERROR(INDEX(BMWP_COL!$B$2:$B$103,MATCH($I394,BMWP_COL!$A$2:$A$103,0)),"No aplica")</f>
        <v>10</v>
      </c>
      <c r="O394" s="16"/>
    </row>
    <row r="395" customFormat="false" ht="14.25" hidden="false" customHeight="true" outlineLevel="0" collapsed="false">
      <c r="A395" s="39" t="n">
        <v>45779</v>
      </c>
      <c r="B395" s="6" t="s">
        <v>283</v>
      </c>
      <c r="C395" s="16" t="s">
        <v>20</v>
      </c>
      <c r="D395" s="16" t="s">
        <v>328</v>
      </c>
      <c r="E395" s="16" t="s">
        <v>329</v>
      </c>
      <c r="F395" s="16" t="s">
        <v>255</v>
      </c>
      <c r="G395" s="16" t="n">
        <v>2</v>
      </c>
      <c r="H395" s="16" t="s">
        <v>198</v>
      </c>
      <c r="I395" s="16" t="s">
        <v>205</v>
      </c>
      <c r="J395" s="16" t="s">
        <v>207</v>
      </c>
      <c r="K395" s="16" t="n">
        <v>3</v>
      </c>
      <c r="L395" s="40" t="n">
        <f aca="false">(K395/$Q$7)*100</f>
        <v>0.0569259962049336</v>
      </c>
      <c r="M395" s="16" t="s">
        <v>201</v>
      </c>
      <c r="N395" s="16" t="n">
        <f aca="false">IFERROR(INDEX(BMWP_COL!$B$2:$B$103,MATCH($I395,BMWP_COL!$A$2:$A$103,0)),"No aplica")</f>
        <v>8</v>
      </c>
      <c r="O395" s="16"/>
    </row>
    <row r="396" customFormat="false" ht="14.25" hidden="false" customHeight="true" outlineLevel="0" collapsed="false">
      <c r="A396" s="39" t="n">
        <v>45779</v>
      </c>
      <c r="B396" s="6" t="s">
        <v>283</v>
      </c>
      <c r="C396" s="16" t="s">
        <v>20</v>
      </c>
      <c r="D396" s="16" t="s">
        <v>328</v>
      </c>
      <c r="E396" s="16" t="s">
        <v>329</v>
      </c>
      <c r="F396" s="16" t="s">
        <v>255</v>
      </c>
      <c r="G396" s="16" t="n">
        <v>2</v>
      </c>
      <c r="H396" s="16" t="s">
        <v>219</v>
      </c>
      <c r="I396" s="16" t="s">
        <v>260</v>
      </c>
      <c r="J396" s="16" t="s">
        <v>261</v>
      </c>
      <c r="K396" s="16" t="n">
        <v>9</v>
      </c>
      <c r="L396" s="40" t="n">
        <f aca="false">(K396/$Q$7)*100</f>
        <v>0.170777988614801</v>
      </c>
      <c r="M396" s="16" t="s">
        <v>225</v>
      </c>
      <c r="N396" s="16" t="n">
        <f aca="false">IFERROR(INDEX(BMWP_COL!$B$2:$B$103,MATCH($I396,BMWP_COL!$A$2:$A$103,0)),"No aplica")</f>
        <v>10</v>
      </c>
      <c r="O396" s="16"/>
    </row>
    <row r="397" customFormat="false" ht="14.25" hidden="false" customHeight="true" outlineLevel="0" collapsed="false">
      <c r="A397" s="39" t="n">
        <v>45779</v>
      </c>
      <c r="B397" s="6" t="s">
        <v>283</v>
      </c>
      <c r="C397" s="16" t="s">
        <v>20</v>
      </c>
      <c r="D397" s="16" t="s">
        <v>328</v>
      </c>
      <c r="E397" s="16" t="s">
        <v>329</v>
      </c>
      <c r="F397" s="16" t="s">
        <v>255</v>
      </c>
      <c r="G397" s="16" t="n">
        <v>2</v>
      </c>
      <c r="H397" s="16" t="s">
        <v>202</v>
      </c>
      <c r="I397" s="16" t="s">
        <v>228</v>
      </c>
      <c r="J397" s="16" t="s">
        <v>229</v>
      </c>
      <c r="K397" s="16" t="n">
        <v>10</v>
      </c>
      <c r="L397" s="40" t="n">
        <f aca="false">(K397/$Q$7)*100</f>
        <v>0.189753320683112</v>
      </c>
      <c r="M397" s="16" t="s">
        <v>230</v>
      </c>
      <c r="N397" s="16" t="n">
        <f aca="false">IFERROR(INDEX(BMWP_COL!$B$2:$B$103,MATCH($I397,BMWP_COL!$A$2:$A$103,0)),"No aplica")</f>
        <v>8</v>
      </c>
      <c r="O397" s="16"/>
    </row>
    <row r="398" customFormat="false" ht="14.25" hidden="false" customHeight="true" outlineLevel="0" collapsed="false">
      <c r="A398" s="39" t="n">
        <v>45779</v>
      </c>
      <c r="B398" s="6" t="s">
        <v>283</v>
      </c>
      <c r="C398" s="16" t="s">
        <v>20</v>
      </c>
      <c r="D398" s="16" t="s">
        <v>328</v>
      </c>
      <c r="E398" s="16" t="s">
        <v>329</v>
      </c>
      <c r="F398" s="16" t="s">
        <v>255</v>
      </c>
      <c r="G398" s="16" t="n">
        <v>2</v>
      </c>
      <c r="H398" s="16" t="s">
        <v>208</v>
      </c>
      <c r="I398" s="16" t="s">
        <v>209</v>
      </c>
      <c r="J398" s="16" t="s">
        <v>212</v>
      </c>
      <c r="K398" s="16" t="n">
        <v>67</v>
      </c>
      <c r="L398" s="40" t="n">
        <f aca="false">(K398/$Q$7)*100</f>
        <v>1.27134724857685</v>
      </c>
      <c r="M398" s="16" t="s">
        <v>197</v>
      </c>
      <c r="N398" s="16" t="n">
        <f aca="false">IFERROR(INDEX(BMWP_COL!$B$2:$B$103,MATCH($I398,BMWP_COL!$A$2:$A$103,0)),"No aplica")</f>
        <v>7</v>
      </c>
      <c r="O398" s="16"/>
    </row>
    <row r="399" customFormat="false" ht="14.25" hidden="false" customHeight="true" outlineLevel="0" collapsed="false">
      <c r="A399" s="39" t="n">
        <v>45779</v>
      </c>
      <c r="B399" s="6" t="s">
        <v>283</v>
      </c>
      <c r="C399" s="16" t="s">
        <v>20</v>
      </c>
      <c r="D399" s="16" t="s">
        <v>328</v>
      </c>
      <c r="E399" s="16" t="s">
        <v>329</v>
      </c>
      <c r="F399" s="16" t="s">
        <v>255</v>
      </c>
      <c r="G399" s="16" t="n">
        <v>2</v>
      </c>
      <c r="H399" s="16" t="s">
        <v>208</v>
      </c>
      <c r="I399" s="16" t="s">
        <v>209</v>
      </c>
      <c r="J399" s="16" t="s">
        <v>210</v>
      </c>
      <c r="K399" s="16" t="n">
        <v>59</v>
      </c>
      <c r="L399" s="40" t="n">
        <f aca="false">(K399/$Q$7)*100</f>
        <v>1.11954459203036</v>
      </c>
      <c r="M399" s="16" t="s">
        <v>211</v>
      </c>
      <c r="N399" s="16" t="n">
        <f aca="false">IFERROR(INDEX(BMWP_COL!$B$2:$B$103,MATCH($I399,BMWP_COL!$A$2:$A$103,0)),"No aplica")</f>
        <v>7</v>
      </c>
      <c r="O399" s="16"/>
    </row>
    <row r="400" customFormat="false" ht="14.25" hidden="false" customHeight="true" outlineLevel="0" collapsed="false">
      <c r="A400" s="39" t="n">
        <v>45779</v>
      </c>
      <c r="B400" s="6" t="s">
        <v>283</v>
      </c>
      <c r="C400" s="16" t="s">
        <v>20</v>
      </c>
      <c r="D400" s="16" t="s">
        <v>328</v>
      </c>
      <c r="E400" s="16" t="s">
        <v>329</v>
      </c>
      <c r="F400" s="16" t="s">
        <v>255</v>
      </c>
      <c r="G400" s="16" t="n">
        <v>2</v>
      </c>
      <c r="H400" s="16" t="s">
        <v>208</v>
      </c>
      <c r="I400" s="16" t="s">
        <v>247</v>
      </c>
      <c r="J400" s="16" t="s">
        <v>248</v>
      </c>
      <c r="K400" s="16" t="n">
        <v>108</v>
      </c>
      <c r="L400" s="40" t="n">
        <f aca="false">(K400/$Q$7)*100</f>
        <v>2.04933586337761</v>
      </c>
      <c r="M400" s="16" t="s">
        <v>197</v>
      </c>
      <c r="N400" s="16" t="n">
        <f aca="false">IFERROR(INDEX(BMWP_COL!$B$2:$B$103,MATCH($I400,BMWP_COL!$A$2:$A$103,0)),"No aplica")</f>
        <v>9</v>
      </c>
      <c r="O400" s="16" t="s">
        <v>338</v>
      </c>
    </row>
    <row r="401" customFormat="false" ht="14.25" hidden="false" customHeight="true" outlineLevel="0" collapsed="false">
      <c r="A401" s="39" t="n">
        <v>45779</v>
      </c>
      <c r="B401" s="6" t="s">
        <v>283</v>
      </c>
      <c r="C401" s="16" t="s">
        <v>20</v>
      </c>
      <c r="D401" s="16" t="s">
        <v>328</v>
      </c>
      <c r="E401" s="16" t="s">
        <v>329</v>
      </c>
      <c r="F401" s="16" t="s">
        <v>255</v>
      </c>
      <c r="G401" s="16" t="n">
        <v>2</v>
      </c>
      <c r="H401" s="16" t="s">
        <v>219</v>
      </c>
      <c r="I401" s="16" t="s">
        <v>279</v>
      </c>
      <c r="J401" s="16" t="s">
        <v>279</v>
      </c>
      <c r="K401" s="16" t="n">
        <v>1</v>
      </c>
      <c r="L401" s="40" t="n">
        <f aca="false">(K401/$Q$7)*100</f>
        <v>0.0189753320683112</v>
      </c>
      <c r="M401" s="16" t="s">
        <v>201</v>
      </c>
      <c r="N401" s="16" t="n">
        <f aca="false">IFERROR(INDEX(BMWP_COL!$B$2:$B$103,MATCH($I401,BMWP_COL!$A$2:$A$103,0)),"No aplica")</f>
        <v>6</v>
      </c>
      <c r="O401" s="16"/>
    </row>
    <row r="402" customFormat="false" ht="14.25" hidden="false" customHeight="true" outlineLevel="0" collapsed="false">
      <c r="A402" s="39" t="n">
        <v>45779</v>
      </c>
      <c r="B402" s="6" t="s">
        <v>283</v>
      </c>
      <c r="C402" s="16" t="s">
        <v>20</v>
      </c>
      <c r="D402" s="16" t="s">
        <v>328</v>
      </c>
      <c r="E402" s="16" t="s">
        <v>329</v>
      </c>
      <c r="F402" s="16" t="s">
        <v>255</v>
      </c>
      <c r="G402" s="16" t="n">
        <v>2</v>
      </c>
      <c r="H402" s="16" t="s">
        <v>208</v>
      </c>
      <c r="I402" s="16" t="s">
        <v>226</v>
      </c>
      <c r="J402" s="16" t="s">
        <v>297</v>
      </c>
      <c r="K402" s="16" t="n">
        <v>2</v>
      </c>
      <c r="L402" s="40" t="n">
        <f aca="false">(K402/$Q$7)*100</f>
        <v>0.0379506641366224</v>
      </c>
      <c r="M402" s="16" t="s">
        <v>197</v>
      </c>
      <c r="N402" s="16" t="n">
        <f aca="false">IFERROR(INDEX(BMWP_COL!$B$2:$B$103,MATCH($I402,BMWP_COL!$A$2:$A$103,0)),"No aplica")</f>
        <v>7</v>
      </c>
      <c r="O402" s="16"/>
    </row>
    <row r="403" customFormat="false" ht="14.25" hidden="false" customHeight="true" outlineLevel="0" collapsed="false">
      <c r="A403" s="39" t="n">
        <v>45779</v>
      </c>
      <c r="B403" s="6" t="s">
        <v>283</v>
      </c>
      <c r="C403" s="16" t="s">
        <v>20</v>
      </c>
      <c r="D403" s="16" t="s">
        <v>328</v>
      </c>
      <c r="E403" s="16" t="s">
        <v>329</v>
      </c>
      <c r="F403" s="16" t="s">
        <v>255</v>
      </c>
      <c r="G403" s="16" t="n">
        <v>2</v>
      </c>
      <c r="H403" s="16" t="s">
        <v>219</v>
      </c>
      <c r="I403" s="16" t="s">
        <v>220</v>
      </c>
      <c r="J403" s="16" t="s">
        <v>278</v>
      </c>
      <c r="K403" s="16" t="n">
        <v>14</v>
      </c>
      <c r="L403" s="40" t="n">
        <f aca="false">(K403/$Q$7)*100</f>
        <v>0.265654648956357</v>
      </c>
      <c r="M403" s="16" t="s">
        <v>197</v>
      </c>
      <c r="N403" s="16" t="n">
        <f aca="false">IFERROR(INDEX(BMWP_COL!$B$2:$B$103,MATCH($I403,BMWP_COL!$A$2:$A$103,0)),"No aplica")</f>
        <v>6</v>
      </c>
      <c r="O403" s="16"/>
    </row>
    <row r="404" customFormat="false" ht="14.25" hidden="false" customHeight="true" outlineLevel="0" collapsed="false">
      <c r="A404" s="39" t="n">
        <v>45779</v>
      </c>
      <c r="B404" s="6" t="s">
        <v>283</v>
      </c>
      <c r="C404" s="16" t="s">
        <v>20</v>
      </c>
      <c r="D404" s="16" t="s">
        <v>328</v>
      </c>
      <c r="E404" s="16" t="s">
        <v>329</v>
      </c>
      <c r="F404" s="16" t="s">
        <v>255</v>
      </c>
      <c r="G404" s="16" t="n">
        <v>2</v>
      </c>
      <c r="H404" s="16" t="s">
        <v>194</v>
      </c>
      <c r="I404" s="16" t="s">
        <v>270</v>
      </c>
      <c r="J404" s="16" t="s">
        <v>271</v>
      </c>
      <c r="K404" s="16" t="n">
        <v>5</v>
      </c>
      <c r="L404" s="40" t="n">
        <f aca="false">(K404/$Q$7)*100</f>
        <v>0.094876660341556</v>
      </c>
      <c r="M404" s="16" t="s">
        <v>230</v>
      </c>
      <c r="N404" s="16" t="n">
        <f aca="false">IFERROR(INDEX(BMWP_COL!$B$2:$B$103,MATCH($I404,BMWP_COL!$A$2:$A$103,0)),"No aplica")</f>
        <v>9</v>
      </c>
      <c r="O404" s="16"/>
    </row>
    <row r="405" customFormat="false" ht="14.25" hidden="false" customHeight="true" outlineLevel="0" collapsed="false">
      <c r="A405" s="39" t="n">
        <v>45779</v>
      </c>
      <c r="B405" s="6" t="s">
        <v>283</v>
      </c>
      <c r="C405" s="16" t="s">
        <v>20</v>
      </c>
      <c r="D405" s="16" t="s">
        <v>328</v>
      </c>
      <c r="E405" s="16" t="s">
        <v>329</v>
      </c>
      <c r="F405" s="16" t="s">
        <v>255</v>
      </c>
      <c r="G405" s="16" t="n">
        <v>2</v>
      </c>
      <c r="H405" s="16" t="s">
        <v>208</v>
      </c>
      <c r="I405" s="16" t="s">
        <v>209</v>
      </c>
      <c r="J405" s="16" t="s">
        <v>276</v>
      </c>
      <c r="K405" s="16" t="n">
        <v>1</v>
      </c>
      <c r="L405" s="40" t="n">
        <f aca="false">(K405/$Q$7)*100</f>
        <v>0.0189753320683112</v>
      </c>
      <c r="M405" s="16" t="s">
        <v>211</v>
      </c>
      <c r="N405" s="16" t="n">
        <f aca="false">IFERROR(INDEX(BMWP_COL!$B$2:$B$103,MATCH($I405,BMWP_COL!$A$2:$A$103,0)),"No aplica")</f>
        <v>7</v>
      </c>
      <c r="O405" s="16"/>
    </row>
    <row r="406" customFormat="false" ht="14.25" hidden="false" customHeight="true" outlineLevel="0" collapsed="false">
      <c r="A406" s="39" t="n">
        <v>45779</v>
      </c>
      <c r="B406" s="6" t="s">
        <v>283</v>
      </c>
      <c r="C406" s="16" t="s">
        <v>20</v>
      </c>
      <c r="D406" s="16" t="s">
        <v>328</v>
      </c>
      <c r="E406" s="16" t="s">
        <v>329</v>
      </c>
      <c r="F406" s="16" t="s">
        <v>255</v>
      </c>
      <c r="G406" s="16" t="n">
        <v>2</v>
      </c>
      <c r="H406" s="16" t="s">
        <v>202</v>
      </c>
      <c r="I406" s="16" t="s">
        <v>217</v>
      </c>
      <c r="J406" s="16" t="s">
        <v>218</v>
      </c>
      <c r="K406" s="16" t="n">
        <v>5</v>
      </c>
      <c r="L406" s="40" t="n">
        <f aca="false">(K406/$Q$7)*100</f>
        <v>0.094876660341556</v>
      </c>
      <c r="M406" s="16" t="s">
        <v>201</v>
      </c>
      <c r="N406" s="16" t="n">
        <f aca="false">IFERROR(INDEX(BMWP_COL!$B$2:$B$103,MATCH($I406,BMWP_COL!$A$2:$A$103,0)),"No aplica")</f>
        <v>4</v>
      </c>
      <c r="O406" s="16"/>
    </row>
    <row r="407" customFormat="false" ht="14.25" hidden="false" customHeight="true" outlineLevel="0" collapsed="false">
      <c r="A407" s="39" t="n">
        <v>45779</v>
      </c>
      <c r="B407" s="6" t="s">
        <v>283</v>
      </c>
      <c r="C407" s="16" t="s">
        <v>20</v>
      </c>
      <c r="D407" s="16" t="s">
        <v>328</v>
      </c>
      <c r="E407" s="16" t="s">
        <v>329</v>
      </c>
      <c r="F407" s="16" t="s">
        <v>255</v>
      </c>
      <c r="G407" s="16" t="n">
        <v>2</v>
      </c>
      <c r="H407" s="16" t="s">
        <v>214</v>
      </c>
      <c r="I407" s="16" t="s">
        <v>252</v>
      </c>
      <c r="J407" s="16" t="s">
        <v>252</v>
      </c>
      <c r="K407" s="16" t="n">
        <v>3</v>
      </c>
      <c r="L407" s="40" t="n">
        <f aca="false">(K407/$Q$7)*100</f>
        <v>0.0569259962049336</v>
      </c>
      <c r="M407" s="16" t="s">
        <v>201</v>
      </c>
      <c r="N407" s="16" t="n">
        <f aca="false">IFERROR(INDEX(BMWP_COL!$B$2:$B$103,MATCH($I407,BMWP_COL!$A$2:$A$103,0)),"No aplica")</f>
        <v>6</v>
      </c>
      <c r="O407" s="16"/>
    </row>
    <row r="408" customFormat="false" ht="14.25" hidden="false" customHeight="true" outlineLevel="0" collapsed="false">
      <c r="A408" s="39" t="n">
        <v>45779</v>
      </c>
      <c r="B408" s="6" t="s">
        <v>283</v>
      </c>
      <c r="C408" s="16" t="s">
        <v>20</v>
      </c>
      <c r="D408" s="16" t="s">
        <v>328</v>
      </c>
      <c r="E408" s="16" t="s">
        <v>329</v>
      </c>
      <c r="F408" s="16" t="s">
        <v>255</v>
      </c>
      <c r="G408" s="16" t="n">
        <v>2</v>
      </c>
      <c r="H408" s="16" t="s">
        <v>214</v>
      </c>
      <c r="I408" s="16" t="s">
        <v>258</v>
      </c>
      <c r="J408" s="16" t="s">
        <v>259</v>
      </c>
      <c r="K408" s="16" t="n">
        <v>4</v>
      </c>
      <c r="L408" s="40" t="n">
        <f aca="false">(K408/$Q$7)*100</f>
        <v>0.0759013282732448</v>
      </c>
      <c r="M408" s="16" t="s">
        <v>201</v>
      </c>
      <c r="N408" s="16" t="n">
        <f aca="false">IFERROR(INDEX(BMWP_COL!$B$2:$B$103,MATCH($I408,BMWP_COL!$A$2:$A$103,0)),"No aplica")</f>
        <v>6</v>
      </c>
      <c r="O408" s="16"/>
    </row>
    <row r="409" customFormat="false" ht="14.25" hidden="false" customHeight="true" outlineLevel="0" collapsed="false">
      <c r="A409" s="39" t="n">
        <v>45779</v>
      </c>
      <c r="B409" s="6" t="s">
        <v>283</v>
      </c>
      <c r="C409" s="16" t="s">
        <v>20</v>
      </c>
      <c r="D409" s="16" t="s">
        <v>328</v>
      </c>
      <c r="E409" s="16" t="s">
        <v>329</v>
      </c>
      <c r="F409" s="16" t="s">
        <v>255</v>
      </c>
      <c r="G409" s="16" t="n">
        <v>2</v>
      </c>
      <c r="H409" s="16" t="s">
        <v>194</v>
      </c>
      <c r="I409" s="16" t="s">
        <v>195</v>
      </c>
      <c r="J409" s="16" t="s">
        <v>196</v>
      </c>
      <c r="K409" s="16" t="n">
        <v>1</v>
      </c>
      <c r="L409" s="40" t="n">
        <f aca="false">(K409/$Q$7)*100</f>
        <v>0.0189753320683112</v>
      </c>
      <c r="M409" s="16" t="s">
        <v>197</v>
      </c>
      <c r="N409" s="16" t="n">
        <f aca="false">IFERROR(INDEX(BMWP_COL!$B$2:$B$103,MATCH($I409,BMWP_COL!$A$2:$A$103,0)),"No aplica")</f>
        <v>8</v>
      </c>
      <c r="O409" s="16"/>
    </row>
    <row r="410" customFormat="false" ht="14.25" hidden="false" customHeight="true" outlineLevel="0" collapsed="false">
      <c r="A410" s="39" t="n">
        <v>45779</v>
      </c>
      <c r="B410" s="6" t="s">
        <v>283</v>
      </c>
      <c r="C410" s="16" t="s">
        <v>20</v>
      </c>
      <c r="D410" s="16" t="s">
        <v>328</v>
      </c>
      <c r="E410" s="16" t="s">
        <v>329</v>
      </c>
      <c r="F410" s="16" t="s">
        <v>255</v>
      </c>
      <c r="G410" s="16" t="n">
        <v>2</v>
      </c>
      <c r="H410" s="16" t="s">
        <v>208</v>
      </c>
      <c r="I410" s="16" t="s">
        <v>209</v>
      </c>
      <c r="J410" s="16" t="s">
        <v>339</v>
      </c>
      <c r="K410" s="16" t="n">
        <v>1</v>
      </c>
      <c r="L410" s="40" t="n">
        <f aca="false">(K410/$Q$7)*100</f>
        <v>0.0189753320683112</v>
      </c>
      <c r="M410" s="16" t="s">
        <v>197</v>
      </c>
      <c r="N410" s="16" t="n">
        <f aca="false">IFERROR(INDEX(BMWP_COL!$B$2:$B$103,MATCH($I410,BMWP_COL!$A$2:$A$103,0)),"No aplica")</f>
        <v>7</v>
      </c>
      <c r="O410" s="16"/>
    </row>
    <row r="411" customFormat="false" ht="14.25" hidden="false" customHeight="true" outlineLevel="0" collapsed="false">
      <c r="A411" s="39" t="n">
        <v>45779</v>
      </c>
      <c r="B411" s="6" t="s">
        <v>283</v>
      </c>
      <c r="C411" s="16" t="s">
        <v>20</v>
      </c>
      <c r="D411" s="16" t="s">
        <v>328</v>
      </c>
      <c r="E411" s="16" t="s">
        <v>329</v>
      </c>
      <c r="F411" s="16" t="s">
        <v>255</v>
      </c>
      <c r="G411" s="16" t="n">
        <v>2</v>
      </c>
      <c r="H411" s="16" t="s">
        <v>202</v>
      </c>
      <c r="I411" s="16" t="s">
        <v>302</v>
      </c>
      <c r="J411" s="16" t="s">
        <v>303</v>
      </c>
      <c r="K411" s="16" t="n">
        <v>2</v>
      </c>
      <c r="L411" s="40" t="n">
        <f aca="false">(K411/$Q$7)*100</f>
        <v>0.0379506641366224</v>
      </c>
      <c r="M411" s="16" t="s">
        <v>201</v>
      </c>
      <c r="N411" s="16" t="n">
        <f aca="false">IFERROR(INDEX(BMWP_COL!$B$2:$B$103,MATCH($I411,BMWP_COL!$A$2:$A$103,0)),"No aplica")</f>
        <v>3</v>
      </c>
      <c r="O411" s="16"/>
    </row>
    <row r="412" customFormat="false" ht="14.25" hidden="false" customHeight="true" outlineLevel="0" collapsed="false">
      <c r="A412" s="39" t="n">
        <v>45779</v>
      </c>
      <c r="B412" s="6" t="s">
        <v>283</v>
      </c>
      <c r="C412" s="16" t="s">
        <v>20</v>
      </c>
      <c r="D412" s="16" t="s">
        <v>328</v>
      </c>
      <c r="E412" s="16" t="s">
        <v>329</v>
      </c>
      <c r="F412" s="16" t="s">
        <v>255</v>
      </c>
      <c r="G412" s="16" t="n">
        <v>2</v>
      </c>
      <c r="H412" s="16" t="s">
        <v>198</v>
      </c>
      <c r="I412" s="16" t="s">
        <v>205</v>
      </c>
      <c r="J412" s="16" t="s">
        <v>206</v>
      </c>
      <c r="K412" s="16" t="n">
        <v>4</v>
      </c>
      <c r="L412" s="40" t="n">
        <f aca="false">(K412/$Q$7)*100</f>
        <v>0.0759013282732448</v>
      </c>
      <c r="M412" s="16" t="s">
        <v>201</v>
      </c>
      <c r="N412" s="16" t="n">
        <f aca="false">IFERROR(INDEX(BMWP_COL!$B$2:$B$103,MATCH($I412,BMWP_COL!$A$2:$A$103,0)),"No aplica")</f>
        <v>8</v>
      </c>
      <c r="O412" s="16"/>
    </row>
    <row r="413" customFormat="false" ht="14.25" hidden="false" customHeight="true" outlineLevel="0" collapsed="false">
      <c r="A413" s="39" t="n">
        <v>45779</v>
      </c>
      <c r="B413" s="6" t="s">
        <v>283</v>
      </c>
      <c r="C413" s="16" t="s">
        <v>20</v>
      </c>
      <c r="D413" s="16" t="s">
        <v>328</v>
      </c>
      <c r="E413" s="16" t="s">
        <v>329</v>
      </c>
      <c r="F413" s="16" t="s">
        <v>255</v>
      </c>
      <c r="G413" s="16" t="n">
        <v>2</v>
      </c>
      <c r="H413" s="16" t="s">
        <v>240</v>
      </c>
      <c r="I413" s="16" t="s">
        <v>241</v>
      </c>
      <c r="J413" s="16" t="s">
        <v>242</v>
      </c>
      <c r="K413" s="16" t="n">
        <v>1</v>
      </c>
      <c r="L413" s="40" t="n">
        <f aca="false">(K413/$Q$7)*100</f>
        <v>0.0189753320683112</v>
      </c>
      <c r="M413" s="16" t="s">
        <v>211</v>
      </c>
      <c r="N413" s="16" t="n">
        <f aca="false">IFERROR(INDEX(BMWP_COL!$B$2:$B$103,MATCH($I413,BMWP_COL!$A$2:$A$103,0)),"No aplica")</f>
        <v>5</v>
      </c>
      <c r="O413" s="16"/>
    </row>
    <row r="414" customFormat="false" ht="14.25" hidden="false" customHeight="true" outlineLevel="0" collapsed="false">
      <c r="A414" s="39" t="n">
        <v>45779</v>
      </c>
      <c r="B414" s="6" t="s">
        <v>283</v>
      </c>
      <c r="C414" s="16" t="s">
        <v>20</v>
      </c>
      <c r="D414" s="16" t="s">
        <v>328</v>
      </c>
      <c r="E414" s="16" t="s">
        <v>329</v>
      </c>
      <c r="F414" s="16" t="s">
        <v>255</v>
      </c>
      <c r="G414" s="16" t="n">
        <v>2</v>
      </c>
      <c r="H414" s="16" t="s">
        <v>194</v>
      </c>
      <c r="I414" s="16" t="s">
        <v>340</v>
      </c>
      <c r="J414" s="16" t="s">
        <v>341</v>
      </c>
      <c r="K414" s="16" t="n">
        <v>2</v>
      </c>
      <c r="L414" s="40" t="n">
        <f aca="false">(K414/$Q$7)*100</f>
        <v>0.0379506641366224</v>
      </c>
      <c r="M414" s="16" t="s">
        <v>211</v>
      </c>
      <c r="N414" s="16" t="n">
        <f aca="false">IFERROR(INDEX(BMWP_COL!$B$2:$B$103,MATCH($I414,BMWP_COL!$A$2:$A$103,0)),"No aplica")</f>
        <v>7</v>
      </c>
      <c r="O414" s="16"/>
    </row>
    <row r="415" customFormat="false" ht="14.25" hidden="false" customHeight="true" outlineLevel="0" collapsed="false">
      <c r="A415" s="39" t="n">
        <v>45779</v>
      </c>
      <c r="B415" s="6" t="s">
        <v>283</v>
      </c>
      <c r="C415" s="16" t="s">
        <v>20</v>
      </c>
      <c r="D415" s="16" t="s">
        <v>328</v>
      </c>
      <c r="E415" s="16" t="s">
        <v>329</v>
      </c>
      <c r="F415" s="16" t="s">
        <v>255</v>
      </c>
      <c r="G415" s="16" t="n">
        <v>2</v>
      </c>
      <c r="H415" s="16" t="s">
        <v>194</v>
      </c>
      <c r="I415" s="16" t="s">
        <v>342</v>
      </c>
      <c r="J415" s="16" t="s">
        <v>343</v>
      </c>
      <c r="K415" s="16" t="n">
        <v>1</v>
      </c>
      <c r="L415" s="40" t="n">
        <f aca="false">(K415/$Q$7)*100</f>
        <v>0.0189753320683112</v>
      </c>
      <c r="M415" s="16" t="s">
        <v>201</v>
      </c>
      <c r="N415" s="16" t="n">
        <f aca="false">IFERROR(INDEX(BMWP_COL!$B$2:$B$103,MATCH($I415,BMWP_COL!$A$2:$A$103,0)),"No aplica")</f>
        <v>9</v>
      </c>
      <c r="O415" s="16"/>
    </row>
    <row r="416" customFormat="false" ht="14.25" hidden="false" customHeight="true" outlineLevel="0" collapsed="false">
      <c r="A416" s="39" t="n">
        <v>45779</v>
      </c>
      <c r="B416" s="6" t="s">
        <v>283</v>
      </c>
      <c r="C416" s="16" t="s">
        <v>20</v>
      </c>
      <c r="D416" s="16" t="s">
        <v>328</v>
      </c>
      <c r="E416" s="16" t="s">
        <v>329</v>
      </c>
      <c r="F416" s="16" t="s">
        <v>255</v>
      </c>
      <c r="G416" s="16" t="n">
        <v>2</v>
      </c>
      <c r="H416" s="16" t="s">
        <v>202</v>
      </c>
      <c r="I416" s="16" t="s">
        <v>203</v>
      </c>
      <c r="J416" s="41" t="s">
        <v>204</v>
      </c>
      <c r="K416" s="16" t="n">
        <v>1</v>
      </c>
      <c r="L416" s="40" t="n">
        <f aca="false">(K416/$Q$7)*100</f>
        <v>0.0189753320683112</v>
      </c>
      <c r="M416" s="16" t="s">
        <v>197</v>
      </c>
      <c r="N416" s="16" t="n">
        <f aca="false">IFERROR(INDEX(BMWP_COL!$B$2:$B$103,MATCH($I416,BMWP_COL!$A$2:$A$103,0)),"No aplica")</f>
        <v>2</v>
      </c>
      <c r="O416" s="16"/>
    </row>
    <row r="417" customFormat="false" ht="14.25" hidden="false" customHeight="true" outlineLevel="0" collapsed="false">
      <c r="A417" s="39" t="n">
        <v>45779</v>
      </c>
      <c r="B417" s="6" t="s">
        <v>283</v>
      </c>
      <c r="C417" s="16" t="s">
        <v>20</v>
      </c>
      <c r="D417" s="16" t="s">
        <v>328</v>
      </c>
      <c r="E417" s="16" t="s">
        <v>329</v>
      </c>
      <c r="F417" s="16" t="s">
        <v>255</v>
      </c>
      <c r="G417" s="16" t="n">
        <v>3</v>
      </c>
      <c r="H417" s="16" t="s">
        <v>272</v>
      </c>
      <c r="I417" s="16" t="s">
        <v>273</v>
      </c>
      <c r="J417" s="16" t="s">
        <v>274</v>
      </c>
      <c r="K417" s="16" t="n">
        <v>11</v>
      </c>
      <c r="L417" s="40" t="n">
        <f aca="false">(K417/$Q$7)*100</f>
        <v>0.208728652751423</v>
      </c>
      <c r="M417" s="16" t="s">
        <v>201</v>
      </c>
      <c r="N417" s="16" t="n">
        <f aca="false">IFERROR(INDEX(BMWP_COL!$B$2:$B$103,MATCH($I417,BMWP_COL!$A$2:$A$103,0)),"No aplica")</f>
        <v>6</v>
      </c>
      <c r="O417" s="16"/>
    </row>
    <row r="418" customFormat="false" ht="14.25" hidden="false" customHeight="true" outlineLevel="0" collapsed="false">
      <c r="A418" s="39" t="n">
        <v>45779</v>
      </c>
      <c r="B418" s="6" t="s">
        <v>283</v>
      </c>
      <c r="C418" s="16" t="s">
        <v>20</v>
      </c>
      <c r="D418" s="16" t="s">
        <v>328</v>
      </c>
      <c r="E418" s="16" t="s">
        <v>329</v>
      </c>
      <c r="F418" s="16" t="s">
        <v>255</v>
      </c>
      <c r="G418" s="16" t="n">
        <v>3</v>
      </c>
      <c r="H418" s="16" t="s">
        <v>214</v>
      </c>
      <c r="I418" s="16" t="s">
        <v>215</v>
      </c>
      <c r="J418" s="16" t="s">
        <v>216</v>
      </c>
      <c r="K418" s="16" t="n">
        <v>18</v>
      </c>
      <c r="L418" s="40" t="n">
        <f aca="false">(K418/$Q$7)*100</f>
        <v>0.341555977229602</v>
      </c>
      <c r="M418" s="16" t="s">
        <v>201</v>
      </c>
      <c r="N418" s="16" t="n">
        <f aca="false">IFERROR(INDEX(BMWP_COL!$B$2:$B$103,MATCH($I418,BMWP_COL!$A$2:$A$103,0)),"No aplica")</f>
        <v>10</v>
      </c>
      <c r="O418" s="16"/>
    </row>
    <row r="419" customFormat="false" ht="14.25" hidden="false" customHeight="true" outlineLevel="0" collapsed="false">
      <c r="A419" s="39" t="n">
        <v>45779</v>
      </c>
      <c r="B419" s="6" t="s">
        <v>283</v>
      </c>
      <c r="C419" s="16" t="s">
        <v>20</v>
      </c>
      <c r="D419" s="16" t="s">
        <v>328</v>
      </c>
      <c r="E419" s="16" t="s">
        <v>329</v>
      </c>
      <c r="F419" s="16" t="s">
        <v>255</v>
      </c>
      <c r="G419" s="16" t="n">
        <v>3</v>
      </c>
      <c r="H419" s="16" t="s">
        <v>194</v>
      </c>
      <c r="I419" s="16" t="s">
        <v>238</v>
      </c>
      <c r="J419" s="16" t="s">
        <v>239</v>
      </c>
      <c r="K419" s="16" t="n">
        <v>1</v>
      </c>
      <c r="L419" s="40" t="n">
        <f aca="false">(K419/$Q$7)*100</f>
        <v>0.0189753320683112</v>
      </c>
      <c r="M419" s="16" t="s">
        <v>225</v>
      </c>
      <c r="N419" s="16" t="n">
        <f aca="false">IFERROR(INDEX(BMWP_COL!$B$2:$B$103,MATCH($I419,BMWP_COL!$A$2:$A$103,0)),"No aplica")</f>
        <v>10</v>
      </c>
      <c r="O419" s="16"/>
    </row>
    <row r="420" customFormat="false" ht="14.25" hidden="false" customHeight="true" outlineLevel="0" collapsed="false">
      <c r="A420" s="39" t="n">
        <v>45779</v>
      </c>
      <c r="B420" s="6" t="s">
        <v>283</v>
      </c>
      <c r="C420" s="16" t="s">
        <v>20</v>
      </c>
      <c r="D420" s="16" t="s">
        <v>328</v>
      </c>
      <c r="E420" s="16" t="s">
        <v>329</v>
      </c>
      <c r="F420" s="16" t="s">
        <v>255</v>
      </c>
      <c r="G420" s="16" t="n">
        <v>3</v>
      </c>
      <c r="H420" s="16" t="s">
        <v>219</v>
      </c>
      <c r="I420" s="16" t="s">
        <v>265</v>
      </c>
      <c r="J420" s="16" t="s">
        <v>266</v>
      </c>
      <c r="K420" s="16" t="n">
        <v>2</v>
      </c>
      <c r="L420" s="40" t="n">
        <f aca="false">(K420/$Q$7)*100</f>
        <v>0.0379506641366224</v>
      </c>
      <c r="M420" s="16" t="s">
        <v>211</v>
      </c>
      <c r="N420" s="16" t="n">
        <f aca="false">IFERROR(INDEX(BMWP_COL!$B$2:$B$103,MATCH($I420,BMWP_COL!$A$2:$A$103,0)),"No aplica")</f>
        <v>10</v>
      </c>
      <c r="O420" s="16"/>
    </row>
    <row r="421" customFormat="false" ht="14.25" hidden="false" customHeight="true" outlineLevel="0" collapsed="false">
      <c r="A421" s="39" t="n">
        <v>45779</v>
      </c>
      <c r="B421" s="6" t="s">
        <v>283</v>
      </c>
      <c r="C421" s="16" t="s">
        <v>20</v>
      </c>
      <c r="D421" s="16" t="s">
        <v>328</v>
      </c>
      <c r="E421" s="16" t="s">
        <v>329</v>
      </c>
      <c r="F421" s="16" t="s">
        <v>255</v>
      </c>
      <c r="G421" s="16" t="n">
        <v>3</v>
      </c>
      <c r="H421" s="16" t="s">
        <v>249</v>
      </c>
      <c r="I421" s="16" t="s">
        <v>250</v>
      </c>
      <c r="J421" s="16" t="s">
        <v>251</v>
      </c>
      <c r="K421" s="16" t="n">
        <v>16</v>
      </c>
      <c r="L421" s="40" t="n">
        <f aca="false">(K421/$Q$7)*100</f>
        <v>0.303605313092979</v>
      </c>
      <c r="M421" s="16" t="s">
        <v>201</v>
      </c>
      <c r="N421" s="16" t="n">
        <f aca="false">IFERROR(INDEX(BMWP_COL!$B$2:$B$103,MATCH($I421,BMWP_COL!$A$2:$A$103,0)),"No aplica")</f>
        <v>10</v>
      </c>
      <c r="O421" s="16"/>
    </row>
    <row r="422" customFormat="false" ht="14.25" hidden="false" customHeight="true" outlineLevel="0" collapsed="false">
      <c r="A422" s="39" t="n">
        <v>45779</v>
      </c>
      <c r="B422" s="6" t="s">
        <v>283</v>
      </c>
      <c r="C422" s="16" t="s">
        <v>20</v>
      </c>
      <c r="D422" s="16" t="s">
        <v>328</v>
      </c>
      <c r="E422" s="16" t="s">
        <v>329</v>
      </c>
      <c r="F422" s="16" t="s">
        <v>255</v>
      </c>
      <c r="G422" s="16" t="n">
        <v>3</v>
      </c>
      <c r="H422" s="16" t="s">
        <v>194</v>
      </c>
      <c r="I422" s="16" t="s">
        <v>223</v>
      </c>
      <c r="J422" s="16" t="s">
        <v>224</v>
      </c>
      <c r="K422" s="16" t="n">
        <v>18</v>
      </c>
      <c r="L422" s="40" t="n">
        <f aca="false">(K422/$Q$7)*100</f>
        <v>0.341555977229602</v>
      </c>
      <c r="M422" s="16" t="s">
        <v>225</v>
      </c>
      <c r="N422" s="16" t="n">
        <f aca="false">IFERROR(INDEX(BMWP_COL!$B$2:$B$103,MATCH($I422,BMWP_COL!$A$2:$A$103,0)),"No aplica")</f>
        <v>7</v>
      </c>
      <c r="O422" s="16"/>
    </row>
    <row r="423" customFormat="false" ht="14.25" hidden="false" customHeight="true" outlineLevel="0" collapsed="false">
      <c r="A423" s="39" t="n">
        <v>45779</v>
      </c>
      <c r="B423" s="6" t="s">
        <v>283</v>
      </c>
      <c r="C423" s="16" t="s">
        <v>20</v>
      </c>
      <c r="D423" s="16" t="s">
        <v>328</v>
      </c>
      <c r="E423" s="16" t="s">
        <v>329</v>
      </c>
      <c r="F423" s="16" t="s">
        <v>255</v>
      </c>
      <c r="G423" s="16" t="n">
        <v>3</v>
      </c>
      <c r="H423" s="16" t="s">
        <v>198</v>
      </c>
      <c r="I423" s="16" t="s">
        <v>199</v>
      </c>
      <c r="J423" s="16" t="s">
        <v>200</v>
      </c>
      <c r="K423" s="16" t="n">
        <v>2</v>
      </c>
      <c r="L423" s="40" t="n">
        <f aca="false">(K423/$Q$7)*100</f>
        <v>0.0379506641366224</v>
      </c>
      <c r="M423" s="16" t="s">
        <v>201</v>
      </c>
      <c r="N423" s="16" t="n">
        <f aca="false">IFERROR(INDEX(BMWP_COL!$B$2:$B$103,MATCH($I423,BMWP_COL!$A$2:$A$103,0)),"No aplica")</f>
        <v>7</v>
      </c>
      <c r="O423" s="16"/>
    </row>
    <row r="424" customFormat="false" ht="14.25" hidden="false" customHeight="true" outlineLevel="0" collapsed="false">
      <c r="A424" s="39" t="n">
        <v>45779</v>
      </c>
      <c r="B424" s="6" t="s">
        <v>283</v>
      </c>
      <c r="C424" s="16" t="s">
        <v>20</v>
      </c>
      <c r="D424" s="16" t="s">
        <v>328</v>
      </c>
      <c r="E424" s="16" t="s">
        <v>329</v>
      </c>
      <c r="F424" s="16" t="s">
        <v>255</v>
      </c>
      <c r="G424" s="16" t="n">
        <v>3</v>
      </c>
      <c r="H424" s="16" t="s">
        <v>219</v>
      </c>
      <c r="I424" s="16" t="s">
        <v>220</v>
      </c>
      <c r="J424" s="16" t="s">
        <v>221</v>
      </c>
      <c r="K424" s="16" t="n">
        <v>3</v>
      </c>
      <c r="L424" s="40" t="n">
        <f aca="false">(K424/$Q$7)*100</f>
        <v>0.0569259962049336</v>
      </c>
      <c r="M424" s="16" t="s">
        <v>197</v>
      </c>
      <c r="N424" s="16" t="n">
        <f aca="false">IFERROR(INDEX(BMWP_COL!$B$2:$B$103,MATCH($I424,BMWP_COL!$A$2:$A$103,0)),"No aplica")</f>
        <v>6</v>
      </c>
      <c r="O424" s="16"/>
    </row>
    <row r="425" customFormat="false" ht="14.25" hidden="false" customHeight="true" outlineLevel="0" collapsed="false">
      <c r="A425" s="39" t="n">
        <v>45779</v>
      </c>
      <c r="B425" s="6" t="s">
        <v>283</v>
      </c>
      <c r="C425" s="16" t="s">
        <v>20</v>
      </c>
      <c r="D425" s="16" t="s">
        <v>328</v>
      </c>
      <c r="E425" s="16" t="s">
        <v>329</v>
      </c>
      <c r="F425" s="16" t="s">
        <v>255</v>
      </c>
      <c r="G425" s="16" t="n">
        <v>3</v>
      </c>
      <c r="H425" s="16" t="s">
        <v>219</v>
      </c>
      <c r="I425" s="16" t="s">
        <v>220</v>
      </c>
      <c r="J425" s="16" t="s">
        <v>278</v>
      </c>
      <c r="K425" s="16" t="n">
        <v>10</v>
      </c>
      <c r="L425" s="40" t="n">
        <f aca="false">(K425/$Q$7)*100</f>
        <v>0.189753320683112</v>
      </c>
      <c r="M425" s="16" t="s">
        <v>197</v>
      </c>
      <c r="N425" s="16" t="n">
        <f aca="false">IFERROR(INDEX(BMWP_COL!$B$2:$B$103,MATCH($I425,BMWP_COL!$A$2:$A$103,0)),"No aplica")</f>
        <v>6</v>
      </c>
      <c r="O425" s="16"/>
    </row>
    <row r="426" customFormat="false" ht="14.25" hidden="false" customHeight="true" outlineLevel="0" collapsed="false">
      <c r="A426" s="39" t="n">
        <v>45779</v>
      </c>
      <c r="B426" s="6" t="s">
        <v>283</v>
      </c>
      <c r="C426" s="16" t="s">
        <v>20</v>
      </c>
      <c r="D426" s="16" t="s">
        <v>328</v>
      </c>
      <c r="E426" s="16" t="s">
        <v>329</v>
      </c>
      <c r="F426" s="16" t="s">
        <v>255</v>
      </c>
      <c r="G426" s="16" t="n">
        <v>3</v>
      </c>
      <c r="H426" s="16" t="s">
        <v>219</v>
      </c>
      <c r="I426" s="16" t="s">
        <v>344</v>
      </c>
      <c r="J426" s="16" t="s">
        <v>345</v>
      </c>
      <c r="K426" s="16" t="n">
        <v>10</v>
      </c>
      <c r="L426" s="40" t="n">
        <f aca="false">(K426/$Q$7)*100</f>
        <v>0.189753320683112</v>
      </c>
      <c r="M426" s="16" t="s">
        <v>201</v>
      </c>
      <c r="N426" s="16" t="n">
        <f aca="false">IFERROR(INDEX(BMWP_COL!$B$2:$B$103,MATCH($I426,BMWP_COL!$A$2:$A$103,0)),"No aplica")</f>
        <v>3</v>
      </c>
      <c r="O426" s="16"/>
    </row>
    <row r="427" customFormat="false" ht="14.25" hidden="false" customHeight="true" outlineLevel="0" collapsed="false">
      <c r="A427" s="39" t="n">
        <v>45779</v>
      </c>
      <c r="B427" s="6" t="s">
        <v>283</v>
      </c>
      <c r="C427" s="16" t="s">
        <v>20</v>
      </c>
      <c r="D427" s="16" t="s">
        <v>328</v>
      </c>
      <c r="E427" s="16" t="s">
        <v>329</v>
      </c>
      <c r="F427" s="16" t="s">
        <v>255</v>
      </c>
      <c r="G427" s="16" t="n">
        <v>3</v>
      </c>
      <c r="H427" s="16" t="s">
        <v>214</v>
      </c>
      <c r="I427" s="16" t="s">
        <v>258</v>
      </c>
      <c r="J427" s="16" t="s">
        <v>259</v>
      </c>
      <c r="K427" s="16" t="n">
        <v>1</v>
      </c>
      <c r="L427" s="40" t="n">
        <f aca="false">(K427/$Q$7)*100</f>
        <v>0.0189753320683112</v>
      </c>
      <c r="M427" s="16" t="s">
        <v>201</v>
      </c>
      <c r="N427" s="16" t="n">
        <f aca="false">IFERROR(INDEX(BMWP_COL!$B$2:$B$103,MATCH($I427,BMWP_COL!$A$2:$A$103,0)),"No aplica")</f>
        <v>6</v>
      </c>
      <c r="O427" s="16"/>
    </row>
    <row r="428" customFormat="false" ht="14.25" hidden="false" customHeight="true" outlineLevel="0" collapsed="false">
      <c r="A428" s="39" t="n">
        <v>45779</v>
      </c>
      <c r="B428" s="6" t="s">
        <v>283</v>
      </c>
      <c r="C428" s="16" t="s">
        <v>20</v>
      </c>
      <c r="D428" s="16" t="s">
        <v>328</v>
      </c>
      <c r="E428" s="16" t="s">
        <v>329</v>
      </c>
      <c r="F428" s="16" t="s">
        <v>255</v>
      </c>
      <c r="G428" s="16" t="n">
        <v>3</v>
      </c>
      <c r="H428" s="16" t="s">
        <v>219</v>
      </c>
      <c r="I428" s="16" t="s">
        <v>260</v>
      </c>
      <c r="J428" s="16" t="s">
        <v>261</v>
      </c>
      <c r="K428" s="16" t="n">
        <v>5</v>
      </c>
      <c r="L428" s="40" t="n">
        <f aca="false">(K428/$Q$7)*100</f>
        <v>0.094876660341556</v>
      </c>
      <c r="M428" s="16" t="s">
        <v>225</v>
      </c>
      <c r="N428" s="16" t="n">
        <f aca="false">IFERROR(INDEX(BMWP_COL!$B$2:$B$103,MATCH($I428,BMWP_COL!$A$2:$A$103,0)),"No aplica")</f>
        <v>10</v>
      </c>
      <c r="O428" s="16"/>
    </row>
    <row r="429" customFormat="false" ht="14.25" hidden="false" customHeight="true" outlineLevel="0" collapsed="false">
      <c r="A429" s="39" t="n">
        <v>45779</v>
      </c>
      <c r="B429" s="6" t="s">
        <v>283</v>
      </c>
      <c r="C429" s="16" t="s">
        <v>20</v>
      </c>
      <c r="D429" s="16" t="s">
        <v>328</v>
      </c>
      <c r="E429" s="16" t="s">
        <v>329</v>
      </c>
      <c r="F429" s="16" t="s">
        <v>255</v>
      </c>
      <c r="G429" s="16" t="n">
        <v>3</v>
      </c>
      <c r="H429" s="16" t="s">
        <v>208</v>
      </c>
      <c r="I429" s="16" t="s">
        <v>209</v>
      </c>
      <c r="J429" s="16" t="s">
        <v>210</v>
      </c>
      <c r="K429" s="16" t="n">
        <v>71</v>
      </c>
      <c r="L429" s="40" t="n">
        <f aca="false">(K429/$Q$7)*100</f>
        <v>1.34724857685009</v>
      </c>
      <c r="M429" s="16" t="s">
        <v>211</v>
      </c>
      <c r="N429" s="16" t="n">
        <f aca="false">IFERROR(INDEX(BMWP_COL!$B$2:$B$103,MATCH($I429,BMWP_COL!$A$2:$A$103,0)),"No aplica")</f>
        <v>7</v>
      </c>
      <c r="O429" s="16"/>
    </row>
    <row r="430" customFormat="false" ht="14.25" hidden="false" customHeight="true" outlineLevel="0" collapsed="false">
      <c r="A430" s="39" t="n">
        <v>45779</v>
      </c>
      <c r="B430" s="6" t="s">
        <v>283</v>
      </c>
      <c r="C430" s="16" t="s">
        <v>20</v>
      </c>
      <c r="D430" s="16" t="s">
        <v>328</v>
      </c>
      <c r="E430" s="16" t="s">
        <v>329</v>
      </c>
      <c r="F430" s="16" t="s">
        <v>255</v>
      </c>
      <c r="G430" s="16" t="n">
        <v>3</v>
      </c>
      <c r="H430" s="16" t="s">
        <v>219</v>
      </c>
      <c r="I430" s="16" t="s">
        <v>220</v>
      </c>
      <c r="J430" s="16" t="s">
        <v>221</v>
      </c>
      <c r="K430" s="16" t="n">
        <v>51</v>
      </c>
      <c r="L430" s="40" t="n">
        <f aca="false">(K430/$Q$7)*100</f>
        <v>0.967741935483871</v>
      </c>
      <c r="M430" s="16" t="s">
        <v>197</v>
      </c>
      <c r="N430" s="16" t="n">
        <f aca="false">IFERROR(INDEX(BMWP_COL!$B$2:$B$103,MATCH($I430,BMWP_COL!$A$2:$A$103,0)),"No aplica")</f>
        <v>6</v>
      </c>
      <c r="O430" s="16"/>
    </row>
    <row r="431" customFormat="false" ht="14.25" hidden="false" customHeight="true" outlineLevel="0" collapsed="false">
      <c r="A431" s="39" t="n">
        <v>45779</v>
      </c>
      <c r="B431" s="6" t="s">
        <v>283</v>
      </c>
      <c r="C431" s="16" t="s">
        <v>20</v>
      </c>
      <c r="D431" s="16" t="s">
        <v>328</v>
      </c>
      <c r="E431" s="16" t="s">
        <v>329</v>
      </c>
      <c r="F431" s="16" t="s">
        <v>255</v>
      </c>
      <c r="G431" s="16" t="n">
        <v>3</v>
      </c>
      <c r="H431" s="16" t="s">
        <v>202</v>
      </c>
      <c r="I431" s="16" t="s">
        <v>217</v>
      </c>
      <c r="J431" s="16" t="s">
        <v>330</v>
      </c>
      <c r="K431" s="16" t="n">
        <v>1</v>
      </c>
      <c r="L431" s="40" t="n">
        <f aca="false">(K431/$Q$7)*100</f>
        <v>0.0189753320683112</v>
      </c>
      <c r="M431" s="16" t="s">
        <v>201</v>
      </c>
      <c r="N431" s="16" t="n">
        <f aca="false">IFERROR(INDEX(BMWP_COL!$B$2:$B$103,MATCH($I431,BMWP_COL!$A$2:$A$103,0)),"No aplica")</f>
        <v>4</v>
      </c>
      <c r="O431" s="16"/>
    </row>
    <row r="432" customFormat="false" ht="14.25" hidden="false" customHeight="true" outlineLevel="0" collapsed="false">
      <c r="A432" s="39" t="n">
        <v>45779</v>
      </c>
      <c r="B432" s="6" t="s">
        <v>283</v>
      </c>
      <c r="C432" s="16" t="s">
        <v>20</v>
      </c>
      <c r="D432" s="16" t="s">
        <v>328</v>
      </c>
      <c r="E432" s="16" t="s">
        <v>329</v>
      </c>
      <c r="F432" s="16" t="s">
        <v>255</v>
      </c>
      <c r="G432" s="16" t="n">
        <v>3</v>
      </c>
      <c r="H432" s="16" t="s">
        <v>202</v>
      </c>
      <c r="I432" s="16" t="s">
        <v>228</v>
      </c>
      <c r="J432" s="16" t="s">
        <v>229</v>
      </c>
      <c r="K432" s="16" t="n">
        <v>2</v>
      </c>
      <c r="L432" s="40" t="n">
        <f aca="false">(K432/$Q$7)*100</f>
        <v>0.0379506641366224</v>
      </c>
      <c r="M432" s="16" t="s">
        <v>230</v>
      </c>
      <c r="N432" s="16" t="n">
        <f aca="false">IFERROR(INDEX(BMWP_COL!$B$2:$B$103,MATCH($I432,BMWP_COL!$A$2:$A$103,0)),"No aplica")</f>
        <v>8</v>
      </c>
      <c r="O432" s="16"/>
    </row>
    <row r="433" customFormat="false" ht="14.25" hidden="false" customHeight="true" outlineLevel="0" collapsed="false">
      <c r="A433" s="39" t="n">
        <v>45779</v>
      </c>
      <c r="B433" s="6" t="s">
        <v>283</v>
      </c>
      <c r="C433" s="16" t="s">
        <v>20</v>
      </c>
      <c r="D433" s="16" t="s">
        <v>328</v>
      </c>
      <c r="E433" s="16" t="s">
        <v>329</v>
      </c>
      <c r="F433" s="16" t="s">
        <v>255</v>
      </c>
      <c r="G433" s="16" t="n">
        <v>3</v>
      </c>
      <c r="H433" s="16" t="s">
        <v>208</v>
      </c>
      <c r="I433" s="16" t="s">
        <v>209</v>
      </c>
      <c r="J433" s="16" t="s">
        <v>212</v>
      </c>
      <c r="K433" s="16" t="n">
        <v>58</v>
      </c>
      <c r="L433" s="40" t="n">
        <f aca="false">(K433/$Q$7)*100</f>
        <v>1.10056925996205</v>
      </c>
      <c r="M433" s="16" t="s">
        <v>197</v>
      </c>
      <c r="N433" s="16" t="n">
        <f aca="false">IFERROR(INDEX(BMWP_COL!$B$2:$B$103,MATCH($I433,BMWP_COL!$A$2:$A$103,0)),"No aplica")</f>
        <v>7</v>
      </c>
      <c r="O433" s="16"/>
    </row>
    <row r="434" customFormat="false" ht="14.25" hidden="false" customHeight="true" outlineLevel="0" collapsed="false">
      <c r="A434" s="39" t="n">
        <v>45779</v>
      </c>
      <c r="B434" s="6" t="s">
        <v>283</v>
      </c>
      <c r="C434" s="16" t="s">
        <v>20</v>
      </c>
      <c r="D434" s="16" t="s">
        <v>328</v>
      </c>
      <c r="E434" s="16" t="s">
        <v>329</v>
      </c>
      <c r="F434" s="16" t="s">
        <v>255</v>
      </c>
      <c r="G434" s="16" t="n">
        <v>3</v>
      </c>
      <c r="H434" s="16" t="s">
        <v>194</v>
      </c>
      <c r="I434" s="16" t="s">
        <v>195</v>
      </c>
      <c r="J434" s="16" t="s">
        <v>196</v>
      </c>
      <c r="K434" s="16" t="n">
        <v>1</v>
      </c>
      <c r="L434" s="40" t="n">
        <f aca="false">(K434/$Q$7)*100</f>
        <v>0.0189753320683112</v>
      </c>
      <c r="M434" s="16" t="s">
        <v>197</v>
      </c>
      <c r="N434" s="16" t="n">
        <f aca="false">IFERROR(INDEX(BMWP_COL!$B$2:$B$103,MATCH($I434,BMWP_COL!$A$2:$A$103,0)),"No aplica")</f>
        <v>8</v>
      </c>
      <c r="O434" s="16"/>
    </row>
    <row r="435" customFormat="false" ht="14.25" hidden="false" customHeight="true" outlineLevel="0" collapsed="false">
      <c r="A435" s="39" t="n">
        <v>45779</v>
      </c>
      <c r="B435" s="6" t="s">
        <v>283</v>
      </c>
      <c r="C435" s="16" t="s">
        <v>20</v>
      </c>
      <c r="D435" s="16" t="s">
        <v>328</v>
      </c>
      <c r="E435" s="16" t="s">
        <v>329</v>
      </c>
      <c r="F435" s="16" t="s">
        <v>255</v>
      </c>
      <c r="G435" s="16" t="n">
        <v>3</v>
      </c>
      <c r="H435" s="16" t="s">
        <v>194</v>
      </c>
      <c r="I435" s="16" t="s">
        <v>331</v>
      </c>
      <c r="J435" s="16" t="s">
        <v>332</v>
      </c>
      <c r="K435" s="16" t="n">
        <v>3</v>
      </c>
      <c r="L435" s="40" t="n">
        <f aca="false">(K435/$Q$7)*100</f>
        <v>0.0569259962049336</v>
      </c>
      <c r="M435" s="16" t="s">
        <v>197</v>
      </c>
      <c r="N435" s="16" t="n">
        <f aca="false">IFERROR(INDEX(BMWP_COL!$B$2:$B$103,MATCH($I435,BMWP_COL!$A$2:$A$103,0)),"No aplica")</f>
        <v>8</v>
      </c>
      <c r="O435" s="16"/>
    </row>
    <row r="436" customFormat="false" ht="14.25" hidden="false" customHeight="true" outlineLevel="0" collapsed="false">
      <c r="A436" s="39" t="n">
        <v>45779</v>
      </c>
      <c r="B436" s="6" t="s">
        <v>283</v>
      </c>
      <c r="C436" s="16" t="s">
        <v>20</v>
      </c>
      <c r="D436" s="16" t="s">
        <v>328</v>
      </c>
      <c r="E436" s="16" t="s">
        <v>329</v>
      </c>
      <c r="F436" s="16" t="s">
        <v>255</v>
      </c>
      <c r="G436" s="16" t="n">
        <v>3</v>
      </c>
      <c r="H436" s="16" t="s">
        <v>208</v>
      </c>
      <c r="I436" s="16" t="s">
        <v>209</v>
      </c>
      <c r="J436" s="16" t="s">
        <v>276</v>
      </c>
      <c r="K436" s="16" t="n">
        <v>11</v>
      </c>
      <c r="L436" s="40" t="n">
        <f aca="false">(K436/$Q$7)*100</f>
        <v>0.208728652751423</v>
      </c>
      <c r="M436" s="16" t="s">
        <v>211</v>
      </c>
      <c r="N436" s="16" t="n">
        <f aca="false">IFERROR(INDEX(BMWP_COL!$B$2:$B$103,MATCH($I436,BMWP_COL!$A$2:$A$103,0)),"No aplica")</f>
        <v>7</v>
      </c>
      <c r="O436" s="16"/>
    </row>
    <row r="437" customFormat="false" ht="14.25" hidden="false" customHeight="true" outlineLevel="0" collapsed="false">
      <c r="A437" s="39" t="n">
        <v>45779</v>
      </c>
      <c r="B437" s="6" t="s">
        <v>283</v>
      </c>
      <c r="C437" s="16" t="s">
        <v>20</v>
      </c>
      <c r="D437" s="16" t="s">
        <v>328</v>
      </c>
      <c r="E437" s="16" t="s">
        <v>329</v>
      </c>
      <c r="F437" s="16" t="s">
        <v>255</v>
      </c>
      <c r="G437" s="16" t="n">
        <v>3</v>
      </c>
      <c r="H437" s="16" t="s">
        <v>202</v>
      </c>
      <c r="I437" s="16" t="s">
        <v>203</v>
      </c>
      <c r="J437" s="16" t="s">
        <v>213</v>
      </c>
      <c r="K437" s="16" t="n">
        <v>8</v>
      </c>
      <c r="L437" s="40" t="n">
        <f aca="false">(K437/$Q$7)*100</f>
        <v>0.15180265654649</v>
      </c>
      <c r="M437" s="16" t="s">
        <v>201</v>
      </c>
      <c r="N437" s="16" t="n">
        <f aca="false">IFERROR(INDEX(BMWP_COL!$B$2:$B$103,MATCH($I437,BMWP_COL!$A$2:$A$103,0)),"No aplica")</f>
        <v>2</v>
      </c>
      <c r="O437" s="16"/>
    </row>
    <row r="438" customFormat="false" ht="14.25" hidden="false" customHeight="true" outlineLevel="0" collapsed="false">
      <c r="A438" s="39" t="n">
        <v>45779</v>
      </c>
      <c r="B438" s="6" t="s">
        <v>283</v>
      </c>
      <c r="C438" s="16" t="s">
        <v>20</v>
      </c>
      <c r="D438" s="16" t="s">
        <v>328</v>
      </c>
      <c r="E438" s="16" t="s">
        <v>329</v>
      </c>
      <c r="F438" s="16" t="s">
        <v>277</v>
      </c>
      <c r="G438" s="16" t="n">
        <v>1</v>
      </c>
      <c r="H438" s="16" t="s">
        <v>272</v>
      </c>
      <c r="I438" s="16" t="s">
        <v>273</v>
      </c>
      <c r="J438" s="16" t="s">
        <v>274</v>
      </c>
      <c r="K438" s="16" t="n">
        <v>1</v>
      </c>
      <c r="L438" s="40" t="n">
        <f aca="false">(K438/$Q$7)*100</f>
        <v>0.0189753320683112</v>
      </c>
      <c r="M438" s="16" t="s">
        <v>201</v>
      </c>
      <c r="N438" s="16" t="n">
        <f aca="false">IFERROR(INDEX(BMWP_COL!$B$2:$B$103,MATCH($I438,BMWP_COL!$A$2:$A$103,0)),"No aplica")</f>
        <v>6</v>
      </c>
      <c r="O438" s="16"/>
    </row>
    <row r="439" customFormat="false" ht="14.25" hidden="false" customHeight="true" outlineLevel="0" collapsed="false">
      <c r="A439" s="39" t="n">
        <v>45779</v>
      </c>
      <c r="B439" s="6" t="s">
        <v>283</v>
      </c>
      <c r="C439" s="16" t="s">
        <v>20</v>
      </c>
      <c r="D439" s="16" t="s">
        <v>328</v>
      </c>
      <c r="E439" s="16" t="s">
        <v>329</v>
      </c>
      <c r="F439" s="16" t="s">
        <v>277</v>
      </c>
      <c r="G439" s="16" t="n">
        <v>1</v>
      </c>
      <c r="H439" s="16" t="s">
        <v>198</v>
      </c>
      <c r="I439" s="16" t="s">
        <v>199</v>
      </c>
      <c r="J439" s="16" t="s">
        <v>200</v>
      </c>
      <c r="K439" s="16" t="n">
        <v>8</v>
      </c>
      <c r="L439" s="40" t="n">
        <f aca="false">(K439/$Q$7)*100</f>
        <v>0.15180265654649</v>
      </c>
      <c r="M439" s="16" t="s">
        <v>201</v>
      </c>
      <c r="N439" s="16" t="n">
        <f aca="false">IFERROR(INDEX(BMWP_COL!$B$2:$B$103,MATCH($I439,BMWP_COL!$A$2:$A$103,0)),"No aplica")</f>
        <v>7</v>
      </c>
      <c r="O439" s="16"/>
    </row>
    <row r="440" customFormat="false" ht="14.25" hidden="false" customHeight="true" outlineLevel="0" collapsed="false">
      <c r="A440" s="39" t="n">
        <v>45779</v>
      </c>
      <c r="B440" s="6" t="s">
        <v>283</v>
      </c>
      <c r="C440" s="16" t="s">
        <v>20</v>
      </c>
      <c r="D440" s="16" t="s">
        <v>328</v>
      </c>
      <c r="E440" s="16" t="s">
        <v>329</v>
      </c>
      <c r="F440" s="16" t="s">
        <v>277</v>
      </c>
      <c r="G440" s="16" t="n">
        <v>1</v>
      </c>
      <c r="H440" s="16" t="s">
        <v>214</v>
      </c>
      <c r="I440" s="16" t="s">
        <v>252</v>
      </c>
      <c r="J440" s="16" t="s">
        <v>252</v>
      </c>
      <c r="K440" s="16" t="n">
        <v>5</v>
      </c>
      <c r="L440" s="40" t="n">
        <f aca="false">(K440/$Q$7)*100</f>
        <v>0.094876660341556</v>
      </c>
      <c r="M440" s="16" t="s">
        <v>201</v>
      </c>
      <c r="N440" s="16" t="n">
        <f aca="false">IFERROR(INDEX(BMWP_COL!$B$2:$B$103,MATCH($I440,BMWP_COL!$A$2:$A$103,0)),"No aplica")</f>
        <v>6</v>
      </c>
      <c r="O440" s="16"/>
    </row>
    <row r="441" customFormat="false" ht="14.25" hidden="false" customHeight="true" outlineLevel="0" collapsed="false">
      <c r="A441" s="39" t="n">
        <v>45779</v>
      </c>
      <c r="B441" s="6" t="s">
        <v>283</v>
      </c>
      <c r="C441" s="16" t="s">
        <v>20</v>
      </c>
      <c r="D441" s="16" t="s">
        <v>328</v>
      </c>
      <c r="E441" s="16" t="s">
        <v>329</v>
      </c>
      <c r="F441" s="16" t="s">
        <v>277</v>
      </c>
      <c r="G441" s="16" t="n">
        <v>1</v>
      </c>
      <c r="H441" s="16" t="s">
        <v>194</v>
      </c>
      <c r="I441" s="16" t="s">
        <v>256</v>
      </c>
      <c r="J441" s="16" t="s">
        <v>257</v>
      </c>
      <c r="K441" s="16" t="n">
        <v>1</v>
      </c>
      <c r="L441" s="40" t="n">
        <f aca="false">(K441/$Q$7)*100</f>
        <v>0.0189753320683112</v>
      </c>
      <c r="M441" s="16" t="s">
        <v>225</v>
      </c>
      <c r="N441" s="16" t="n">
        <f aca="false">IFERROR(INDEX(BMWP_COL!$B$2:$B$103,MATCH($I441,BMWP_COL!$A$2:$A$103,0)),"No aplica")</f>
        <v>10</v>
      </c>
      <c r="O441" s="16"/>
    </row>
    <row r="442" customFormat="false" ht="14.25" hidden="false" customHeight="true" outlineLevel="0" collapsed="false">
      <c r="A442" s="39" t="n">
        <v>45779</v>
      </c>
      <c r="B442" s="6" t="s">
        <v>283</v>
      </c>
      <c r="C442" s="16" t="s">
        <v>20</v>
      </c>
      <c r="D442" s="16" t="s">
        <v>328</v>
      </c>
      <c r="E442" s="16" t="s">
        <v>329</v>
      </c>
      <c r="F442" s="16" t="s">
        <v>277</v>
      </c>
      <c r="G442" s="16" t="n">
        <v>1</v>
      </c>
      <c r="H442" s="16" t="s">
        <v>249</v>
      </c>
      <c r="I442" s="16" t="s">
        <v>250</v>
      </c>
      <c r="J442" s="16" t="s">
        <v>251</v>
      </c>
      <c r="K442" s="16" t="n">
        <v>14</v>
      </c>
      <c r="L442" s="40" t="n">
        <f aca="false">(K442/$Q$7)*100</f>
        <v>0.265654648956357</v>
      </c>
      <c r="M442" s="16" t="s">
        <v>201</v>
      </c>
      <c r="N442" s="16" t="n">
        <f aca="false">IFERROR(INDEX(BMWP_COL!$B$2:$B$103,MATCH($I442,BMWP_COL!$A$2:$A$103,0)),"No aplica")</f>
        <v>10</v>
      </c>
      <c r="O442" s="16"/>
    </row>
    <row r="443" customFormat="false" ht="14.25" hidden="false" customHeight="true" outlineLevel="0" collapsed="false">
      <c r="A443" s="39" t="n">
        <v>45779</v>
      </c>
      <c r="B443" s="6" t="s">
        <v>283</v>
      </c>
      <c r="C443" s="16" t="s">
        <v>20</v>
      </c>
      <c r="D443" s="16" t="s">
        <v>328</v>
      </c>
      <c r="E443" s="16" t="s">
        <v>329</v>
      </c>
      <c r="F443" s="16" t="s">
        <v>277</v>
      </c>
      <c r="G443" s="16" t="n">
        <v>1</v>
      </c>
      <c r="H443" s="16" t="s">
        <v>202</v>
      </c>
      <c r="I443" s="16" t="s">
        <v>299</v>
      </c>
      <c r="J443" s="16" t="s">
        <v>300</v>
      </c>
      <c r="K443" s="16" t="n">
        <v>3</v>
      </c>
      <c r="L443" s="40" t="n">
        <f aca="false">(K443/$Q$7)*100</f>
        <v>0.0569259962049336</v>
      </c>
      <c r="M443" s="16" t="s">
        <v>197</v>
      </c>
      <c r="N443" s="16" t="n">
        <f aca="false">IFERROR(INDEX(BMWP_COL!$B$2:$B$103,MATCH($I443,BMWP_COL!$A$2:$A$103,0)),"No aplica")</f>
        <v>7</v>
      </c>
      <c r="O443" s="16"/>
    </row>
    <row r="444" customFormat="false" ht="14.25" hidden="false" customHeight="true" outlineLevel="0" collapsed="false">
      <c r="A444" s="39" t="n">
        <v>45779</v>
      </c>
      <c r="B444" s="6" t="s">
        <v>283</v>
      </c>
      <c r="C444" s="16" t="s">
        <v>20</v>
      </c>
      <c r="D444" s="16" t="s">
        <v>328</v>
      </c>
      <c r="E444" s="16" t="s">
        <v>329</v>
      </c>
      <c r="F444" s="16" t="s">
        <v>277</v>
      </c>
      <c r="G444" s="16" t="n">
        <v>1</v>
      </c>
      <c r="H444" s="16" t="s">
        <v>208</v>
      </c>
      <c r="I444" s="16" t="s">
        <v>209</v>
      </c>
      <c r="J444" s="16" t="s">
        <v>212</v>
      </c>
      <c r="K444" s="16" t="n">
        <v>7</v>
      </c>
      <c r="L444" s="40" t="n">
        <f aca="false">(K444/$Q$7)*100</f>
        <v>0.132827324478178</v>
      </c>
      <c r="M444" s="16" t="s">
        <v>197</v>
      </c>
      <c r="N444" s="16" t="n">
        <f aca="false">IFERROR(INDEX(BMWP_COL!$B$2:$B$103,MATCH($I444,BMWP_COL!$A$2:$A$103,0)),"No aplica")</f>
        <v>7</v>
      </c>
      <c r="O444" s="16"/>
    </row>
    <row r="445" customFormat="false" ht="14.25" hidden="false" customHeight="true" outlineLevel="0" collapsed="false">
      <c r="A445" s="39" t="n">
        <v>45779</v>
      </c>
      <c r="B445" s="6" t="s">
        <v>283</v>
      </c>
      <c r="C445" s="16" t="s">
        <v>20</v>
      </c>
      <c r="D445" s="16" t="s">
        <v>328</v>
      </c>
      <c r="E445" s="16" t="s">
        <v>329</v>
      </c>
      <c r="F445" s="16" t="s">
        <v>277</v>
      </c>
      <c r="G445" s="16" t="n">
        <v>1</v>
      </c>
      <c r="H445" s="16" t="s">
        <v>208</v>
      </c>
      <c r="I445" s="16" t="s">
        <v>226</v>
      </c>
      <c r="J445" s="16" t="s">
        <v>297</v>
      </c>
      <c r="K445" s="16" t="n">
        <v>7</v>
      </c>
      <c r="L445" s="40" t="n">
        <f aca="false">(K445/$Q$7)*100</f>
        <v>0.132827324478178</v>
      </c>
      <c r="M445" s="16" t="s">
        <v>197</v>
      </c>
      <c r="N445" s="16" t="n">
        <f aca="false">IFERROR(INDEX(BMWP_COL!$B$2:$B$103,MATCH($I445,BMWP_COL!$A$2:$A$103,0)),"No aplica")</f>
        <v>7</v>
      </c>
      <c r="O445" s="16"/>
    </row>
    <row r="446" customFormat="false" ht="14.25" hidden="false" customHeight="true" outlineLevel="0" collapsed="false">
      <c r="A446" s="39" t="n">
        <v>45779</v>
      </c>
      <c r="B446" s="6" t="s">
        <v>283</v>
      </c>
      <c r="C446" s="16" t="s">
        <v>20</v>
      </c>
      <c r="D446" s="16" t="s">
        <v>328</v>
      </c>
      <c r="E446" s="16" t="s">
        <v>329</v>
      </c>
      <c r="F446" s="16" t="s">
        <v>277</v>
      </c>
      <c r="G446" s="16" t="n">
        <v>1</v>
      </c>
      <c r="H446" s="16" t="s">
        <v>219</v>
      </c>
      <c r="I446" s="16" t="s">
        <v>260</v>
      </c>
      <c r="J446" s="16" t="s">
        <v>261</v>
      </c>
      <c r="K446" s="16" t="n">
        <v>1</v>
      </c>
      <c r="L446" s="40" t="n">
        <f aca="false">(K446/$Q$7)*100</f>
        <v>0.0189753320683112</v>
      </c>
      <c r="M446" s="16" t="s">
        <v>225</v>
      </c>
      <c r="N446" s="16" t="n">
        <f aca="false">IFERROR(INDEX(BMWP_COL!$B$2:$B$103,MATCH($I446,BMWP_COL!$A$2:$A$103,0)),"No aplica")</f>
        <v>10</v>
      </c>
      <c r="O446" s="16"/>
    </row>
    <row r="447" customFormat="false" ht="14.25" hidden="false" customHeight="true" outlineLevel="0" collapsed="false">
      <c r="A447" s="39" t="n">
        <v>45779</v>
      </c>
      <c r="B447" s="6" t="s">
        <v>283</v>
      </c>
      <c r="C447" s="16" t="s">
        <v>20</v>
      </c>
      <c r="D447" s="16" t="s">
        <v>328</v>
      </c>
      <c r="E447" s="16" t="s">
        <v>329</v>
      </c>
      <c r="F447" s="16" t="s">
        <v>277</v>
      </c>
      <c r="G447" s="16" t="n">
        <v>1</v>
      </c>
      <c r="H447" s="16" t="s">
        <v>194</v>
      </c>
      <c r="I447" s="16" t="s">
        <v>195</v>
      </c>
      <c r="J447" s="16" t="s">
        <v>196</v>
      </c>
      <c r="K447" s="16" t="n">
        <v>11</v>
      </c>
      <c r="L447" s="40" t="n">
        <f aca="false">(K447/$Q$7)*100</f>
        <v>0.208728652751423</v>
      </c>
      <c r="M447" s="16" t="s">
        <v>197</v>
      </c>
      <c r="N447" s="16" t="n">
        <f aca="false">IFERROR(INDEX(BMWP_COL!$B$2:$B$103,MATCH($I447,BMWP_COL!$A$2:$A$103,0)),"No aplica")</f>
        <v>8</v>
      </c>
      <c r="O447" s="16"/>
    </row>
    <row r="448" customFormat="false" ht="14.25" hidden="false" customHeight="true" outlineLevel="0" collapsed="false">
      <c r="A448" s="39" t="n">
        <v>45779</v>
      </c>
      <c r="B448" s="6" t="s">
        <v>283</v>
      </c>
      <c r="C448" s="16" t="s">
        <v>20</v>
      </c>
      <c r="D448" s="16" t="s">
        <v>328</v>
      </c>
      <c r="E448" s="16" t="s">
        <v>329</v>
      </c>
      <c r="F448" s="16" t="s">
        <v>277</v>
      </c>
      <c r="G448" s="16" t="n">
        <v>1</v>
      </c>
      <c r="H448" s="16" t="s">
        <v>194</v>
      </c>
      <c r="I448" s="16" t="s">
        <v>223</v>
      </c>
      <c r="J448" s="16" t="s">
        <v>234</v>
      </c>
      <c r="K448" s="16" t="n">
        <v>15</v>
      </c>
      <c r="L448" s="40" t="n">
        <f aca="false">(K448/$Q$7)*100</f>
        <v>0.284629981024668</v>
      </c>
      <c r="M448" s="16" t="s">
        <v>225</v>
      </c>
      <c r="N448" s="16" t="n">
        <f aca="false">IFERROR(INDEX(BMWP_COL!$B$2:$B$103,MATCH($I448,BMWP_COL!$A$2:$A$103,0)),"No aplica")</f>
        <v>7</v>
      </c>
      <c r="O448" s="16"/>
    </row>
    <row r="449" customFormat="false" ht="14.25" hidden="false" customHeight="true" outlineLevel="0" collapsed="false">
      <c r="A449" s="39" t="n">
        <v>45779</v>
      </c>
      <c r="B449" s="6" t="s">
        <v>283</v>
      </c>
      <c r="C449" s="16" t="s">
        <v>20</v>
      </c>
      <c r="D449" s="16" t="s">
        <v>328</v>
      </c>
      <c r="E449" s="16" t="s">
        <v>329</v>
      </c>
      <c r="F449" s="16" t="s">
        <v>277</v>
      </c>
      <c r="G449" s="16" t="n">
        <v>1</v>
      </c>
      <c r="H449" s="16" t="s">
        <v>194</v>
      </c>
      <c r="I449" s="16" t="s">
        <v>223</v>
      </c>
      <c r="J449" s="16" t="s">
        <v>224</v>
      </c>
      <c r="K449" s="16" t="n">
        <v>15</v>
      </c>
      <c r="L449" s="40" t="n">
        <f aca="false">(K449/$Q$7)*100</f>
        <v>0.284629981024668</v>
      </c>
      <c r="M449" s="16" t="s">
        <v>225</v>
      </c>
      <c r="N449" s="16" t="n">
        <f aca="false">IFERROR(INDEX(BMWP_COL!$B$2:$B$103,MATCH($I449,BMWP_COL!$A$2:$A$103,0)),"No aplica")</f>
        <v>7</v>
      </c>
      <c r="O449" s="16"/>
    </row>
    <row r="450" customFormat="false" ht="14.25" hidden="false" customHeight="true" outlineLevel="0" collapsed="false">
      <c r="A450" s="39" t="n">
        <v>45779</v>
      </c>
      <c r="B450" s="6" t="s">
        <v>283</v>
      </c>
      <c r="C450" s="16" t="s">
        <v>20</v>
      </c>
      <c r="D450" s="16" t="s">
        <v>328</v>
      </c>
      <c r="E450" s="16" t="s">
        <v>329</v>
      </c>
      <c r="F450" s="16" t="s">
        <v>277</v>
      </c>
      <c r="G450" s="16" t="n">
        <v>1</v>
      </c>
      <c r="H450" s="16" t="s">
        <v>194</v>
      </c>
      <c r="I450" s="16" t="s">
        <v>238</v>
      </c>
      <c r="J450" s="16" t="s">
        <v>239</v>
      </c>
      <c r="K450" s="16" t="n">
        <v>5</v>
      </c>
      <c r="L450" s="40" t="n">
        <f aca="false">(K450/$Q$7)*100</f>
        <v>0.094876660341556</v>
      </c>
      <c r="M450" s="16" t="s">
        <v>225</v>
      </c>
      <c r="N450" s="16" t="n">
        <f aca="false">IFERROR(INDEX(BMWP_COL!$B$2:$B$103,MATCH($I450,BMWP_COL!$A$2:$A$103,0)),"No aplica")</f>
        <v>10</v>
      </c>
      <c r="O450" s="16"/>
    </row>
    <row r="451" customFormat="false" ht="14.25" hidden="false" customHeight="true" outlineLevel="0" collapsed="false">
      <c r="A451" s="39" t="n">
        <v>45779</v>
      </c>
      <c r="B451" s="6" t="s">
        <v>283</v>
      </c>
      <c r="C451" s="16" t="s">
        <v>20</v>
      </c>
      <c r="D451" s="16" t="s">
        <v>328</v>
      </c>
      <c r="E451" s="16" t="s">
        <v>329</v>
      </c>
      <c r="F451" s="16" t="s">
        <v>277</v>
      </c>
      <c r="G451" s="16" t="n">
        <v>1</v>
      </c>
      <c r="H451" s="16" t="s">
        <v>214</v>
      </c>
      <c r="I451" s="16" t="s">
        <v>252</v>
      </c>
      <c r="J451" s="16" t="s">
        <v>267</v>
      </c>
      <c r="K451" s="16" t="n">
        <v>5</v>
      </c>
      <c r="L451" s="40" t="n">
        <f aca="false">(K451/$Q$7)*100</f>
        <v>0.094876660341556</v>
      </c>
      <c r="M451" s="16" t="s">
        <v>201</v>
      </c>
      <c r="N451" s="16" t="n">
        <f aca="false">IFERROR(INDEX(BMWP_COL!$B$2:$B$103,MATCH($I451,BMWP_COL!$A$2:$A$103,0)),"No aplica")</f>
        <v>6</v>
      </c>
      <c r="O451" s="16"/>
    </row>
    <row r="452" customFormat="false" ht="14.25" hidden="false" customHeight="true" outlineLevel="0" collapsed="false">
      <c r="A452" s="39" t="n">
        <v>45779</v>
      </c>
      <c r="B452" s="6" t="s">
        <v>283</v>
      </c>
      <c r="C452" s="16" t="s">
        <v>20</v>
      </c>
      <c r="D452" s="16" t="s">
        <v>328</v>
      </c>
      <c r="E452" s="16" t="s">
        <v>329</v>
      </c>
      <c r="F452" s="16" t="s">
        <v>277</v>
      </c>
      <c r="G452" s="16" t="n">
        <v>1</v>
      </c>
      <c r="H452" s="16" t="s">
        <v>214</v>
      </c>
      <c r="I452" s="16" t="s">
        <v>215</v>
      </c>
      <c r="J452" s="16" t="s">
        <v>216</v>
      </c>
      <c r="K452" s="16" t="n">
        <v>8</v>
      </c>
      <c r="L452" s="40" t="n">
        <f aca="false">(K452/$Q$7)*100</f>
        <v>0.15180265654649</v>
      </c>
      <c r="M452" s="16" t="s">
        <v>201</v>
      </c>
      <c r="N452" s="16" t="n">
        <f aca="false">IFERROR(INDEX(BMWP_COL!$B$2:$B$103,MATCH($I452,BMWP_COL!$A$2:$A$103,0)),"No aplica")</f>
        <v>10</v>
      </c>
      <c r="O452" s="16"/>
    </row>
    <row r="453" customFormat="false" ht="14.25" hidden="false" customHeight="true" outlineLevel="0" collapsed="false">
      <c r="A453" s="39" t="n">
        <v>45779</v>
      </c>
      <c r="B453" s="6" t="s">
        <v>283</v>
      </c>
      <c r="C453" s="16" t="s">
        <v>20</v>
      </c>
      <c r="D453" s="16" t="s">
        <v>328</v>
      </c>
      <c r="E453" s="16" t="s">
        <v>329</v>
      </c>
      <c r="F453" s="16" t="s">
        <v>277</v>
      </c>
      <c r="G453" s="16" t="n">
        <v>1</v>
      </c>
      <c r="H453" s="16" t="s">
        <v>202</v>
      </c>
      <c r="I453" s="16" t="s">
        <v>228</v>
      </c>
      <c r="J453" s="16" t="s">
        <v>229</v>
      </c>
      <c r="K453" s="16" t="n">
        <v>5</v>
      </c>
      <c r="L453" s="40" t="n">
        <f aca="false">(K453/$Q$7)*100</f>
        <v>0.094876660341556</v>
      </c>
      <c r="M453" s="16" t="s">
        <v>230</v>
      </c>
      <c r="N453" s="16" t="n">
        <f aca="false">IFERROR(INDEX(BMWP_COL!$B$2:$B$103,MATCH($I453,BMWP_COL!$A$2:$A$103,0)),"No aplica")</f>
        <v>8</v>
      </c>
      <c r="O453" s="16"/>
    </row>
    <row r="454" customFormat="false" ht="14.25" hidden="false" customHeight="true" outlineLevel="0" collapsed="false">
      <c r="A454" s="39" t="n">
        <v>45779</v>
      </c>
      <c r="B454" s="6" t="s">
        <v>283</v>
      </c>
      <c r="C454" s="16" t="s">
        <v>20</v>
      </c>
      <c r="D454" s="16" t="s">
        <v>328</v>
      </c>
      <c r="E454" s="16" t="s">
        <v>329</v>
      </c>
      <c r="F454" s="16" t="s">
        <v>277</v>
      </c>
      <c r="G454" s="16" t="n">
        <v>1</v>
      </c>
      <c r="H454" s="16" t="s">
        <v>240</v>
      </c>
      <c r="I454" s="16" t="s">
        <v>241</v>
      </c>
      <c r="J454" s="16" t="s">
        <v>242</v>
      </c>
      <c r="K454" s="16" t="n">
        <v>3</v>
      </c>
      <c r="L454" s="40" t="n">
        <f aca="false">(K454/$Q$7)*100</f>
        <v>0.0569259962049336</v>
      </c>
      <c r="M454" s="16" t="s">
        <v>211</v>
      </c>
      <c r="N454" s="16" t="n">
        <f aca="false">IFERROR(INDEX(BMWP_COL!$B$2:$B$103,MATCH($I454,BMWP_COL!$A$2:$A$103,0)),"No aplica")</f>
        <v>5</v>
      </c>
      <c r="O454" s="16"/>
    </row>
    <row r="455" customFormat="false" ht="14.25" hidden="false" customHeight="true" outlineLevel="0" collapsed="false">
      <c r="A455" s="39" t="n">
        <v>45779</v>
      </c>
      <c r="B455" s="6" t="s">
        <v>283</v>
      </c>
      <c r="C455" s="16" t="s">
        <v>20</v>
      </c>
      <c r="D455" s="16" t="s">
        <v>328</v>
      </c>
      <c r="E455" s="16" t="s">
        <v>329</v>
      </c>
      <c r="F455" s="16" t="s">
        <v>277</v>
      </c>
      <c r="G455" s="16" t="n">
        <v>1</v>
      </c>
      <c r="H455" s="16" t="s">
        <v>286</v>
      </c>
      <c r="I455" s="16" t="s">
        <v>336</v>
      </c>
      <c r="J455" s="16" t="s">
        <v>337</v>
      </c>
      <c r="K455" s="16" t="n">
        <v>21</v>
      </c>
      <c r="L455" s="40" t="n">
        <f aca="false">(K455/$Q$7)*100</f>
        <v>0.398481973434535</v>
      </c>
      <c r="M455" s="16" t="s">
        <v>211</v>
      </c>
      <c r="N455" s="16" t="n">
        <f aca="false">IFERROR(INDEX(BMWP_COL!$B$2:$B$103,MATCH($I455,BMWP_COL!$A$2:$A$103,0)),"No aplica")</f>
        <v>3</v>
      </c>
      <c r="O455" s="16"/>
    </row>
    <row r="456" customFormat="false" ht="14.25" hidden="false" customHeight="true" outlineLevel="0" collapsed="false">
      <c r="A456" s="39" t="n">
        <v>45779</v>
      </c>
      <c r="B456" s="6" t="s">
        <v>283</v>
      </c>
      <c r="C456" s="16" t="s">
        <v>20</v>
      </c>
      <c r="D456" s="16" t="s">
        <v>328</v>
      </c>
      <c r="E456" s="16" t="s">
        <v>329</v>
      </c>
      <c r="F456" s="16" t="s">
        <v>277</v>
      </c>
      <c r="G456" s="16" t="n">
        <v>1</v>
      </c>
      <c r="H456" s="16" t="s">
        <v>219</v>
      </c>
      <c r="I456" s="16" t="s">
        <v>220</v>
      </c>
      <c r="J456" s="16" t="s">
        <v>221</v>
      </c>
      <c r="K456" s="16" t="n">
        <v>14</v>
      </c>
      <c r="L456" s="40" t="n">
        <f aca="false">(K456/$Q$7)*100</f>
        <v>0.265654648956357</v>
      </c>
      <c r="M456" s="16" t="s">
        <v>197</v>
      </c>
      <c r="N456" s="16" t="n">
        <f aca="false">IFERROR(INDEX(BMWP_COL!$B$2:$B$103,MATCH($I456,BMWP_COL!$A$2:$A$103,0)),"No aplica")</f>
        <v>6</v>
      </c>
      <c r="O456" s="16"/>
    </row>
    <row r="457" customFormat="false" ht="14.25" hidden="false" customHeight="true" outlineLevel="0" collapsed="false">
      <c r="A457" s="39" t="n">
        <v>45779</v>
      </c>
      <c r="B457" s="6" t="s">
        <v>283</v>
      </c>
      <c r="C457" s="16" t="s">
        <v>20</v>
      </c>
      <c r="D457" s="16" t="s">
        <v>328</v>
      </c>
      <c r="E457" s="16" t="s">
        <v>329</v>
      </c>
      <c r="F457" s="16" t="s">
        <v>277</v>
      </c>
      <c r="G457" s="16" t="n">
        <v>1</v>
      </c>
      <c r="H457" s="16" t="s">
        <v>219</v>
      </c>
      <c r="I457" s="16" t="s">
        <v>279</v>
      </c>
      <c r="J457" s="16" t="s">
        <v>279</v>
      </c>
      <c r="K457" s="16" t="n">
        <v>1</v>
      </c>
      <c r="L457" s="40" t="n">
        <f aca="false">(K457/$Q$7)*100</f>
        <v>0.0189753320683112</v>
      </c>
      <c r="M457" s="16" t="s">
        <v>201</v>
      </c>
      <c r="N457" s="16" t="n">
        <f aca="false">IFERROR(INDEX(BMWP_COL!$B$2:$B$103,MATCH($I457,BMWP_COL!$A$2:$A$103,0)),"No aplica")</f>
        <v>6</v>
      </c>
      <c r="O457" s="16"/>
    </row>
    <row r="458" customFormat="false" ht="14.25" hidden="false" customHeight="true" outlineLevel="0" collapsed="false">
      <c r="A458" s="39" t="n">
        <v>45779</v>
      </c>
      <c r="B458" s="6" t="s">
        <v>283</v>
      </c>
      <c r="C458" s="16" t="s">
        <v>20</v>
      </c>
      <c r="D458" s="16" t="s">
        <v>328</v>
      </c>
      <c r="E458" s="16" t="s">
        <v>329</v>
      </c>
      <c r="F458" s="16" t="s">
        <v>277</v>
      </c>
      <c r="G458" s="16" t="n">
        <v>1</v>
      </c>
      <c r="H458" s="16" t="s">
        <v>214</v>
      </c>
      <c r="I458" s="16" t="s">
        <v>258</v>
      </c>
      <c r="J458" s="16" t="s">
        <v>259</v>
      </c>
      <c r="K458" s="16" t="n">
        <v>2</v>
      </c>
      <c r="L458" s="40" t="n">
        <f aca="false">(K458/$Q$7)*100</f>
        <v>0.0379506641366224</v>
      </c>
      <c r="M458" s="16" t="s">
        <v>201</v>
      </c>
      <c r="N458" s="16" t="n">
        <f aca="false">IFERROR(INDEX(BMWP_COL!$B$2:$B$103,MATCH($I458,BMWP_COL!$A$2:$A$103,0)),"No aplica")</f>
        <v>6</v>
      </c>
      <c r="O458" s="16"/>
    </row>
    <row r="459" customFormat="false" ht="14.25" hidden="false" customHeight="true" outlineLevel="0" collapsed="false">
      <c r="A459" s="39" t="n">
        <v>45779</v>
      </c>
      <c r="B459" s="6" t="s">
        <v>283</v>
      </c>
      <c r="C459" s="16" t="s">
        <v>20</v>
      </c>
      <c r="D459" s="16" t="s">
        <v>328</v>
      </c>
      <c r="E459" s="16" t="s">
        <v>329</v>
      </c>
      <c r="F459" s="16" t="s">
        <v>277</v>
      </c>
      <c r="G459" s="16" t="n">
        <v>1</v>
      </c>
      <c r="H459" s="16" t="s">
        <v>202</v>
      </c>
      <c r="I459" s="16" t="s">
        <v>346</v>
      </c>
      <c r="J459" s="16" t="s">
        <v>347</v>
      </c>
      <c r="K459" s="16" t="n">
        <v>4</v>
      </c>
      <c r="L459" s="40" t="n">
        <f aca="false">(K459/$Q$7)*100</f>
        <v>0.0759013282732448</v>
      </c>
      <c r="M459" s="16" t="s">
        <v>348</v>
      </c>
      <c r="N459" s="16" t="n">
        <f aca="false">IFERROR(INDEX(BMWP_COL!$B$2:$B$103,MATCH($I459,BMWP_COL!$A$2:$A$103,0)),"No aplica")</f>
        <v>2</v>
      </c>
      <c r="O459" s="16"/>
    </row>
    <row r="460" customFormat="false" ht="14.25" hidden="false" customHeight="true" outlineLevel="0" collapsed="false">
      <c r="A460" s="39" t="n">
        <v>45779</v>
      </c>
      <c r="B460" s="6" t="s">
        <v>283</v>
      </c>
      <c r="C460" s="16" t="s">
        <v>20</v>
      </c>
      <c r="D460" s="16" t="s">
        <v>328</v>
      </c>
      <c r="E460" s="16" t="s">
        <v>329</v>
      </c>
      <c r="F460" s="16" t="s">
        <v>277</v>
      </c>
      <c r="G460" s="16" t="n">
        <v>1</v>
      </c>
      <c r="H460" s="16" t="s">
        <v>202</v>
      </c>
      <c r="I460" s="16" t="s">
        <v>349</v>
      </c>
      <c r="J460" s="16" t="s">
        <v>349</v>
      </c>
      <c r="K460" s="16" t="n">
        <v>1</v>
      </c>
      <c r="L460" s="40" t="n">
        <f aca="false">(K460/$Q$7)*100</f>
        <v>0.0189753320683112</v>
      </c>
      <c r="M460" s="16" t="s">
        <v>197</v>
      </c>
      <c r="N460" s="16" t="n">
        <f aca="false">IFERROR(INDEX(BMWP_COL!$B$2:$B$103,MATCH($I460,BMWP_COL!$A$2:$A$103,0)),"No aplica")</f>
        <v>4</v>
      </c>
    </row>
    <row r="461" customFormat="false" ht="14.25" hidden="false" customHeight="true" outlineLevel="0" collapsed="false">
      <c r="A461" s="39" t="n">
        <v>45779</v>
      </c>
      <c r="B461" s="6" t="s">
        <v>283</v>
      </c>
      <c r="C461" s="16" t="s">
        <v>20</v>
      </c>
      <c r="D461" s="16" t="s">
        <v>328</v>
      </c>
      <c r="E461" s="16" t="s">
        <v>329</v>
      </c>
      <c r="F461" s="16" t="s">
        <v>277</v>
      </c>
      <c r="G461" s="16" t="n">
        <v>1</v>
      </c>
      <c r="H461" s="16" t="s">
        <v>214</v>
      </c>
      <c r="I461" s="16" t="s">
        <v>243</v>
      </c>
      <c r="J461" s="16" t="s">
        <v>244</v>
      </c>
      <c r="K461" s="16" t="n">
        <v>1</v>
      </c>
      <c r="L461" s="40" t="n">
        <f aca="false">(K461/$Q$7)*100</f>
        <v>0.0189753320683112</v>
      </c>
      <c r="M461" s="16" t="s">
        <v>201</v>
      </c>
      <c r="N461" s="16" t="n">
        <f aca="false">IFERROR(INDEX(BMWP_COL!$B$2:$B$103,MATCH($I461,BMWP_COL!$A$2:$A$103,0)),"No aplica")</f>
        <v>7</v>
      </c>
      <c r="O461" s="16"/>
    </row>
    <row r="462" customFormat="false" ht="14.25" hidden="false" customHeight="true" outlineLevel="0" collapsed="false">
      <c r="A462" s="39" t="n">
        <v>45779</v>
      </c>
      <c r="B462" s="6" t="s">
        <v>283</v>
      </c>
      <c r="C462" s="16" t="s">
        <v>20</v>
      </c>
      <c r="D462" s="16" t="s">
        <v>328</v>
      </c>
      <c r="E462" s="16" t="s">
        <v>329</v>
      </c>
      <c r="F462" s="16" t="s">
        <v>277</v>
      </c>
      <c r="G462" s="16" t="n">
        <v>1</v>
      </c>
      <c r="H462" s="16" t="s">
        <v>208</v>
      </c>
      <c r="I462" s="16" t="s">
        <v>247</v>
      </c>
      <c r="J462" s="16" t="s">
        <v>248</v>
      </c>
      <c r="K462" s="16" t="n">
        <v>8</v>
      </c>
      <c r="L462" s="40" t="n">
        <f aca="false">(K462/$Q$7)*100</f>
        <v>0.15180265654649</v>
      </c>
      <c r="M462" s="16" t="s">
        <v>197</v>
      </c>
      <c r="N462" s="16" t="n">
        <f aca="false">IFERROR(INDEX(BMWP_COL!$B$2:$B$103,MATCH($I462,BMWP_COL!$A$2:$A$103,0)),"No aplica")</f>
        <v>9</v>
      </c>
      <c r="O462" s="16"/>
    </row>
    <row r="463" customFormat="false" ht="14.25" hidden="false" customHeight="true" outlineLevel="0" collapsed="false">
      <c r="A463" s="39" t="n">
        <v>45779</v>
      </c>
      <c r="B463" s="6" t="s">
        <v>283</v>
      </c>
      <c r="C463" s="16" t="s">
        <v>20</v>
      </c>
      <c r="D463" s="16" t="s">
        <v>328</v>
      </c>
      <c r="E463" s="16" t="s">
        <v>329</v>
      </c>
      <c r="F463" s="16" t="s">
        <v>277</v>
      </c>
      <c r="G463" s="16" t="n">
        <v>1</v>
      </c>
      <c r="H463" s="16" t="s">
        <v>194</v>
      </c>
      <c r="I463" s="16" t="s">
        <v>331</v>
      </c>
      <c r="J463" s="16" t="s">
        <v>332</v>
      </c>
      <c r="K463" s="16" t="n">
        <v>5</v>
      </c>
      <c r="L463" s="40" t="n">
        <f aca="false">(K463/$Q$7)*100</f>
        <v>0.094876660341556</v>
      </c>
      <c r="M463" s="16" t="s">
        <v>197</v>
      </c>
      <c r="N463" s="16" t="n">
        <f aca="false">IFERROR(INDEX(BMWP_COL!$B$2:$B$103,MATCH($I463,BMWP_COL!$A$2:$A$103,0)),"No aplica")</f>
        <v>8</v>
      </c>
      <c r="O463" s="16"/>
    </row>
    <row r="464" customFormat="false" ht="14.25" hidden="false" customHeight="true" outlineLevel="0" collapsed="false">
      <c r="A464" s="39" t="n">
        <v>45779</v>
      </c>
      <c r="B464" s="6" t="s">
        <v>283</v>
      </c>
      <c r="C464" s="16" t="s">
        <v>20</v>
      </c>
      <c r="D464" s="16" t="s">
        <v>328</v>
      </c>
      <c r="E464" s="16" t="s">
        <v>329</v>
      </c>
      <c r="F464" s="16" t="s">
        <v>277</v>
      </c>
      <c r="G464" s="16" t="n">
        <v>1</v>
      </c>
      <c r="H464" s="16" t="s">
        <v>323</v>
      </c>
      <c r="I464" s="16" t="s">
        <v>333</v>
      </c>
      <c r="J464" s="16" t="s">
        <v>334</v>
      </c>
      <c r="K464" s="16" t="n">
        <v>6</v>
      </c>
      <c r="L464" s="40" t="n">
        <f aca="false">(K464/$Q$7)*100</f>
        <v>0.113851992409867</v>
      </c>
      <c r="M464" s="16" t="s">
        <v>211</v>
      </c>
      <c r="N464" s="16" t="str">
        <f aca="false">IFERROR(INDEX(BMWP_COL!$B$2:$B$103,MATCH($I464,BMWP_COL!$A$2:$A$103,0)),"No aplica")</f>
        <v>No aplica</v>
      </c>
      <c r="O464" s="16"/>
    </row>
    <row r="465" customFormat="false" ht="14.25" hidden="false" customHeight="true" outlineLevel="0" collapsed="false">
      <c r="A465" s="39" t="n">
        <v>45779</v>
      </c>
      <c r="B465" s="6" t="s">
        <v>283</v>
      </c>
      <c r="C465" s="16" t="s">
        <v>20</v>
      </c>
      <c r="D465" s="16" t="s">
        <v>328</v>
      </c>
      <c r="E465" s="16" t="s">
        <v>329</v>
      </c>
      <c r="F465" s="16" t="s">
        <v>277</v>
      </c>
      <c r="G465" s="16" t="n">
        <v>1</v>
      </c>
      <c r="H465" s="16" t="s">
        <v>202</v>
      </c>
      <c r="I465" s="16" t="s">
        <v>217</v>
      </c>
      <c r="J465" s="16" t="s">
        <v>218</v>
      </c>
      <c r="K465" s="16" t="n">
        <v>1</v>
      </c>
      <c r="L465" s="40" t="n">
        <f aca="false">(K465/$Q$7)*100</f>
        <v>0.0189753320683112</v>
      </c>
      <c r="M465" s="16" t="s">
        <v>201</v>
      </c>
      <c r="N465" s="16" t="n">
        <f aca="false">IFERROR(INDEX(BMWP_COL!$B$2:$B$103,MATCH($I465,BMWP_COL!$A$2:$A$103,0)),"No aplica")</f>
        <v>4</v>
      </c>
      <c r="O465" s="16"/>
    </row>
    <row r="466" customFormat="false" ht="14.25" hidden="false" customHeight="true" outlineLevel="0" collapsed="false">
      <c r="A466" s="39" t="n">
        <v>45779</v>
      </c>
      <c r="B466" s="6" t="s">
        <v>283</v>
      </c>
      <c r="C466" s="16" t="s">
        <v>20</v>
      </c>
      <c r="D466" s="16" t="s">
        <v>328</v>
      </c>
      <c r="E466" s="16" t="s">
        <v>329</v>
      </c>
      <c r="F466" s="16" t="s">
        <v>277</v>
      </c>
      <c r="G466" s="16" t="n">
        <v>1</v>
      </c>
      <c r="H466" s="16" t="s">
        <v>208</v>
      </c>
      <c r="I466" s="16" t="s">
        <v>209</v>
      </c>
      <c r="J466" s="16" t="s">
        <v>210</v>
      </c>
      <c r="K466" s="16" t="n">
        <v>1</v>
      </c>
      <c r="L466" s="40" t="n">
        <f aca="false">(K466/$Q$7)*100</f>
        <v>0.0189753320683112</v>
      </c>
      <c r="M466" s="16" t="s">
        <v>211</v>
      </c>
      <c r="N466" s="16" t="n">
        <f aca="false">IFERROR(INDEX(BMWP_COL!$B$2:$B$103,MATCH($I466,BMWP_COL!$A$2:$A$103,0)),"No aplica")</f>
        <v>7</v>
      </c>
      <c r="O466" s="16"/>
    </row>
    <row r="467" customFormat="false" ht="14.25" hidden="false" customHeight="true" outlineLevel="0" collapsed="false">
      <c r="A467" s="39" t="n">
        <v>45779</v>
      </c>
      <c r="B467" s="6" t="s">
        <v>283</v>
      </c>
      <c r="C467" s="16" t="s">
        <v>20</v>
      </c>
      <c r="D467" s="16" t="s">
        <v>328</v>
      </c>
      <c r="E467" s="16" t="s">
        <v>329</v>
      </c>
      <c r="F467" s="16" t="s">
        <v>277</v>
      </c>
      <c r="G467" s="16" t="n">
        <v>1</v>
      </c>
      <c r="H467" s="16" t="s">
        <v>208</v>
      </c>
      <c r="I467" s="16" t="s">
        <v>226</v>
      </c>
      <c r="J467" s="16" t="s">
        <v>227</v>
      </c>
      <c r="K467" s="16" t="n">
        <v>1</v>
      </c>
      <c r="L467" s="40" t="n">
        <f aca="false">(K467/$Q$7)*100</f>
        <v>0.0189753320683112</v>
      </c>
      <c r="M467" s="16" t="s">
        <v>197</v>
      </c>
      <c r="N467" s="16" t="n">
        <f aca="false">IFERROR(INDEX(BMWP_COL!$B$2:$B$103,MATCH($I467,BMWP_COL!$A$2:$A$103,0)),"No aplica")</f>
        <v>7</v>
      </c>
      <c r="O467" s="16"/>
    </row>
    <row r="468" customFormat="false" ht="14.25" hidden="false" customHeight="true" outlineLevel="0" collapsed="false">
      <c r="A468" s="39" t="n">
        <v>45779</v>
      </c>
      <c r="B468" s="6" t="s">
        <v>283</v>
      </c>
      <c r="C468" s="16" t="s">
        <v>20</v>
      </c>
      <c r="D468" s="16" t="s">
        <v>328</v>
      </c>
      <c r="E468" s="16" t="s">
        <v>329</v>
      </c>
      <c r="F468" s="16" t="s">
        <v>277</v>
      </c>
      <c r="G468" s="16" t="n">
        <v>2</v>
      </c>
      <c r="H468" s="16" t="s">
        <v>219</v>
      </c>
      <c r="I468" s="16" t="s">
        <v>220</v>
      </c>
      <c r="J468" s="16" t="s">
        <v>221</v>
      </c>
      <c r="K468" s="16" t="n">
        <v>19</v>
      </c>
      <c r="L468" s="40" t="n">
        <f aca="false">(K468/$Q$7)*100</f>
        <v>0.360531309297913</v>
      </c>
      <c r="M468" s="16" t="s">
        <v>197</v>
      </c>
      <c r="N468" s="16" t="n">
        <f aca="false">IFERROR(INDEX(BMWP_COL!$B$2:$B$103,MATCH($I468,BMWP_COL!$A$2:$A$103,0)),"No aplica")</f>
        <v>6</v>
      </c>
      <c r="O468" s="16"/>
    </row>
    <row r="469" customFormat="false" ht="14.25" hidden="false" customHeight="true" outlineLevel="0" collapsed="false">
      <c r="A469" s="39" t="n">
        <v>45779</v>
      </c>
      <c r="B469" s="6" t="s">
        <v>283</v>
      </c>
      <c r="C469" s="16" t="s">
        <v>20</v>
      </c>
      <c r="D469" s="16" t="s">
        <v>328</v>
      </c>
      <c r="E469" s="16" t="s">
        <v>329</v>
      </c>
      <c r="F469" s="16" t="s">
        <v>277</v>
      </c>
      <c r="G469" s="16" t="n">
        <v>2</v>
      </c>
      <c r="H469" s="16" t="s">
        <v>286</v>
      </c>
      <c r="I469" s="16" t="s">
        <v>336</v>
      </c>
      <c r="J469" s="16" t="s">
        <v>337</v>
      </c>
      <c r="K469" s="16" t="n">
        <v>2</v>
      </c>
      <c r="L469" s="40" t="n">
        <f aca="false">(K469/$Q$7)*100</f>
        <v>0.0379506641366224</v>
      </c>
      <c r="M469" s="16" t="s">
        <v>211</v>
      </c>
      <c r="N469" s="16" t="n">
        <f aca="false">IFERROR(INDEX(BMWP_COL!$B$2:$B$103,MATCH($I469,BMWP_COL!$A$2:$A$103,0)),"No aplica")</f>
        <v>3</v>
      </c>
      <c r="O469" s="16"/>
    </row>
    <row r="470" customFormat="false" ht="14.25" hidden="false" customHeight="true" outlineLevel="0" collapsed="false">
      <c r="A470" s="39" t="n">
        <v>45779</v>
      </c>
      <c r="B470" s="6" t="s">
        <v>283</v>
      </c>
      <c r="C470" s="16" t="s">
        <v>20</v>
      </c>
      <c r="D470" s="16" t="s">
        <v>328</v>
      </c>
      <c r="E470" s="16" t="s">
        <v>329</v>
      </c>
      <c r="F470" s="16" t="s">
        <v>277</v>
      </c>
      <c r="G470" s="16" t="n">
        <v>2</v>
      </c>
      <c r="H470" s="16" t="s">
        <v>198</v>
      </c>
      <c r="I470" s="16" t="s">
        <v>199</v>
      </c>
      <c r="J470" s="16" t="s">
        <v>200</v>
      </c>
      <c r="K470" s="16" t="n">
        <v>8</v>
      </c>
      <c r="L470" s="40" t="n">
        <f aca="false">(K470/$Q$7)*100</f>
        <v>0.15180265654649</v>
      </c>
      <c r="M470" s="16" t="s">
        <v>201</v>
      </c>
      <c r="N470" s="16" t="n">
        <f aca="false">IFERROR(INDEX(BMWP_COL!$B$2:$B$103,MATCH($I470,BMWP_COL!$A$2:$A$103,0)),"No aplica")</f>
        <v>7</v>
      </c>
      <c r="O470" s="16"/>
    </row>
    <row r="471" customFormat="false" ht="14.25" hidden="false" customHeight="true" outlineLevel="0" collapsed="false">
      <c r="A471" s="39" t="n">
        <v>45779</v>
      </c>
      <c r="B471" s="6" t="s">
        <v>283</v>
      </c>
      <c r="C471" s="16" t="s">
        <v>20</v>
      </c>
      <c r="D471" s="16" t="s">
        <v>328</v>
      </c>
      <c r="E471" s="16" t="s">
        <v>329</v>
      </c>
      <c r="F471" s="16" t="s">
        <v>277</v>
      </c>
      <c r="G471" s="16" t="n">
        <v>2</v>
      </c>
      <c r="H471" s="16" t="s">
        <v>214</v>
      </c>
      <c r="I471" s="16" t="s">
        <v>215</v>
      </c>
      <c r="J471" s="16" t="s">
        <v>216</v>
      </c>
      <c r="K471" s="16" t="n">
        <v>6</v>
      </c>
      <c r="L471" s="40" t="n">
        <f aca="false">(K471/$Q$7)*100</f>
        <v>0.113851992409867</v>
      </c>
      <c r="M471" s="16" t="s">
        <v>201</v>
      </c>
      <c r="N471" s="16" t="n">
        <f aca="false">IFERROR(INDEX(BMWP_COL!$B$2:$B$103,MATCH($I471,BMWP_COL!$A$2:$A$103,0)),"No aplica")</f>
        <v>10</v>
      </c>
      <c r="O471" s="16"/>
    </row>
    <row r="472" customFormat="false" ht="14.25" hidden="false" customHeight="true" outlineLevel="0" collapsed="false">
      <c r="A472" s="39" t="n">
        <v>45779</v>
      </c>
      <c r="B472" s="6" t="s">
        <v>283</v>
      </c>
      <c r="C472" s="16" t="s">
        <v>20</v>
      </c>
      <c r="D472" s="16" t="s">
        <v>328</v>
      </c>
      <c r="E472" s="16" t="s">
        <v>329</v>
      </c>
      <c r="F472" s="16" t="s">
        <v>277</v>
      </c>
      <c r="G472" s="16" t="n">
        <v>2</v>
      </c>
      <c r="H472" s="16" t="s">
        <v>249</v>
      </c>
      <c r="I472" s="16" t="s">
        <v>250</v>
      </c>
      <c r="J472" s="16" t="s">
        <v>251</v>
      </c>
      <c r="K472" s="16" t="n">
        <v>16</v>
      </c>
      <c r="L472" s="40" t="n">
        <f aca="false">(K472/$Q$7)*100</f>
        <v>0.303605313092979</v>
      </c>
      <c r="M472" s="16" t="s">
        <v>201</v>
      </c>
      <c r="N472" s="16" t="n">
        <f aca="false">IFERROR(INDEX(BMWP_COL!$B$2:$B$103,MATCH($I472,BMWP_COL!$A$2:$A$103,0)),"No aplica")</f>
        <v>10</v>
      </c>
      <c r="O472" s="16"/>
    </row>
    <row r="473" customFormat="false" ht="14.25" hidden="false" customHeight="true" outlineLevel="0" collapsed="false">
      <c r="A473" s="39" t="n">
        <v>45779</v>
      </c>
      <c r="B473" s="6" t="s">
        <v>283</v>
      </c>
      <c r="C473" s="16" t="s">
        <v>20</v>
      </c>
      <c r="D473" s="16" t="s">
        <v>328</v>
      </c>
      <c r="E473" s="16" t="s">
        <v>329</v>
      </c>
      <c r="F473" s="16" t="s">
        <v>277</v>
      </c>
      <c r="G473" s="16" t="n">
        <v>2</v>
      </c>
      <c r="H473" s="16" t="s">
        <v>208</v>
      </c>
      <c r="I473" s="16" t="s">
        <v>226</v>
      </c>
      <c r="J473" s="16" t="s">
        <v>227</v>
      </c>
      <c r="K473" s="16" t="n">
        <v>8</v>
      </c>
      <c r="L473" s="40" t="n">
        <f aca="false">(K473/$Q$7)*100</f>
        <v>0.15180265654649</v>
      </c>
      <c r="M473" s="16" t="s">
        <v>197</v>
      </c>
      <c r="N473" s="16" t="n">
        <f aca="false">IFERROR(INDEX(BMWP_COL!$B$2:$B$103,MATCH($I473,BMWP_COL!$A$2:$A$103,0)),"No aplica")</f>
        <v>7</v>
      </c>
      <c r="O473" s="16"/>
    </row>
    <row r="474" customFormat="false" ht="14.25" hidden="false" customHeight="true" outlineLevel="0" collapsed="false">
      <c r="A474" s="39" t="n">
        <v>45779</v>
      </c>
      <c r="B474" s="6" t="s">
        <v>283</v>
      </c>
      <c r="C474" s="16" t="s">
        <v>20</v>
      </c>
      <c r="D474" s="16" t="s">
        <v>328</v>
      </c>
      <c r="E474" s="16" t="s">
        <v>329</v>
      </c>
      <c r="F474" s="16" t="s">
        <v>277</v>
      </c>
      <c r="G474" s="16" t="n">
        <v>2</v>
      </c>
      <c r="H474" s="16" t="s">
        <v>194</v>
      </c>
      <c r="I474" s="16" t="s">
        <v>223</v>
      </c>
      <c r="J474" s="16" t="s">
        <v>224</v>
      </c>
      <c r="K474" s="16" t="n">
        <v>3</v>
      </c>
      <c r="L474" s="40" t="n">
        <f aca="false">(K474/$Q$7)*100</f>
        <v>0.0569259962049336</v>
      </c>
      <c r="M474" s="16" t="s">
        <v>225</v>
      </c>
      <c r="N474" s="16" t="n">
        <f aca="false">IFERROR(INDEX(BMWP_COL!$B$2:$B$103,MATCH($I474,BMWP_COL!$A$2:$A$103,0)),"No aplica")</f>
        <v>7</v>
      </c>
      <c r="O474" s="16"/>
    </row>
    <row r="475" customFormat="false" ht="14.25" hidden="false" customHeight="true" outlineLevel="0" collapsed="false">
      <c r="A475" s="39" t="n">
        <v>45779</v>
      </c>
      <c r="B475" s="6" t="s">
        <v>283</v>
      </c>
      <c r="C475" s="16" t="s">
        <v>20</v>
      </c>
      <c r="D475" s="16" t="s">
        <v>328</v>
      </c>
      <c r="E475" s="16" t="s">
        <v>329</v>
      </c>
      <c r="F475" s="16" t="s">
        <v>277</v>
      </c>
      <c r="G475" s="16" t="n">
        <v>2</v>
      </c>
      <c r="H475" s="16" t="s">
        <v>194</v>
      </c>
      <c r="I475" s="16" t="s">
        <v>223</v>
      </c>
      <c r="J475" s="16" t="s">
        <v>234</v>
      </c>
      <c r="K475" s="16" t="n">
        <v>9</v>
      </c>
      <c r="L475" s="40" t="n">
        <f aca="false">(K475/$Q$7)*100</f>
        <v>0.170777988614801</v>
      </c>
      <c r="M475" s="16" t="s">
        <v>225</v>
      </c>
      <c r="N475" s="16" t="n">
        <f aca="false">IFERROR(INDEX(BMWP_COL!$B$2:$B$103,MATCH($I475,BMWP_COL!$A$2:$A$103,0)),"No aplica")</f>
        <v>7</v>
      </c>
      <c r="O475" s="16"/>
    </row>
    <row r="476" customFormat="false" ht="14.25" hidden="false" customHeight="true" outlineLevel="0" collapsed="false">
      <c r="A476" s="39" t="n">
        <v>45779</v>
      </c>
      <c r="B476" s="6" t="s">
        <v>283</v>
      </c>
      <c r="C476" s="16" t="s">
        <v>20</v>
      </c>
      <c r="D476" s="16" t="s">
        <v>328</v>
      </c>
      <c r="E476" s="16" t="s">
        <v>329</v>
      </c>
      <c r="F476" s="16" t="s">
        <v>277</v>
      </c>
      <c r="G476" s="16" t="n">
        <v>2</v>
      </c>
      <c r="H476" s="16" t="s">
        <v>194</v>
      </c>
      <c r="I476" s="16" t="s">
        <v>195</v>
      </c>
      <c r="J476" s="16" t="s">
        <v>196</v>
      </c>
      <c r="K476" s="16" t="n">
        <v>2</v>
      </c>
      <c r="L476" s="40" t="n">
        <f aca="false">(K476/$Q$7)*100</f>
        <v>0.0379506641366224</v>
      </c>
      <c r="M476" s="16" t="s">
        <v>197</v>
      </c>
      <c r="N476" s="16" t="n">
        <f aca="false">IFERROR(INDEX(BMWP_COL!$B$2:$B$103,MATCH($I476,BMWP_COL!$A$2:$A$103,0)),"No aplica")</f>
        <v>8</v>
      </c>
      <c r="O476" s="16"/>
    </row>
    <row r="477" customFormat="false" ht="14.25" hidden="false" customHeight="true" outlineLevel="0" collapsed="false">
      <c r="A477" s="39" t="n">
        <v>45779</v>
      </c>
      <c r="B477" s="6" t="s">
        <v>283</v>
      </c>
      <c r="C477" s="16" t="s">
        <v>20</v>
      </c>
      <c r="D477" s="16" t="s">
        <v>328</v>
      </c>
      <c r="E477" s="16" t="s">
        <v>329</v>
      </c>
      <c r="F477" s="16" t="s">
        <v>277</v>
      </c>
      <c r="G477" s="16" t="n">
        <v>2</v>
      </c>
      <c r="H477" s="16" t="s">
        <v>208</v>
      </c>
      <c r="I477" s="16" t="s">
        <v>209</v>
      </c>
      <c r="J477" s="16" t="s">
        <v>212</v>
      </c>
      <c r="K477" s="16" t="n">
        <v>19</v>
      </c>
      <c r="L477" s="40" t="n">
        <f aca="false">(K477/$Q$7)*100</f>
        <v>0.360531309297913</v>
      </c>
      <c r="M477" s="16" t="s">
        <v>197</v>
      </c>
      <c r="N477" s="16" t="n">
        <f aca="false">IFERROR(INDEX(BMWP_COL!$B$2:$B$103,MATCH($I477,BMWP_COL!$A$2:$A$103,0)),"No aplica")</f>
        <v>7</v>
      </c>
      <c r="O477" s="16"/>
    </row>
    <row r="478" customFormat="false" ht="14.25" hidden="false" customHeight="true" outlineLevel="0" collapsed="false">
      <c r="A478" s="39" t="n">
        <v>45779</v>
      </c>
      <c r="B478" s="6" t="s">
        <v>283</v>
      </c>
      <c r="C478" s="16" t="s">
        <v>20</v>
      </c>
      <c r="D478" s="16" t="s">
        <v>328</v>
      </c>
      <c r="E478" s="16" t="s">
        <v>329</v>
      </c>
      <c r="F478" s="16" t="s">
        <v>277</v>
      </c>
      <c r="G478" s="16" t="n">
        <v>2</v>
      </c>
      <c r="H478" s="16" t="s">
        <v>208</v>
      </c>
      <c r="I478" s="16" t="s">
        <v>209</v>
      </c>
      <c r="J478" s="16" t="s">
        <v>276</v>
      </c>
      <c r="K478" s="16" t="n">
        <v>1</v>
      </c>
      <c r="L478" s="40" t="n">
        <f aca="false">(K478/$Q$7)*100</f>
        <v>0.0189753320683112</v>
      </c>
      <c r="M478" s="16" t="s">
        <v>211</v>
      </c>
      <c r="N478" s="16" t="n">
        <f aca="false">IFERROR(INDEX(BMWP_COL!$B$2:$B$103,MATCH($I478,BMWP_COL!$A$2:$A$103,0)),"No aplica")</f>
        <v>7</v>
      </c>
      <c r="O478" s="16"/>
    </row>
    <row r="479" customFormat="false" ht="14.25" hidden="false" customHeight="true" outlineLevel="0" collapsed="false">
      <c r="A479" s="39" t="n">
        <v>45779</v>
      </c>
      <c r="B479" s="6" t="s">
        <v>283</v>
      </c>
      <c r="C479" s="16" t="s">
        <v>20</v>
      </c>
      <c r="D479" s="16" t="s">
        <v>328</v>
      </c>
      <c r="E479" s="16" t="s">
        <v>329</v>
      </c>
      <c r="F479" s="16" t="s">
        <v>277</v>
      </c>
      <c r="G479" s="16" t="n">
        <v>2</v>
      </c>
      <c r="H479" s="16" t="s">
        <v>194</v>
      </c>
      <c r="I479" s="16" t="s">
        <v>331</v>
      </c>
      <c r="J479" s="16" t="s">
        <v>332</v>
      </c>
      <c r="K479" s="16" t="n">
        <v>6</v>
      </c>
      <c r="L479" s="40" t="n">
        <f aca="false">(K479/$Q$7)*100</f>
        <v>0.113851992409867</v>
      </c>
      <c r="M479" s="16" t="s">
        <v>197</v>
      </c>
      <c r="N479" s="16" t="n">
        <f aca="false">IFERROR(INDEX(BMWP_COL!$B$2:$B$103,MATCH($I479,BMWP_COL!$A$2:$A$103,0)),"No aplica")</f>
        <v>8</v>
      </c>
      <c r="O479" s="16"/>
    </row>
    <row r="480" customFormat="false" ht="14.25" hidden="false" customHeight="true" outlineLevel="0" collapsed="false">
      <c r="A480" s="39" t="n">
        <v>45779</v>
      </c>
      <c r="B480" s="6" t="s">
        <v>283</v>
      </c>
      <c r="C480" s="16" t="s">
        <v>20</v>
      </c>
      <c r="D480" s="16" t="s">
        <v>328</v>
      </c>
      <c r="E480" s="16" t="s">
        <v>329</v>
      </c>
      <c r="F480" s="16" t="s">
        <v>277</v>
      </c>
      <c r="G480" s="16" t="n">
        <v>2</v>
      </c>
      <c r="H480" s="16" t="s">
        <v>198</v>
      </c>
      <c r="I480" s="16" t="s">
        <v>205</v>
      </c>
      <c r="J480" s="16" t="s">
        <v>206</v>
      </c>
      <c r="K480" s="16" t="n">
        <v>4</v>
      </c>
      <c r="L480" s="40" t="n">
        <f aca="false">(K480/$Q$7)*100</f>
        <v>0.0759013282732448</v>
      </c>
      <c r="M480" s="16" t="s">
        <v>201</v>
      </c>
      <c r="N480" s="16" t="n">
        <f aca="false">IFERROR(INDEX(BMWP_COL!$B$2:$B$103,MATCH($I480,BMWP_COL!$A$2:$A$103,0)),"No aplica")</f>
        <v>8</v>
      </c>
      <c r="O480" s="16"/>
    </row>
    <row r="481" customFormat="false" ht="14.25" hidden="false" customHeight="true" outlineLevel="0" collapsed="false">
      <c r="A481" s="39" t="n">
        <v>45779</v>
      </c>
      <c r="B481" s="6" t="s">
        <v>283</v>
      </c>
      <c r="C481" s="16" t="s">
        <v>20</v>
      </c>
      <c r="D481" s="16" t="s">
        <v>328</v>
      </c>
      <c r="E481" s="16" t="s">
        <v>329</v>
      </c>
      <c r="F481" s="16" t="s">
        <v>277</v>
      </c>
      <c r="G481" s="16" t="n">
        <v>2</v>
      </c>
      <c r="H481" s="16" t="s">
        <v>219</v>
      </c>
      <c r="I481" s="16" t="s">
        <v>220</v>
      </c>
      <c r="J481" s="16" t="s">
        <v>278</v>
      </c>
      <c r="K481" s="16" t="n">
        <v>3</v>
      </c>
      <c r="L481" s="40" t="n">
        <f aca="false">(K481/$Q$7)*100</f>
        <v>0.0569259962049336</v>
      </c>
      <c r="M481" s="16" t="s">
        <v>197</v>
      </c>
      <c r="N481" s="16" t="n">
        <f aca="false">IFERROR(INDEX(BMWP_COL!$B$2:$B$103,MATCH($I481,BMWP_COL!$A$2:$A$103,0)),"No aplica")</f>
        <v>6</v>
      </c>
      <c r="O481" s="16"/>
    </row>
    <row r="482" customFormat="false" ht="14.25" hidden="false" customHeight="true" outlineLevel="0" collapsed="false">
      <c r="A482" s="39" t="n">
        <v>45779</v>
      </c>
      <c r="B482" s="6" t="s">
        <v>283</v>
      </c>
      <c r="C482" s="16" t="s">
        <v>20</v>
      </c>
      <c r="D482" s="16" t="s">
        <v>328</v>
      </c>
      <c r="E482" s="16" t="s">
        <v>329</v>
      </c>
      <c r="F482" s="16" t="s">
        <v>277</v>
      </c>
      <c r="G482" s="16" t="n">
        <v>2</v>
      </c>
      <c r="H482" s="16" t="s">
        <v>208</v>
      </c>
      <c r="I482" s="16" t="s">
        <v>209</v>
      </c>
      <c r="J482" s="16" t="s">
        <v>210</v>
      </c>
      <c r="K482" s="16" t="n">
        <v>25</v>
      </c>
      <c r="L482" s="40" t="n">
        <f aca="false">(K482/$Q$7)*100</f>
        <v>0.47438330170778</v>
      </c>
      <c r="M482" s="16" t="s">
        <v>211</v>
      </c>
      <c r="N482" s="16" t="n">
        <f aca="false">IFERROR(INDEX(BMWP_COL!$B$2:$B$103,MATCH($I482,BMWP_COL!$A$2:$A$103,0)),"No aplica")</f>
        <v>7</v>
      </c>
      <c r="O482" s="16"/>
    </row>
    <row r="483" customFormat="false" ht="14.25" hidden="false" customHeight="true" outlineLevel="0" collapsed="false">
      <c r="A483" s="39" t="n">
        <v>45779</v>
      </c>
      <c r="B483" s="6" t="s">
        <v>283</v>
      </c>
      <c r="C483" s="16" t="s">
        <v>20</v>
      </c>
      <c r="D483" s="16" t="s">
        <v>328</v>
      </c>
      <c r="E483" s="16" t="s">
        <v>329</v>
      </c>
      <c r="F483" s="16" t="s">
        <v>277</v>
      </c>
      <c r="G483" s="16" t="n">
        <v>2</v>
      </c>
      <c r="H483" s="16" t="s">
        <v>202</v>
      </c>
      <c r="I483" s="16" t="s">
        <v>203</v>
      </c>
      <c r="J483" s="16" t="s">
        <v>213</v>
      </c>
      <c r="K483" s="16" t="n">
        <v>1</v>
      </c>
      <c r="L483" s="40" t="n">
        <f aca="false">(K483/$Q$7)*100</f>
        <v>0.0189753320683112</v>
      </c>
      <c r="M483" s="16" t="s">
        <v>201</v>
      </c>
      <c r="N483" s="16" t="n">
        <f aca="false">IFERROR(INDEX(BMWP_COL!$B$2:$B$103,MATCH($I483,BMWP_COL!$A$2:$A$103,0)),"No aplica")</f>
        <v>2</v>
      </c>
      <c r="O483" s="16"/>
    </row>
    <row r="484" customFormat="false" ht="14.25" hidden="false" customHeight="true" outlineLevel="0" collapsed="false">
      <c r="A484" s="39" t="n">
        <v>45779</v>
      </c>
      <c r="B484" s="6" t="s">
        <v>283</v>
      </c>
      <c r="C484" s="16" t="s">
        <v>20</v>
      </c>
      <c r="D484" s="16" t="s">
        <v>328</v>
      </c>
      <c r="E484" s="16" t="s">
        <v>329</v>
      </c>
      <c r="F484" s="16" t="s">
        <v>277</v>
      </c>
      <c r="G484" s="16" t="n">
        <v>2</v>
      </c>
      <c r="H484" s="16" t="s">
        <v>194</v>
      </c>
      <c r="I484" s="16" t="s">
        <v>270</v>
      </c>
      <c r="J484" s="16" t="s">
        <v>271</v>
      </c>
      <c r="K484" s="16" t="n">
        <v>3</v>
      </c>
      <c r="L484" s="40" t="n">
        <f aca="false">(K484/$Q$7)*100</f>
        <v>0.0569259962049336</v>
      </c>
      <c r="M484" s="16" t="s">
        <v>230</v>
      </c>
      <c r="N484" s="16" t="n">
        <f aca="false">IFERROR(INDEX(BMWP_COL!$B$2:$B$103,MATCH($I484,BMWP_COL!$A$2:$A$103,0)),"No aplica")</f>
        <v>9</v>
      </c>
      <c r="O484" s="16"/>
    </row>
    <row r="485" customFormat="false" ht="14.25" hidden="false" customHeight="true" outlineLevel="0" collapsed="false">
      <c r="A485" s="39" t="n">
        <v>45779</v>
      </c>
      <c r="B485" s="6" t="s">
        <v>283</v>
      </c>
      <c r="C485" s="16" t="s">
        <v>20</v>
      </c>
      <c r="D485" s="16" t="s">
        <v>328</v>
      </c>
      <c r="E485" s="16" t="s">
        <v>329</v>
      </c>
      <c r="F485" s="16" t="s">
        <v>277</v>
      </c>
      <c r="G485" s="16" t="n">
        <v>2</v>
      </c>
      <c r="H485" s="16" t="s">
        <v>323</v>
      </c>
      <c r="I485" s="16" t="s">
        <v>333</v>
      </c>
      <c r="J485" s="16" t="s">
        <v>334</v>
      </c>
      <c r="K485" s="16" t="n">
        <v>2</v>
      </c>
      <c r="L485" s="40" t="n">
        <f aca="false">(K485/$Q$7)*100</f>
        <v>0.0379506641366224</v>
      </c>
      <c r="M485" s="16" t="s">
        <v>211</v>
      </c>
      <c r="N485" s="16" t="str">
        <f aca="false">IFERROR(INDEX(BMWP_COL!$B$2:$B$103,MATCH($I485,BMWP_COL!$A$2:$A$103,0)),"No aplica")</f>
        <v>No aplica</v>
      </c>
      <c r="O485" s="16"/>
    </row>
    <row r="486" customFormat="false" ht="14.25" hidden="false" customHeight="true" outlineLevel="0" collapsed="false">
      <c r="A486" s="39" t="n">
        <v>45779</v>
      </c>
      <c r="B486" s="6" t="s">
        <v>283</v>
      </c>
      <c r="C486" s="16" t="s">
        <v>20</v>
      </c>
      <c r="D486" s="16" t="s">
        <v>328</v>
      </c>
      <c r="E486" s="16" t="s">
        <v>329</v>
      </c>
      <c r="F486" s="16" t="s">
        <v>277</v>
      </c>
      <c r="G486" s="16" t="n">
        <v>2</v>
      </c>
      <c r="H486" s="16" t="s">
        <v>208</v>
      </c>
      <c r="I486" s="16" t="s">
        <v>247</v>
      </c>
      <c r="J486" s="16" t="s">
        <v>248</v>
      </c>
      <c r="K486" s="16" t="n">
        <v>5</v>
      </c>
      <c r="L486" s="40" t="n">
        <f aca="false">(K486/$Q$7)*100</f>
        <v>0.094876660341556</v>
      </c>
      <c r="M486" s="16" t="s">
        <v>197</v>
      </c>
      <c r="N486" s="16" t="n">
        <f aca="false">IFERROR(INDEX(BMWP_COL!$B$2:$B$103,MATCH($I486,BMWP_COL!$A$2:$A$103,0)),"No aplica")</f>
        <v>9</v>
      </c>
      <c r="O486" s="16"/>
    </row>
    <row r="487" customFormat="false" ht="14.25" hidden="false" customHeight="true" outlineLevel="0" collapsed="false">
      <c r="A487" s="39" t="n">
        <v>45779</v>
      </c>
      <c r="B487" s="6" t="s">
        <v>283</v>
      </c>
      <c r="C487" s="16" t="s">
        <v>20</v>
      </c>
      <c r="D487" s="16" t="s">
        <v>328</v>
      </c>
      <c r="E487" s="16" t="s">
        <v>329</v>
      </c>
      <c r="F487" s="16" t="s">
        <v>277</v>
      </c>
      <c r="G487" s="16" t="n">
        <v>2</v>
      </c>
      <c r="H487" s="16" t="s">
        <v>194</v>
      </c>
      <c r="I487" s="16" t="s">
        <v>256</v>
      </c>
      <c r="J487" s="16" t="s">
        <v>257</v>
      </c>
      <c r="K487" s="16" t="n">
        <v>2</v>
      </c>
      <c r="L487" s="40" t="n">
        <f aca="false">(K487/$Q$7)*100</f>
        <v>0.0379506641366224</v>
      </c>
      <c r="M487" s="16" t="s">
        <v>225</v>
      </c>
      <c r="N487" s="16" t="n">
        <f aca="false">IFERROR(INDEX(BMWP_COL!$B$2:$B$103,MATCH($I487,BMWP_COL!$A$2:$A$103,0)),"No aplica")</f>
        <v>10</v>
      </c>
      <c r="O487" s="16"/>
    </row>
    <row r="488" customFormat="false" ht="14.25" hidden="false" customHeight="true" outlineLevel="0" collapsed="false">
      <c r="A488" s="39" t="n">
        <v>45779</v>
      </c>
      <c r="B488" s="6" t="s">
        <v>283</v>
      </c>
      <c r="C488" s="16" t="s">
        <v>20</v>
      </c>
      <c r="D488" s="16" t="s">
        <v>328</v>
      </c>
      <c r="E488" s="16" t="s">
        <v>329</v>
      </c>
      <c r="F488" s="16" t="s">
        <v>277</v>
      </c>
      <c r="G488" s="16" t="n">
        <v>2</v>
      </c>
      <c r="H488" s="16" t="s">
        <v>202</v>
      </c>
      <c r="I488" s="16" t="s">
        <v>228</v>
      </c>
      <c r="J488" s="16" t="s">
        <v>229</v>
      </c>
      <c r="K488" s="16" t="n">
        <v>3</v>
      </c>
      <c r="L488" s="40" t="n">
        <f aca="false">(K488/$Q$7)*100</f>
        <v>0.0569259962049336</v>
      </c>
      <c r="M488" s="16" t="s">
        <v>230</v>
      </c>
      <c r="N488" s="16" t="n">
        <f aca="false">IFERROR(INDEX(BMWP_COL!$B$2:$B$103,MATCH($I488,BMWP_COL!$A$2:$A$103,0)),"No aplica")</f>
        <v>8</v>
      </c>
      <c r="O488" s="16"/>
    </row>
    <row r="489" customFormat="false" ht="14.25" hidden="false" customHeight="true" outlineLevel="0" collapsed="false">
      <c r="A489" s="39" t="n">
        <v>45779</v>
      </c>
      <c r="B489" s="6" t="s">
        <v>283</v>
      </c>
      <c r="C489" s="16" t="s">
        <v>20</v>
      </c>
      <c r="D489" s="16" t="s">
        <v>328</v>
      </c>
      <c r="E489" s="16" t="s">
        <v>329</v>
      </c>
      <c r="F489" s="16" t="s">
        <v>277</v>
      </c>
      <c r="G489" s="16" t="n">
        <v>2</v>
      </c>
      <c r="H489" s="16" t="s">
        <v>208</v>
      </c>
      <c r="I489" s="16" t="s">
        <v>226</v>
      </c>
      <c r="J489" s="16" t="s">
        <v>297</v>
      </c>
      <c r="K489" s="16" t="n">
        <v>2</v>
      </c>
      <c r="L489" s="40" t="n">
        <f aca="false">(K489/$Q$7)*100</f>
        <v>0.0379506641366224</v>
      </c>
      <c r="M489" s="16" t="s">
        <v>197</v>
      </c>
      <c r="N489" s="16" t="n">
        <f aca="false">IFERROR(INDEX(BMWP_COL!$B$2:$B$103,MATCH($I489,BMWP_COL!$A$2:$A$103,0)),"No aplica")</f>
        <v>7</v>
      </c>
      <c r="O489" s="16"/>
    </row>
    <row r="490" customFormat="false" ht="14.25" hidden="false" customHeight="true" outlineLevel="0" collapsed="false">
      <c r="A490" s="39" t="n">
        <v>45779</v>
      </c>
      <c r="B490" s="6" t="s">
        <v>283</v>
      </c>
      <c r="C490" s="16" t="s">
        <v>20</v>
      </c>
      <c r="D490" s="16" t="s">
        <v>328</v>
      </c>
      <c r="E490" s="16" t="s">
        <v>329</v>
      </c>
      <c r="F490" s="16" t="s">
        <v>277</v>
      </c>
      <c r="G490" s="16" t="n">
        <v>2</v>
      </c>
      <c r="H490" s="16" t="s">
        <v>198</v>
      </c>
      <c r="I490" s="16" t="s">
        <v>205</v>
      </c>
      <c r="J490" s="16" t="s">
        <v>350</v>
      </c>
      <c r="K490" s="16" t="n">
        <v>4</v>
      </c>
      <c r="L490" s="40" t="n">
        <f aca="false">(K490/$Q$7)*100</f>
        <v>0.0759013282732448</v>
      </c>
      <c r="M490" s="16" t="s">
        <v>201</v>
      </c>
      <c r="N490" s="16" t="n">
        <f aca="false">IFERROR(INDEX(BMWP_COL!$B$2:$B$103,MATCH($I490,BMWP_COL!$A$2:$A$103,0)),"No aplica")</f>
        <v>8</v>
      </c>
      <c r="O490" s="16"/>
    </row>
    <row r="491" customFormat="false" ht="14.25" hidden="false" customHeight="true" outlineLevel="0" collapsed="false">
      <c r="A491" s="39" t="n">
        <v>45779</v>
      </c>
      <c r="B491" s="6" t="s">
        <v>283</v>
      </c>
      <c r="C491" s="16" t="s">
        <v>20</v>
      </c>
      <c r="D491" s="16" t="s">
        <v>328</v>
      </c>
      <c r="E491" s="16" t="s">
        <v>329</v>
      </c>
      <c r="F491" s="16" t="s">
        <v>277</v>
      </c>
      <c r="G491" s="16" t="n">
        <v>2</v>
      </c>
      <c r="H491" s="16" t="s">
        <v>202</v>
      </c>
      <c r="I491" s="16" t="s">
        <v>203</v>
      </c>
      <c r="J491" s="41" t="s">
        <v>204</v>
      </c>
      <c r="K491" s="16" t="n">
        <v>2</v>
      </c>
      <c r="L491" s="40" t="n">
        <f aca="false">(K491/$Q$7)*100</f>
        <v>0.0379506641366224</v>
      </c>
      <c r="M491" s="16" t="s">
        <v>197</v>
      </c>
      <c r="N491" s="16" t="n">
        <f aca="false">IFERROR(INDEX(BMWP_COL!$B$2:$B$103,MATCH($I491,BMWP_COL!$A$2:$A$103,0)),"No aplica")</f>
        <v>2</v>
      </c>
      <c r="O491" s="16"/>
    </row>
    <row r="492" customFormat="false" ht="14.25" hidden="false" customHeight="true" outlineLevel="0" collapsed="false">
      <c r="A492" s="39" t="n">
        <v>45779</v>
      </c>
      <c r="B492" s="6" t="s">
        <v>283</v>
      </c>
      <c r="C492" s="16" t="s">
        <v>20</v>
      </c>
      <c r="D492" s="16" t="s">
        <v>328</v>
      </c>
      <c r="E492" s="16" t="s">
        <v>329</v>
      </c>
      <c r="F492" s="16" t="s">
        <v>277</v>
      </c>
      <c r="G492" s="16" t="n">
        <v>2</v>
      </c>
      <c r="H492" s="16" t="s">
        <v>194</v>
      </c>
      <c r="I492" s="16" t="s">
        <v>238</v>
      </c>
      <c r="J492" s="16" t="s">
        <v>239</v>
      </c>
      <c r="K492" s="16" t="n">
        <v>3</v>
      </c>
      <c r="L492" s="40" t="n">
        <f aca="false">(K492/$Q$7)*100</f>
        <v>0.0569259962049336</v>
      </c>
      <c r="M492" s="16" t="s">
        <v>225</v>
      </c>
      <c r="N492" s="16" t="n">
        <f aca="false">IFERROR(INDEX(BMWP_COL!$B$2:$B$103,MATCH($I492,BMWP_COL!$A$2:$A$103,0)),"No aplica")</f>
        <v>10</v>
      </c>
      <c r="O492" s="16"/>
    </row>
    <row r="493" customFormat="false" ht="14.25" hidden="false" customHeight="true" outlineLevel="0" collapsed="false">
      <c r="A493" s="39" t="n">
        <v>45779</v>
      </c>
      <c r="B493" s="6" t="s">
        <v>283</v>
      </c>
      <c r="C493" s="16" t="s">
        <v>20</v>
      </c>
      <c r="D493" s="16" t="s">
        <v>328</v>
      </c>
      <c r="E493" s="16" t="s">
        <v>329</v>
      </c>
      <c r="F493" s="16" t="s">
        <v>277</v>
      </c>
      <c r="G493" s="16" t="n">
        <v>2</v>
      </c>
      <c r="H493" s="16" t="s">
        <v>219</v>
      </c>
      <c r="I493" s="16" t="s">
        <v>279</v>
      </c>
      <c r="J493" s="16" t="s">
        <v>279</v>
      </c>
      <c r="K493" s="16" t="n">
        <v>1</v>
      </c>
      <c r="L493" s="40" t="n">
        <f aca="false">(K493/$Q$7)*100</f>
        <v>0.0189753320683112</v>
      </c>
      <c r="M493" s="16" t="s">
        <v>201</v>
      </c>
      <c r="N493" s="16" t="n">
        <f aca="false">IFERROR(INDEX(BMWP_COL!$B$2:$B$103,MATCH($I493,BMWP_COL!$A$2:$A$103,0)),"No aplica")</f>
        <v>6</v>
      </c>
      <c r="O493" s="16"/>
    </row>
    <row r="494" customFormat="false" ht="14.25" hidden="false" customHeight="true" outlineLevel="0" collapsed="false">
      <c r="A494" s="39" t="n">
        <v>45779</v>
      </c>
      <c r="B494" s="6" t="s">
        <v>283</v>
      </c>
      <c r="C494" s="16" t="s">
        <v>20</v>
      </c>
      <c r="D494" s="16" t="s">
        <v>328</v>
      </c>
      <c r="E494" s="16" t="s">
        <v>329</v>
      </c>
      <c r="F494" s="16" t="s">
        <v>277</v>
      </c>
      <c r="G494" s="16" t="n">
        <v>2</v>
      </c>
      <c r="H494" s="16" t="s">
        <v>240</v>
      </c>
      <c r="I494" s="16" t="s">
        <v>241</v>
      </c>
      <c r="J494" s="16" t="s">
        <v>242</v>
      </c>
      <c r="K494" s="16" t="n">
        <v>2</v>
      </c>
      <c r="L494" s="40" t="n">
        <f aca="false">(K494/$Q$7)*100</f>
        <v>0.0379506641366224</v>
      </c>
      <c r="M494" s="16" t="s">
        <v>211</v>
      </c>
      <c r="N494" s="16" t="n">
        <f aca="false">IFERROR(INDEX(BMWP_COL!$B$2:$B$103,MATCH($I494,BMWP_COL!$A$2:$A$103,0)),"No aplica")</f>
        <v>5</v>
      </c>
      <c r="O494" s="16"/>
    </row>
    <row r="495" customFormat="false" ht="14.25" hidden="false" customHeight="true" outlineLevel="0" collapsed="false">
      <c r="A495" s="39" t="n">
        <v>45779</v>
      </c>
      <c r="B495" s="6" t="s">
        <v>283</v>
      </c>
      <c r="C495" s="16" t="s">
        <v>20</v>
      </c>
      <c r="D495" s="16" t="s">
        <v>328</v>
      </c>
      <c r="E495" s="16" t="s">
        <v>329</v>
      </c>
      <c r="F495" s="16" t="s">
        <v>277</v>
      </c>
      <c r="G495" s="16" t="n">
        <v>2</v>
      </c>
      <c r="H495" s="16" t="s">
        <v>194</v>
      </c>
      <c r="I495" s="16" t="s">
        <v>326</v>
      </c>
      <c r="J495" s="16" t="s">
        <v>327</v>
      </c>
      <c r="K495" s="16" t="n">
        <v>1</v>
      </c>
      <c r="L495" s="40" t="n">
        <f aca="false">(K495/$Q$7)*100</f>
        <v>0.0189753320683112</v>
      </c>
      <c r="M495" s="16" t="s">
        <v>197</v>
      </c>
      <c r="N495" s="16" t="n">
        <f aca="false">IFERROR(INDEX(BMWP_COL!$B$2:$B$103,MATCH($I495,BMWP_COL!$A$2:$A$103,0)),"No aplica")</f>
        <v>7</v>
      </c>
      <c r="O495" s="16"/>
    </row>
    <row r="496" customFormat="false" ht="14.25" hidden="false" customHeight="true" outlineLevel="0" collapsed="false">
      <c r="A496" s="39" t="n">
        <v>45779</v>
      </c>
      <c r="B496" s="6" t="s">
        <v>283</v>
      </c>
      <c r="C496" s="16" t="s">
        <v>20</v>
      </c>
      <c r="D496" s="16" t="s">
        <v>328</v>
      </c>
      <c r="E496" s="16" t="s">
        <v>329</v>
      </c>
      <c r="F496" s="16" t="s">
        <v>277</v>
      </c>
      <c r="G496" s="16" t="n">
        <v>3</v>
      </c>
      <c r="H496" s="16" t="s">
        <v>194</v>
      </c>
      <c r="I496" s="16" t="s">
        <v>331</v>
      </c>
      <c r="J496" s="16" t="s">
        <v>332</v>
      </c>
      <c r="K496" s="16" t="n">
        <v>13</v>
      </c>
      <c r="L496" s="40" t="n">
        <f aca="false">(K496/$Q$7)*100</f>
        <v>0.246679316888046</v>
      </c>
      <c r="M496" s="16" t="s">
        <v>197</v>
      </c>
      <c r="N496" s="16" t="n">
        <f aca="false">IFERROR(INDEX(BMWP_COL!$B$2:$B$103,MATCH($I496,BMWP_COL!$A$2:$A$103,0)),"No aplica")</f>
        <v>8</v>
      </c>
      <c r="O496" s="16"/>
    </row>
    <row r="497" customFormat="false" ht="14.25" hidden="false" customHeight="true" outlineLevel="0" collapsed="false">
      <c r="A497" s="39" t="n">
        <v>45779</v>
      </c>
      <c r="B497" s="6" t="s">
        <v>283</v>
      </c>
      <c r="C497" s="16" t="s">
        <v>20</v>
      </c>
      <c r="D497" s="16" t="s">
        <v>328</v>
      </c>
      <c r="E497" s="16" t="s">
        <v>329</v>
      </c>
      <c r="F497" s="16" t="s">
        <v>277</v>
      </c>
      <c r="G497" s="16" t="n">
        <v>3</v>
      </c>
      <c r="H497" s="16" t="s">
        <v>214</v>
      </c>
      <c r="I497" s="16" t="s">
        <v>215</v>
      </c>
      <c r="J497" s="16" t="s">
        <v>216</v>
      </c>
      <c r="K497" s="16" t="n">
        <v>9</v>
      </c>
      <c r="L497" s="40" t="n">
        <f aca="false">(K497/$Q$7)*100</f>
        <v>0.170777988614801</v>
      </c>
      <c r="M497" s="16" t="s">
        <v>201</v>
      </c>
      <c r="N497" s="16" t="n">
        <f aca="false">IFERROR(INDEX(BMWP_COL!$B$2:$B$103,MATCH($I497,BMWP_COL!$A$2:$A$103,0)),"No aplica")</f>
        <v>10</v>
      </c>
      <c r="O497" s="16"/>
    </row>
    <row r="498" customFormat="false" ht="14.25" hidden="false" customHeight="true" outlineLevel="0" collapsed="false">
      <c r="A498" s="39" t="n">
        <v>45779</v>
      </c>
      <c r="B498" s="6" t="s">
        <v>283</v>
      </c>
      <c r="C498" s="16" t="s">
        <v>20</v>
      </c>
      <c r="D498" s="16" t="s">
        <v>328</v>
      </c>
      <c r="E498" s="16" t="s">
        <v>329</v>
      </c>
      <c r="F498" s="16" t="s">
        <v>277</v>
      </c>
      <c r="G498" s="16" t="n">
        <v>3</v>
      </c>
      <c r="H498" s="16" t="s">
        <v>240</v>
      </c>
      <c r="I498" s="16" t="s">
        <v>241</v>
      </c>
      <c r="J498" s="16" t="s">
        <v>242</v>
      </c>
      <c r="K498" s="16" t="n">
        <v>5</v>
      </c>
      <c r="L498" s="40" t="n">
        <f aca="false">(K498/$Q$7)*100</f>
        <v>0.094876660341556</v>
      </c>
      <c r="M498" s="16" t="s">
        <v>211</v>
      </c>
      <c r="N498" s="16" t="n">
        <f aca="false">IFERROR(INDEX(BMWP_COL!$B$2:$B$103,MATCH($I498,BMWP_COL!$A$2:$A$103,0)),"No aplica")</f>
        <v>5</v>
      </c>
      <c r="O498" s="16"/>
    </row>
    <row r="499" customFormat="false" ht="14.25" hidden="false" customHeight="true" outlineLevel="0" collapsed="false">
      <c r="A499" s="39" t="n">
        <v>45779</v>
      </c>
      <c r="B499" s="6" t="s">
        <v>283</v>
      </c>
      <c r="C499" s="16" t="s">
        <v>20</v>
      </c>
      <c r="D499" s="16" t="s">
        <v>328</v>
      </c>
      <c r="E499" s="16" t="s">
        <v>329</v>
      </c>
      <c r="F499" s="16" t="s">
        <v>277</v>
      </c>
      <c r="G499" s="16" t="n">
        <v>3</v>
      </c>
      <c r="H499" s="16" t="s">
        <v>280</v>
      </c>
      <c r="I499" s="16" t="s">
        <v>281</v>
      </c>
      <c r="J499" s="16" t="s">
        <v>282</v>
      </c>
      <c r="K499" s="16" t="n">
        <v>6</v>
      </c>
      <c r="L499" s="40" t="n">
        <f aca="false">(K499/$Q$7)*100</f>
        <v>0.113851992409867</v>
      </c>
      <c r="M499" s="16" t="s">
        <v>197</v>
      </c>
      <c r="N499" s="16" t="n">
        <f aca="false">IFERROR(INDEX(BMWP_COL!$B$2:$B$103,MATCH($I499,BMWP_COL!$A$2:$A$103,0)),"No aplica")</f>
        <v>6</v>
      </c>
      <c r="O499" s="16"/>
    </row>
    <row r="500" customFormat="false" ht="14.25" hidden="false" customHeight="true" outlineLevel="0" collapsed="false">
      <c r="A500" s="39" t="n">
        <v>45779</v>
      </c>
      <c r="B500" s="6" t="s">
        <v>283</v>
      </c>
      <c r="C500" s="16" t="s">
        <v>20</v>
      </c>
      <c r="D500" s="16" t="s">
        <v>328</v>
      </c>
      <c r="E500" s="16" t="s">
        <v>329</v>
      </c>
      <c r="F500" s="16" t="s">
        <v>277</v>
      </c>
      <c r="G500" s="16" t="n">
        <v>3</v>
      </c>
      <c r="H500" s="16" t="s">
        <v>198</v>
      </c>
      <c r="I500" s="16" t="s">
        <v>199</v>
      </c>
      <c r="J500" s="16" t="s">
        <v>200</v>
      </c>
      <c r="K500" s="16" t="n">
        <v>21</v>
      </c>
      <c r="L500" s="40" t="n">
        <f aca="false">(K500/$Q$7)*100</f>
        <v>0.398481973434535</v>
      </c>
      <c r="M500" s="16" t="s">
        <v>201</v>
      </c>
      <c r="N500" s="16" t="n">
        <f aca="false">IFERROR(INDEX(BMWP_COL!$B$2:$B$103,MATCH($I500,BMWP_COL!$A$2:$A$103,0)),"No aplica")</f>
        <v>7</v>
      </c>
      <c r="O500" s="16"/>
    </row>
    <row r="501" customFormat="false" ht="14.25" hidden="false" customHeight="true" outlineLevel="0" collapsed="false">
      <c r="A501" s="39" t="n">
        <v>45779</v>
      </c>
      <c r="B501" s="6" t="s">
        <v>283</v>
      </c>
      <c r="C501" s="16" t="s">
        <v>20</v>
      </c>
      <c r="D501" s="16" t="s">
        <v>328</v>
      </c>
      <c r="E501" s="16" t="s">
        <v>329</v>
      </c>
      <c r="F501" s="16" t="s">
        <v>277</v>
      </c>
      <c r="G501" s="16" t="n">
        <v>3</v>
      </c>
      <c r="H501" s="16" t="s">
        <v>194</v>
      </c>
      <c r="I501" s="16" t="s">
        <v>223</v>
      </c>
      <c r="J501" s="16" t="s">
        <v>234</v>
      </c>
      <c r="K501" s="16" t="n">
        <v>44</v>
      </c>
      <c r="L501" s="40" t="n">
        <f aca="false">(K501/$Q$7)*100</f>
        <v>0.834914611005693</v>
      </c>
      <c r="M501" s="16" t="s">
        <v>225</v>
      </c>
      <c r="N501" s="16" t="n">
        <f aca="false">IFERROR(INDEX(BMWP_COL!$B$2:$B$103,MATCH($I501,BMWP_COL!$A$2:$A$103,0)),"No aplica")</f>
        <v>7</v>
      </c>
      <c r="O501" s="16"/>
    </row>
    <row r="502" customFormat="false" ht="14.25" hidden="false" customHeight="true" outlineLevel="0" collapsed="false">
      <c r="A502" s="39" t="n">
        <v>45779</v>
      </c>
      <c r="B502" s="6" t="s">
        <v>283</v>
      </c>
      <c r="C502" s="16" t="s">
        <v>20</v>
      </c>
      <c r="D502" s="16" t="s">
        <v>328</v>
      </c>
      <c r="E502" s="16" t="s">
        <v>329</v>
      </c>
      <c r="F502" s="16" t="s">
        <v>277</v>
      </c>
      <c r="G502" s="16" t="n">
        <v>3</v>
      </c>
      <c r="H502" s="16" t="s">
        <v>194</v>
      </c>
      <c r="I502" s="16" t="s">
        <v>223</v>
      </c>
      <c r="J502" s="16" t="s">
        <v>224</v>
      </c>
      <c r="K502" s="16" t="n">
        <v>27</v>
      </c>
      <c r="L502" s="40" t="n">
        <f aca="false">(K502/$Q$7)*100</f>
        <v>0.512333965844402</v>
      </c>
      <c r="M502" s="16" t="s">
        <v>225</v>
      </c>
      <c r="N502" s="16" t="n">
        <f aca="false">IFERROR(INDEX(BMWP_COL!$B$2:$B$103,MATCH($I502,BMWP_COL!$A$2:$A$103,0)),"No aplica")</f>
        <v>7</v>
      </c>
      <c r="O502" s="16"/>
    </row>
    <row r="503" customFormat="false" ht="14.25" hidden="false" customHeight="true" outlineLevel="0" collapsed="false">
      <c r="A503" s="39" t="n">
        <v>45779</v>
      </c>
      <c r="B503" s="6" t="s">
        <v>283</v>
      </c>
      <c r="C503" s="16" t="s">
        <v>20</v>
      </c>
      <c r="D503" s="16" t="s">
        <v>328</v>
      </c>
      <c r="E503" s="16" t="s">
        <v>329</v>
      </c>
      <c r="F503" s="16" t="s">
        <v>277</v>
      </c>
      <c r="G503" s="16" t="n">
        <v>3</v>
      </c>
      <c r="H503" s="16" t="s">
        <v>249</v>
      </c>
      <c r="I503" s="16" t="s">
        <v>250</v>
      </c>
      <c r="J503" s="16" t="s">
        <v>251</v>
      </c>
      <c r="K503" s="16" t="n">
        <v>47</v>
      </c>
      <c r="L503" s="40" t="n">
        <f aca="false">(K503/$Q$7)*100</f>
        <v>0.891840607210626</v>
      </c>
      <c r="M503" s="16" t="s">
        <v>201</v>
      </c>
      <c r="N503" s="16" t="n">
        <f aca="false">IFERROR(INDEX(BMWP_COL!$B$2:$B$103,MATCH($I503,BMWP_COL!$A$2:$A$103,0)),"No aplica")</f>
        <v>10</v>
      </c>
      <c r="O503" s="16"/>
    </row>
    <row r="504" customFormat="false" ht="14.25" hidden="false" customHeight="true" outlineLevel="0" collapsed="false">
      <c r="A504" s="39" t="n">
        <v>45779</v>
      </c>
      <c r="B504" s="6" t="s">
        <v>283</v>
      </c>
      <c r="C504" s="16" t="s">
        <v>20</v>
      </c>
      <c r="D504" s="16" t="s">
        <v>328</v>
      </c>
      <c r="E504" s="16" t="s">
        <v>329</v>
      </c>
      <c r="F504" s="16" t="s">
        <v>277</v>
      </c>
      <c r="G504" s="16" t="n">
        <v>3</v>
      </c>
      <c r="H504" s="16" t="s">
        <v>202</v>
      </c>
      <c r="I504" s="16" t="s">
        <v>228</v>
      </c>
      <c r="J504" s="16" t="s">
        <v>229</v>
      </c>
      <c r="K504" s="16" t="n">
        <v>35</v>
      </c>
      <c r="L504" s="40" t="n">
        <f aca="false">(K504/$Q$7)*100</f>
        <v>0.664136622390892</v>
      </c>
      <c r="M504" s="16" t="s">
        <v>230</v>
      </c>
      <c r="N504" s="16" t="n">
        <f aca="false">IFERROR(INDEX(BMWP_COL!$B$2:$B$103,MATCH($I504,BMWP_COL!$A$2:$A$103,0)),"No aplica")</f>
        <v>8</v>
      </c>
      <c r="O504" s="16"/>
    </row>
    <row r="505" customFormat="false" ht="14.25" hidden="false" customHeight="true" outlineLevel="0" collapsed="false">
      <c r="A505" s="39" t="n">
        <v>45779</v>
      </c>
      <c r="B505" s="6" t="s">
        <v>283</v>
      </c>
      <c r="C505" s="16" t="s">
        <v>20</v>
      </c>
      <c r="D505" s="16" t="s">
        <v>328</v>
      </c>
      <c r="E505" s="16" t="s">
        <v>329</v>
      </c>
      <c r="F505" s="16" t="s">
        <v>277</v>
      </c>
      <c r="G505" s="16" t="n">
        <v>3</v>
      </c>
      <c r="H505" s="16" t="s">
        <v>214</v>
      </c>
      <c r="I505" s="16" t="s">
        <v>243</v>
      </c>
      <c r="J505" s="16" t="s">
        <v>244</v>
      </c>
      <c r="K505" s="16" t="n">
        <v>3</v>
      </c>
      <c r="L505" s="40" t="n">
        <f aca="false">(K505/$Q$7)*100</f>
        <v>0.0569259962049336</v>
      </c>
      <c r="M505" s="16" t="s">
        <v>201</v>
      </c>
      <c r="N505" s="16" t="n">
        <f aca="false">IFERROR(INDEX(BMWP_COL!$B$2:$B$103,MATCH($I505,BMWP_COL!$A$2:$A$103,0)),"No aplica")</f>
        <v>7</v>
      </c>
      <c r="O505" s="16"/>
    </row>
    <row r="506" customFormat="false" ht="14.25" hidden="false" customHeight="true" outlineLevel="0" collapsed="false">
      <c r="A506" s="39" t="n">
        <v>45779</v>
      </c>
      <c r="B506" s="6" t="s">
        <v>283</v>
      </c>
      <c r="C506" s="16" t="s">
        <v>20</v>
      </c>
      <c r="D506" s="16" t="s">
        <v>328</v>
      </c>
      <c r="E506" s="16" t="s">
        <v>329</v>
      </c>
      <c r="F506" s="16" t="s">
        <v>277</v>
      </c>
      <c r="G506" s="16" t="n">
        <v>3</v>
      </c>
      <c r="H506" s="16" t="s">
        <v>208</v>
      </c>
      <c r="I506" s="16" t="s">
        <v>209</v>
      </c>
      <c r="J506" s="16" t="s">
        <v>210</v>
      </c>
      <c r="K506" s="16" t="n">
        <v>141</v>
      </c>
      <c r="L506" s="40" t="n">
        <f aca="false">(K506/$Q$7)*100</f>
        <v>2.67552182163188</v>
      </c>
      <c r="M506" s="16" t="s">
        <v>211</v>
      </c>
      <c r="N506" s="16" t="n">
        <f aca="false">IFERROR(INDEX(BMWP_COL!$B$2:$B$103,MATCH($I506,BMWP_COL!$A$2:$A$103,0)),"No aplica")</f>
        <v>7</v>
      </c>
      <c r="O506" s="16"/>
    </row>
    <row r="507" customFormat="false" ht="14.25" hidden="false" customHeight="true" outlineLevel="0" collapsed="false">
      <c r="A507" s="39" t="n">
        <v>45779</v>
      </c>
      <c r="B507" s="6" t="s">
        <v>283</v>
      </c>
      <c r="C507" s="16" t="s">
        <v>20</v>
      </c>
      <c r="D507" s="16" t="s">
        <v>328</v>
      </c>
      <c r="E507" s="16" t="s">
        <v>329</v>
      </c>
      <c r="F507" s="16" t="s">
        <v>277</v>
      </c>
      <c r="G507" s="16" t="n">
        <v>3</v>
      </c>
      <c r="H507" s="16" t="s">
        <v>208</v>
      </c>
      <c r="I507" s="16" t="s">
        <v>209</v>
      </c>
      <c r="J507" s="16" t="s">
        <v>339</v>
      </c>
      <c r="K507" s="16" t="n">
        <v>44</v>
      </c>
      <c r="L507" s="40" t="n">
        <f aca="false">(K507/$Q$7)*100</f>
        <v>0.834914611005693</v>
      </c>
      <c r="M507" s="16" t="s">
        <v>197</v>
      </c>
      <c r="N507" s="16" t="n">
        <f aca="false">IFERROR(INDEX(BMWP_COL!$B$2:$B$103,MATCH($I507,BMWP_COL!$A$2:$A$103,0)),"No aplica")</f>
        <v>7</v>
      </c>
      <c r="O507" s="16"/>
    </row>
    <row r="508" customFormat="false" ht="14.25" hidden="false" customHeight="true" outlineLevel="0" collapsed="false">
      <c r="A508" s="39" t="n">
        <v>45779</v>
      </c>
      <c r="B508" s="6" t="s">
        <v>283</v>
      </c>
      <c r="C508" s="16" t="s">
        <v>20</v>
      </c>
      <c r="D508" s="16" t="s">
        <v>328</v>
      </c>
      <c r="E508" s="16" t="s">
        <v>329</v>
      </c>
      <c r="F508" s="16" t="s">
        <v>277</v>
      </c>
      <c r="G508" s="16" t="n">
        <v>3</v>
      </c>
      <c r="H508" s="16" t="s">
        <v>214</v>
      </c>
      <c r="I508" s="16" t="s">
        <v>252</v>
      </c>
      <c r="J508" s="16" t="s">
        <v>351</v>
      </c>
      <c r="K508" s="16" t="n">
        <v>12</v>
      </c>
      <c r="L508" s="40" t="n">
        <f aca="false">(K508/$Q$7)*100</f>
        <v>0.227703984819734</v>
      </c>
      <c r="M508" s="16" t="s">
        <v>201</v>
      </c>
      <c r="N508" s="16" t="n">
        <f aca="false">IFERROR(INDEX(BMWP_COL!$B$2:$B$103,MATCH($I508,BMWP_COL!$A$2:$A$103,0)),"No aplica")</f>
        <v>6</v>
      </c>
      <c r="O508" s="16" t="s">
        <v>352</v>
      </c>
    </row>
    <row r="509" customFormat="false" ht="14.25" hidden="false" customHeight="true" outlineLevel="0" collapsed="false">
      <c r="A509" s="39" t="n">
        <v>45779</v>
      </c>
      <c r="B509" s="6" t="s">
        <v>283</v>
      </c>
      <c r="C509" s="16" t="s">
        <v>20</v>
      </c>
      <c r="D509" s="16" t="s">
        <v>328</v>
      </c>
      <c r="E509" s="16" t="s">
        <v>329</v>
      </c>
      <c r="F509" s="16" t="s">
        <v>277</v>
      </c>
      <c r="G509" s="16" t="n">
        <v>3</v>
      </c>
      <c r="H509" s="16" t="s">
        <v>208</v>
      </c>
      <c r="I509" s="16" t="s">
        <v>209</v>
      </c>
      <c r="J509" s="16" t="s">
        <v>212</v>
      </c>
      <c r="K509" s="16" t="n">
        <v>65</v>
      </c>
      <c r="L509" s="40" t="n">
        <f aca="false">(K509/$Q$7)*100</f>
        <v>1.23339658444023</v>
      </c>
      <c r="M509" s="16" t="s">
        <v>197</v>
      </c>
      <c r="N509" s="16" t="n">
        <f aca="false">IFERROR(INDEX(BMWP_COL!$B$2:$B$103,MATCH($I509,BMWP_COL!$A$2:$A$103,0)),"No aplica")</f>
        <v>7</v>
      </c>
      <c r="O509" s="16"/>
    </row>
    <row r="510" customFormat="false" ht="14.25" hidden="false" customHeight="true" outlineLevel="0" collapsed="false">
      <c r="A510" s="39" t="n">
        <v>45779</v>
      </c>
      <c r="B510" s="6" t="s">
        <v>283</v>
      </c>
      <c r="C510" s="16" t="s">
        <v>20</v>
      </c>
      <c r="D510" s="16" t="s">
        <v>328</v>
      </c>
      <c r="E510" s="16" t="s">
        <v>329</v>
      </c>
      <c r="F510" s="16" t="s">
        <v>277</v>
      </c>
      <c r="G510" s="16" t="n">
        <v>3</v>
      </c>
      <c r="H510" s="16" t="s">
        <v>194</v>
      </c>
      <c r="I510" s="16" t="s">
        <v>195</v>
      </c>
      <c r="J510" s="16" t="s">
        <v>196</v>
      </c>
      <c r="K510" s="16" t="n">
        <v>5</v>
      </c>
      <c r="L510" s="40" t="n">
        <f aca="false">(K510/$Q$7)*100</f>
        <v>0.094876660341556</v>
      </c>
      <c r="M510" s="16" t="s">
        <v>197</v>
      </c>
      <c r="N510" s="16" t="n">
        <f aca="false">IFERROR(INDEX(BMWP_COL!$B$2:$B$103,MATCH($I510,BMWP_COL!$A$2:$A$103,0)),"No aplica")</f>
        <v>8</v>
      </c>
      <c r="O510" s="16"/>
    </row>
    <row r="511" customFormat="false" ht="14.25" hidden="false" customHeight="true" outlineLevel="0" collapsed="false">
      <c r="A511" s="39" t="n">
        <v>45779</v>
      </c>
      <c r="B511" s="6" t="s">
        <v>283</v>
      </c>
      <c r="C511" s="16" t="s">
        <v>20</v>
      </c>
      <c r="D511" s="16" t="s">
        <v>328</v>
      </c>
      <c r="E511" s="16" t="s">
        <v>329</v>
      </c>
      <c r="F511" s="16" t="s">
        <v>277</v>
      </c>
      <c r="G511" s="16" t="n">
        <v>3</v>
      </c>
      <c r="H511" s="16" t="s">
        <v>208</v>
      </c>
      <c r="I511" s="16" t="s">
        <v>247</v>
      </c>
      <c r="J511" s="16" t="s">
        <v>248</v>
      </c>
      <c r="K511" s="16" t="n">
        <v>80</v>
      </c>
      <c r="L511" s="40" t="n">
        <f aca="false">(K511/$Q$7)*100</f>
        <v>1.5180265654649</v>
      </c>
      <c r="M511" s="16" t="s">
        <v>197</v>
      </c>
      <c r="N511" s="16" t="n">
        <f aca="false">IFERROR(INDEX(BMWP_COL!$B$2:$B$103,MATCH($I511,BMWP_COL!$A$2:$A$103,0)),"No aplica")</f>
        <v>9</v>
      </c>
      <c r="O511" s="16" t="s">
        <v>338</v>
      </c>
    </row>
    <row r="512" customFormat="false" ht="14.25" hidden="false" customHeight="true" outlineLevel="0" collapsed="false">
      <c r="A512" s="39" t="n">
        <v>45779</v>
      </c>
      <c r="B512" s="6" t="s">
        <v>283</v>
      </c>
      <c r="C512" s="16" t="s">
        <v>20</v>
      </c>
      <c r="D512" s="16" t="s">
        <v>328</v>
      </c>
      <c r="E512" s="16" t="s">
        <v>329</v>
      </c>
      <c r="F512" s="16" t="s">
        <v>277</v>
      </c>
      <c r="G512" s="16" t="n">
        <v>3</v>
      </c>
      <c r="H512" s="16" t="s">
        <v>208</v>
      </c>
      <c r="I512" s="16" t="s">
        <v>226</v>
      </c>
      <c r="J512" s="16" t="s">
        <v>297</v>
      </c>
      <c r="K512" s="16" t="n">
        <v>37</v>
      </c>
      <c r="L512" s="40" t="n">
        <f aca="false">(K512/$Q$7)*100</f>
        <v>0.702087286527514</v>
      </c>
      <c r="M512" s="16" t="s">
        <v>197</v>
      </c>
      <c r="N512" s="16" t="n">
        <f aca="false">IFERROR(INDEX(BMWP_COL!$B$2:$B$103,MATCH($I512,BMWP_COL!$A$2:$A$103,0)),"No aplica")</f>
        <v>7</v>
      </c>
      <c r="O512" s="16"/>
    </row>
    <row r="513" customFormat="false" ht="14.25" hidden="false" customHeight="true" outlineLevel="0" collapsed="false">
      <c r="A513" s="39" t="n">
        <v>45779</v>
      </c>
      <c r="B513" s="6" t="s">
        <v>283</v>
      </c>
      <c r="C513" s="16" t="s">
        <v>20</v>
      </c>
      <c r="D513" s="16" t="s">
        <v>328</v>
      </c>
      <c r="E513" s="16" t="s">
        <v>329</v>
      </c>
      <c r="F513" s="16" t="s">
        <v>277</v>
      </c>
      <c r="G513" s="16" t="n">
        <v>3</v>
      </c>
      <c r="H513" s="16" t="s">
        <v>194</v>
      </c>
      <c r="I513" s="16" t="s">
        <v>270</v>
      </c>
      <c r="J513" s="16" t="s">
        <v>271</v>
      </c>
      <c r="K513" s="16" t="n">
        <v>3</v>
      </c>
      <c r="L513" s="40" t="n">
        <f aca="false">(K513/$Q$7)*100</f>
        <v>0.0569259962049336</v>
      </c>
      <c r="M513" s="16" t="s">
        <v>230</v>
      </c>
      <c r="N513" s="16" t="n">
        <f aca="false">IFERROR(INDEX(BMWP_COL!$B$2:$B$103,MATCH($I513,BMWP_COL!$A$2:$A$103,0)),"No aplica")</f>
        <v>9</v>
      </c>
      <c r="O513" s="16"/>
    </row>
    <row r="514" customFormat="false" ht="14.25" hidden="false" customHeight="true" outlineLevel="0" collapsed="false">
      <c r="A514" s="39" t="n">
        <v>45779</v>
      </c>
      <c r="B514" s="6" t="s">
        <v>283</v>
      </c>
      <c r="C514" s="16" t="s">
        <v>20</v>
      </c>
      <c r="D514" s="16" t="s">
        <v>328</v>
      </c>
      <c r="E514" s="16" t="s">
        <v>329</v>
      </c>
      <c r="F514" s="16" t="s">
        <v>277</v>
      </c>
      <c r="G514" s="16" t="n">
        <v>3</v>
      </c>
      <c r="H514" s="16" t="s">
        <v>202</v>
      </c>
      <c r="I514" s="16" t="s">
        <v>203</v>
      </c>
      <c r="J514" s="41" t="s">
        <v>204</v>
      </c>
      <c r="K514" s="16" t="n">
        <v>8</v>
      </c>
      <c r="L514" s="40" t="n">
        <f aca="false">(K514/$Q$7)*100</f>
        <v>0.15180265654649</v>
      </c>
      <c r="M514" s="16" t="s">
        <v>197</v>
      </c>
      <c r="N514" s="16" t="n">
        <f aca="false">IFERROR(INDEX(BMWP_COL!$B$2:$B$103,MATCH($I514,BMWP_COL!$A$2:$A$103,0)),"No aplica")</f>
        <v>2</v>
      </c>
      <c r="O514" s="16"/>
    </row>
    <row r="515" customFormat="false" ht="14.25" hidden="false" customHeight="true" outlineLevel="0" collapsed="false">
      <c r="A515" s="39" t="n">
        <v>45779</v>
      </c>
      <c r="B515" s="6" t="s">
        <v>283</v>
      </c>
      <c r="C515" s="16" t="s">
        <v>20</v>
      </c>
      <c r="D515" s="16" t="s">
        <v>328</v>
      </c>
      <c r="E515" s="16" t="s">
        <v>329</v>
      </c>
      <c r="F515" s="16" t="s">
        <v>277</v>
      </c>
      <c r="G515" s="16" t="n">
        <v>3</v>
      </c>
      <c r="H515" s="16" t="s">
        <v>219</v>
      </c>
      <c r="I515" s="16" t="s">
        <v>220</v>
      </c>
      <c r="J515" s="16" t="s">
        <v>221</v>
      </c>
      <c r="K515" s="16" t="n">
        <v>29</v>
      </c>
      <c r="L515" s="40" t="n">
        <f aca="false">(K515/$Q$7)*100</f>
        <v>0.550284629981025</v>
      </c>
      <c r="M515" s="16" t="s">
        <v>197</v>
      </c>
      <c r="N515" s="16" t="n">
        <f aca="false">IFERROR(INDEX(BMWP_COL!$B$2:$B$103,MATCH($I515,BMWP_COL!$A$2:$A$103,0)),"No aplica")</f>
        <v>6</v>
      </c>
      <c r="O515" s="16"/>
    </row>
    <row r="516" customFormat="false" ht="14.25" hidden="false" customHeight="true" outlineLevel="0" collapsed="false">
      <c r="A516" s="39" t="n">
        <v>45779</v>
      </c>
      <c r="B516" s="6" t="s">
        <v>283</v>
      </c>
      <c r="C516" s="16" t="s">
        <v>20</v>
      </c>
      <c r="D516" s="16" t="s">
        <v>328</v>
      </c>
      <c r="E516" s="16" t="s">
        <v>329</v>
      </c>
      <c r="F516" s="16" t="s">
        <v>277</v>
      </c>
      <c r="G516" s="16" t="n">
        <v>3</v>
      </c>
      <c r="H516" s="16" t="s">
        <v>219</v>
      </c>
      <c r="I516" s="16" t="s">
        <v>265</v>
      </c>
      <c r="J516" s="16" t="s">
        <v>266</v>
      </c>
      <c r="K516" s="16" t="n">
        <v>6</v>
      </c>
      <c r="L516" s="40" t="n">
        <f aca="false">(K516/$Q$7)*100</f>
        <v>0.113851992409867</v>
      </c>
      <c r="M516" s="16" t="s">
        <v>211</v>
      </c>
      <c r="N516" s="16" t="n">
        <f aca="false">IFERROR(INDEX(BMWP_COL!$B$2:$B$103,MATCH($I516,BMWP_COL!$A$2:$A$103,0)),"No aplica")</f>
        <v>10</v>
      </c>
      <c r="O516" s="16" t="s">
        <v>335</v>
      </c>
    </row>
    <row r="517" customFormat="false" ht="14.25" hidden="false" customHeight="true" outlineLevel="0" collapsed="false">
      <c r="A517" s="39" t="n">
        <v>45779</v>
      </c>
      <c r="B517" s="6" t="s">
        <v>283</v>
      </c>
      <c r="C517" s="16" t="s">
        <v>20</v>
      </c>
      <c r="D517" s="16" t="s">
        <v>328</v>
      </c>
      <c r="E517" s="16" t="s">
        <v>329</v>
      </c>
      <c r="F517" s="16" t="s">
        <v>353</v>
      </c>
      <c r="G517" s="16" t="n">
        <v>1</v>
      </c>
      <c r="H517" s="16" t="s">
        <v>194</v>
      </c>
      <c r="I517" s="16" t="s">
        <v>238</v>
      </c>
      <c r="J517" s="16" t="s">
        <v>239</v>
      </c>
      <c r="K517" s="16" t="n">
        <v>4</v>
      </c>
      <c r="L517" s="40" t="n">
        <f aca="false">(K517/$Q$7)*100</f>
        <v>0.0759013282732448</v>
      </c>
      <c r="M517" s="16" t="s">
        <v>225</v>
      </c>
      <c r="N517" s="16" t="n">
        <f aca="false">IFERROR(INDEX(BMWP_COL!$B$2:$B$103,MATCH($I517,BMWP_COL!$A$2:$A$103,0)),"No aplica")</f>
        <v>10</v>
      </c>
      <c r="O517" s="16"/>
    </row>
    <row r="518" customFormat="false" ht="14.25" hidden="false" customHeight="true" outlineLevel="0" collapsed="false">
      <c r="A518" s="39" t="n">
        <v>45779</v>
      </c>
      <c r="B518" s="6" t="s">
        <v>283</v>
      </c>
      <c r="C518" s="16" t="s">
        <v>20</v>
      </c>
      <c r="D518" s="16" t="s">
        <v>328</v>
      </c>
      <c r="E518" s="16" t="s">
        <v>329</v>
      </c>
      <c r="F518" s="16" t="s">
        <v>353</v>
      </c>
      <c r="G518" s="16" t="n">
        <v>1</v>
      </c>
      <c r="H518" s="16" t="s">
        <v>208</v>
      </c>
      <c r="I518" s="16" t="s">
        <v>209</v>
      </c>
      <c r="J518" s="16" t="s">
        <v>354</v>
      </c>
      <c r="K518" s="16" t="n">
        <v>6</v>
      </c>
      <c r="L518" s="40" t="n">
        <f aca="false">(K518/$Q$7)*100</f>
        <v>0.113851992409867</v>
      </c>
      <c r="M518" s="16" t="s">
        <v>197</v>
      </c>
      <c r="N518" s="16" t="n">
        <f aca="false">IFERROR(INDEX(BMWP_COL!$B$2:$B$103,MATCH($I518,BMWP_COL!$A$2:$A$103,0)),"No aplica")</f>
        <v>7</v>
      </c>
      <c r="O518" s="16"/>
    </row>
    <row r="519" customFormat="false" ht="14.25" hidden="false" customHeight="true" outlineLevel="0" collapsed="false">
      <c r="A519" s="39" t="n">
        <v>45779</v>
      </c>
      <c r="B519" s="6" t="s">
        <v>283</v>
      </c>
      <c r="C519" s="16" t="s">
        <v>20</v>
      </c>
      <c r="D519" s="16" t="s">
        <v>328</v>
      </c>
      <c r="E519" s="16" t="s">
        <v>329</v>
      </c>
      <c r="F519" s="16" t="s">
        <v>353</v>
      </c>
      <c r="G519" s="16" t="n">
        <v>1</v>
      </c>
      <c r="H519" s="16" t="s">
        <v>219</v>
      </c>
      <c r="I519" s="16" t="s">
        <v>220</v>
      </c>
      <c r="J519" s="16" t="s">
        <v>355</v>
      </c>
      <c r="K519" s="16" t="n">
        <v>1</v>
      </c>
      <c r="L519" s="40" t="n">
        <f aca="false">(K519/$Q$7)*100</f>
        <v>0.0189753320683112</v>
      </c>
      <c r="M519" s="16" t="s">
        <v>197</v>
      </c>
      <c r="N519" s="16" t="n">
        <f aca="false">IFERROR(INDEX(BMWP_COL!$B$2:$B$103,MATCH($I519,BMWP_COL!$A$2:$A$103,0)),"No aplica")</f>
        <v>6</v>
      </c>
      <c r="O519" s="16"/>
    </row>
    <row r="520" customFormat="false" ht="14.25" hidden="false" customHeight="true" outlineLevel="0" collapsed="false">
      <c r="A520" s="39" t="n">
        <v>45779</v>
      </c>
      <c r="B520" s="6" t="s">
        <v>283</v>
      </c>
      <c r="C520" s="16" t="s">
        <v>20</v>
      </c>
      <c r="D520" s="16" t="s">
        <v>328</v>
      </c>
      <c r="E520" s="16" t="s">
        <v>329</v>
      </c>
      <c r="F520" s="16" t="s">
        <v>353</v>
      </c>
      <c r="G520" s="16" t="n">
        <v>1</v>
      </c>
      <c r="H520" s="16" t="s">
        <v>208</v>
      </c>
      <c r="I520" s="16" t="s">
        <v>209</v>
      </c>
      <c r="J520" s="16" t="s">
        <v>210</v>
      </c>
      <c r="K520" s="16" t="n">
        <v>3</v>
      </c>
      <c r="L520" s="40" t="n">
        <f aca="false">(K520/$Q$7)*100</f>
        <v>0.0569259962049336</v>
      </c>
      <c r="M520" s="16" t="s">
        <v>211</v>
      </c>
      <c r="N520" s="16" t="n">
        <f aca="false">IFERROR(INDEX(BMWP_COL!$B$2:$B$103,MATCH($I520,BMWP_COL!$A$2:$A$103,0)),"No aplica")</f>
        <v>7</v>
      </c>
      <c r="O520" s="16"/>
    </row>
    <row r="521" customFormat="false" ht="14.25" hidden="false" customHeight="true" outlineLevel="0" collapsed="false">
      <c r="A521" s="39" t="n">
        <v>45779</v>
      </c>
      <c r="B521" s="6" t="s">
        <v>283</v>
      </c>
      <c r="C521" s="16" t="s">
        <v>20</v>
      </c>
      <c r="D521" s="16" t="s">
        <v>328</v>
      </c>
      <c r="E521" s="16" t="s">
        <v>329</v>
      </c>
      <c r="F521" s="16" t="s">
        <v>353</v>
      </c>
      <c r="G521" s="16" t="n">
        <v>1</v>
      </c>
      <c r="H521" s="16" t="s">
        <v>198</v>
      </c>
      <c r="I521" s="16" t="s">
        <v>205</v>
      </c>
      <c r="J521" s="16" t="s">
        <v>206</v>
      </c>
      <c r="K521" s="16" t="n">
        <v>7</v>
      </c>
      <c r="L521" s="40" t="n">
        <f aca="false">(K521/$Q$7)*100</f>
        <v>0.132827324478178</v>
      </c>
      <c r="M521" s="16" t="s">
        <v>201</v>
      </c>
      <c r="N521" s="16" t="n">
        <f aca="false">IFERROR(INDEX(BMWP_COL!$B$2:$B$103,MATCH($I521,BMWP_COL!$A$2:$A$103,0)),"No aplica")</f>
        <v>8</v>
      </c>
      <c r="O521" s="16"/>
    </row>
    <row r="522" customFormat="false" ht="14.25" hidden="false" customHeight="true" outlineLevel="0" collapsed="false">
      <c r="A522" s="39" t="n">
        <v>45779</v>
      </c>
      <c r="B522" s="6" t="s">
        <v>283</v>
      </c>
      <c r="C522" s="16" t="s">
        <v>20</v>
      </c>
      <c r="D522" s="16" t="s">
        <v>328</v>
      </c>
      <c r="E522" s="16" t="s">
        <v>329</v>
      </c>
      <c r="F522" s="16" t="s">
        <v>353</v>
      </c>
      <c r="G522" s="16" t="n">
        <v>1</v>
      </c>
      <c r="H522" s="16" t="s">
        <v>194</v>
      </c>
      <c r="I522" s="16" t="s">
        <v>195</v>
      </c>
      <c r="J522" s="16" t="s">
        <v>196</v>
      </c>
      <c r="K522" s="16" t="n">
        <v>1</v>
      </c>
      <c r="L522" s="40" t="n">
        <f aca="false">(K522/$Q$7)*100</f>
        <v>0.0189753320683112</v>
      </c>
      <c r="M522" s="16" t="s">
        <v>197</v>
      </c>
      <c r="N522" s="16" t="n">
        <f aca="false">IFERROR(INDEX(BMWP_COL!$B$2:$B$103,MATCH($I522,BMWP_COL!$A$2:$A$103,0)),"No aplica")</f>
        <v>8</v>
      </c>
      <c r="O522" s="16"/>
    </row>
    <row r="523" customFormat="false" ht="14.25" hidden="false" customHeight="true" outlineLevel="0" collapsed="false">
      <c r="A523" s="39" t="n">
        <v>45779</v>
      </c>
      <c r="B523" s="6" t="s">
        <v>283</v>
      </c>
      <c r="C523" s="16" t="s">
        <v>20</v>
      </c>
      <c r="D523" s="16" t="s">
        <v>328</v>
      </c>
      <c r="E523" s="16" t="s">
        <v>329</v>
      </c>
      <c r="F523" s="16" t="s">
        <v>353</v>
      </c>
      <c r="G523" s="16" t="n">
        <v>1</v>
      </c>
      <c r="H523" s="16" t="s">
        <v>286</v>
      </c>
      <c r="I523" s="16" t="s">
        <v>336</v>
      </c>
      <c r="J523" s="16" t="s">
        <v>337</v>
      </c>
      <c r="K523" s="16" t="n">
        <v>4</v>
      </c>
      <c r="L523" s="40" t="n">
        <f aca="false">(K523/$Q$7)*100</f>
        <v>0.0759013282732448</v>
      </c>
      <c r="M523" s="16" t="s">
        <v>211</v>
      </c>
      <c r="N523" s="16" t="n">
        <f aca="false">IFERROR(INDEX(BMWP_COL!$B$2:$B$103,MATCH($I523,BMWP_COL!$A$2:$A$103,0)),"No aplica")</f>
        <v>3</v>
      </c>
      <c r="O523" s="16"/>
    </row>
    <row r="524" customFormat="false" ht="14.25" hidden="false" customHeight="true" outlineLevel="0" collapsed="false">
      <c r="A524" s="39" t="n">
        <v>45779</v>
      </c>
      <c r="B524" s="6" t="s">
        <v>283</v>
      </c>
      <c r="C524" s="16" t="s">
        <v>20</v>
      </c>
      <c r="D524" s="16" t="s">
        <v>328</v>
      </c>
      <c r="E524" s="16" t="s">
        <v>329</v>
      </c>
      <c r="F524" s="16" t="s">
        <v>353</v>
      </c>
      <c r="G524" s="16" t="n">
        <v>1</v>
      </c>
      <c r="H524" s="16" t="s">
        <v>194</v>
      </c>
      <c r="I524" s="16" t="s">
        <v>331</v>
      </c>
      <c r="J524" s="16" t="s">
        <v>332</v>
      </c>
      <c r="K524" s="16" t="n">
        <v>1</v>
      </c>
      <c r="L524" s="40" t="n">
        <f aca="false">(K524/$Q$7)*100</f>
        <v>0.0189753320683112</v>
      </c>
      <c r="M524" s="16" t="s">
        <v>197</v>
      </c>
      <c r="N524" s="16" t="n">
        <f aca="false">IFERROR(INDEX(BMWP_COL!$B$2:$B$103,MATCH($I524,BMWP_COL!$A$2:$A$103,0)),"No aplica")</f>
        <v>8</v>
      </c>
      <c r="O524" s="16"/>
    </row>
    <row r="525" customFormat="false" ht="14.25" hidden="false" customHeight="true" outlineLevel="0" collapsed="false">
      <c r="A525" s="39" t="n">
        <v>45779</v>
      </c>
      <c r="B525" s="6" t="s">
        <v>283</v>
      </c>
      <c r="C525" s="16" t="s">
        <v>20</v>
      </c>
      <c r="D525" s="16" t="s">
        <v>328</v>
      </c>
      <c r="E525" s="16" t="s">
        <v>329</v>
      </c>
      <c r="F525" s="16" t="s">
        <v>353</v>
      </c>
      <c r="G525" s="16" t="n">
        <v>1</v>
      </c>
      <c r="H525" s="16" t="s">
        <v>219</v>
      </c>
      <c r="I525" s="16" t="s">
        <v>344</v>
      </c>
      <c r="J525" s="16" t="s">
        <v>345</v>
      </c>
      <c r="K525" s="16" t="n">
        <v>1</v>
      </c>
      <c r="L525" s="40" t="n">
        <f aca="false">(K525/$Q$7)*100</f>
        <v>0.0189753320683112</v>
      </c>
      <c r="M525" s="16" t="s">
        <v>201</v>
      </c>
      <c r="N525" s="16" t="n">
        <f aca="false">IFERROR(INDEX(BMWP_COL!$B$2:$B$103,MATCH($I525,BMWP_COL!$A$2:$A$103,0)),"No aplica")</f>
        <v>3</v>
      </c>
      <c r="O525" s="16"/>
    </row>
    <row r="526" customFormat="false" ht="14.25" hidden="false" customHeight="true" outlineLevel="0" collapsed="false">
      <c r="A526" s="39" t="n">
        <v>45779</v>
      </c>
      <c r="B526" s="6" t="s">
        <v>283</v>
      </c>
      <c r="C526" s="16" t="s">
        <v>20</v>
      </c>
      <c r="D526" s="16" t="s">
        <v>328</v>
      </c>
      <c r="E526" s="16" t="s">
        <v>329</v>
      </c>
      <c r="F526" s="16" t="s">
        <v>353</v>
      </c>
      <c r="G526" s="16" t="n">
        <v>1</v>
      </c>
      <c r="H526" s="16" t="s">
        <v>202</v>
      </c>
      <c r="I526" s="16" t="s">
        <v>346</v>
      </c>
      <c r="J526" s="16" t="s">
        <v>347</v>
      </c>
      <c r="K526" s="16" t="n">
        <v>47</v>
      </c>
      <c r="L526" s="40" t="n">
        <f aca="false">(K526/$Q$7)*100</f>
        <v>0.891840607210626</v>
      </c>
      <c r="M526" s="16" t="s">
        <v>348</v>
      </c>
      <c r="N526" s="16" t="n">
        <f aca="false">IFERROR(INDEX(BMWP_COL!$B$2:$B$103,MATCH($I526,BMWP_COL!$A$2:$A$103,0)),"No aplica")</f>
        <v>2</v>
      </c>
      <c r="O526" s="16"/>
    </row>
    <row r="527" customFormat="false" ht="14.25" hidden="false" customHeight="true" outlineLevel="0" collapsed="false">
      <c r="A527" s="39" t="n">
        <v>45779</v>
      </c>
      <c r="B527" s="6" t="s">
        <v>283</v>
      </c>
      <c r="C527" s="16" t="s">
        <v>20</v>
      </c>
      <c r="D527" s="16" t="s">
        <v>328</v>
      </c>
      <c r="E527" s="16" t="s">
        <v>329</v>
      </c>
      <c r="F527" s="16" t="s">
        <v>353</v>
      </c>
      <c r="G527" s="16" t="n">
        <v>1</v>
      </c>
      <c r="H527" s="16" t="s">
        <v>202</v>
      </c>
      <c r="I527" s="16" t="s">
        <v>299</v>
      </c>
      <c r="J527" s="16" t="s">
        <v>300</v>
      </c>
      <c r="K527" s="16" t="n">
        <v>4</v>
      </c>
      <c r="L527" s="40" t="n">
        <f aca="false">(K527/$Q$7)*100</f>
        <v>0.0759013282732448</v>
      </c>
      <c r="M527" s="16" t="s">
        <v>197</v>
      </c>
      <c r="N527" s="16" t="n">
        <f aca="false">IFERROR(INDEX(BMWP_COL!$B$2:$B$103,MATCH($I527,BMWP_COL!$A$2:$A$103,0)),"No aplica")</f>
        <v>7</v>
      </c>
      <c r="O527" s="16"/>
    </row>
    <row r="528" customFormat="false" ht="14.25" hidden="false" customHeight="true" outlineLevel="0" collapsed="false">
      <c r="A528" s="39" t="n">
        <v>45779</v>
      </c>
      <c r="B528" s="6" t="s">
        <v>283</v>
      </c>
      <c r="C528" s="16" t="s">
        <v>20</v>
      </c>
      <c r="D528" s="16" t="s">
        <v>328</v>
      </c>
      <c r="E528" s="16" t="s">
        <v>329</v>
      </c>
      <c r="F528" s="16" t="s">
        <v>353</v>
      </c>
      <c r="G528" s="16" t="n">
        <v>2</v>
      </c>
      <c r="H528" s="16" t="s">
        <v>198</v>
      </c>
      <c r="I528" s="16" t="s">
        <v>199</v>
      </c>
      <c r="J528" s="16" t="s">
        <v>200</v>
      </c>
      <c r="K528" s="16" t="n">
        <v>33</v>
      </c>
      <c r="L528" s="40" t="n">
        <f aca="false">(K528/$Q$7)*100</f>
        <v>0.62618595825427</v>
      </c>
      <c r="M528" s="16" t="s">
        <v>201</v>
      </c>
      <c r="N528" s="16" t="n">
        <f aca="false">IFERROR(INDEX(BMWP_COL!$B$2:$B$103,MATCH($I528,BMWP_COL!$A$2:$A$103,0)),"No aplica")</f>
        <v>7</v>
      </c>
      <c r="O528" s="16"/>
    </row>
    <row r="529" customFormat="false" ht="14.25" hidden="false" customHeight="true" outlineLevel="0" collapsed="false">
      <c r="A529" s="39" t="n">
        <v>45779</v>
      </c>
      <c r="B529" s="6" t="s">
        <v>283</v>
      </c>
      <c r="C529" s="16" t="s">
        <v>20</v>
      </c>
      <c r="D529" s="16" t="s">
        <v>328</v>
      </c>
      <c r="E529" s="16" t="s">
        <v>329</v>
      </c>
      <c r="F529" s="16" t="s">
        <v>353</v>
      </c>
      <c r="G529" s="16" t="n">
        <v>2</v>
      </c>
      <c r="H529" s="16" t="s">
        <v>194</v>
      </c>
      <c r="I529" s="16" t="s">
        <v>238</v>
      </c>
      <c r="J529" s="16" t="s">
        <v>239</v>
      </c>
      <c r="K529" s="16" t="n">
        <v>1</v>
      </c>
      <c r="L529" s="40" t="n">
        <f aca="false">(K529/$Q$7)*100</f>
        <v>0.0189753320683112</v>
      </c>
      <c r="M529" s="16" t="s">
        <v>225</v>
      </c>
      <c r="N529" s="16" t="n">
        <f aca="false">IFERROR(INDEX(BMWP_COL!$B$2:$B$103,MATCH($I529,BMWP_COL!$A$2:$A$103,0)),"No aplica")</f>
        <v>10</v>
      </c>
      <c r="O529" s="16"/>
    </row>
    <row r="530" customFormat="false" ht="14.25" hidden="false" customHeight="true" outlineLevel="0" collapsed="false">
      <c r="A530" s="39" t="n">
        <v>45779</v>
      </c>
      <c r="B530" s="6" t="s">
        <v>283</v>
      </c>
      <c r="C530" s="16" t="s">
        <v>20</v>
      </c>
      <c r="D530" s="16" t="s">
        <v>328</v>
      </c>
      <c r="E530" s="16" t="s">
        <v>329</v>
      </c>
      <c r="F530" s="16" t="s">
        <v>353</v>
      </c>
      <c r="G530" s="16" t="n">
        <v>2</v>
      </c>
      <c r="H530" s="16" t="s">
        <v>198</v>
      </c>
      <c r="I530" s="16" t="s">
        <v>205</v>
      </c>
      <c r="J530" s="16" t="s">
        <v>207</v>
      </c>
      <c r="K530" s="16" t="n">
        <v>6</v>
      </c>
      <c r="L530" s="40" t="n">
        <f aca="false">(K530/$Q$7)*100</f>
        <v>0.113851992409867</v>
      </c>
      <c r="M530" s="16" t="s">
        <v>201</v>
      </c>
      <c r="N530" s="16" t="n">
        <f aca="false">IFERROR(INDEX(BMWP_COL!$B$2:$B$103,MATCH($I530,BMWP_COL!$A$2:$A$103,0)),"No aplica")</f>
        <v>8</v>
      </c>
      <c r="O530" s="16"/>
    </row>
    <row r="531" customFormat="false" ht="14.25" hidden="false" customHeight="true" outlineLevel="0" collapsed="false">
      <c r="A531" s="39" t="n">
        <v>45779</v>
      </c>
      <c r="B531" s="6" t="s">
        <v>283</v>
      </c>
      <c r="C531" s="16" t="s">
        <v>20</v>
      </c>
      <c r="D531" s="16" t="s">
        <v>328</v>
      </c>
      <c r="E531" s="16" t="s">
        <v>329</v>
      </c>
      <c r="F531" s="16" t="s">
        <v>353</v>
      </c>
      <c r="G531" s="16" t="n">
        <v>2</v>
      </c>
      <c r="H531" s="16" t="s">
        <v>219</v>
      </c>
      <c r="I531" s="16" t="s">
        <v>220</v>
      </c>
      <c r="J531" s="16" t="s">
        <v>221</v>
      </c>
      <c r="K531" s="16" t="n">
        <v>3</v>
      </c>
      <c r="L531" s="40" t="n">
        <f aca="false">(K531/$Q$7)*100</f>
        <v>0.0569259962049336</v>
      </c>
      <c r="M531" s="16" t="s">
        <v>197</v>
      </c>
      <c r="N531" s="16" t="n">
        <f aca="false">IFERROR(INDEX(BMWP_COL!$B$2:$B$103,MATCH($I531,BMWP_COL!$A$2:$A$103,0)),"No aplica")</f>
        <v>6</v>
      </c>
      <c r="O531" s="16"/>
    </row>
    <row r="532" customFormat="false" ht="14.25" hidden="false" customHeight="true" outlineLevel="0" collapsed="false">
      <c r="A532" s="39" t="n">
        <v>45779</v>
      </c>
      <c r="B532" s="6" t="s">
        <v>283</v>
      </c>
      <c r="C532" s="16" t="s">
        <v>20</v>
      </c>
      <c r="D532" s="16" t="s">
        <v>328</v>
      </c>
      <c r="E532" s="16" t="s">
        <v>329</v>
      </c>
      <c r="F532" s="16" t="s">
        <v>353</v>
      </c>
      <c r="G532" s="16" t="n">
        <v>2</v>
      </c>
      <c r="H532" s="16" t="s">
        <v>194</v>
      </c>
      <c r="I532" s="16" t="s">
        <v>195</v>
      </c>
      <c r="J532" s="16" t="s">
        <v>196</v>
      </c>
      <c r="K532" s="16" t="n">
        <v>5</v>
      </c>
      <c r="L532" s="40" t="n">
        <f aca="false">(K532/$Q$7)*100</f>
        <v>0.094876660341556</v>
      </c>
      <c r="M532" s="16" t="s">
        <v>197</v>
      </c>
      <c r="N532" s="16" t="n">
        <f aca="false">IFERROR(INDEX(BMWP_COL!$B$2:$B$103,MATCH($I532,BMWP_COL!$A$2:$A$103,0)),"No aplica")</f>
        <v>8</v>
      </c>
      <c r="O532" s="16"/>
    </row>
    <row r="533" customFormat="false" ht="14.25" hidden="false" customHeight="true" outlineLevel="0" collapsed="false">
      <c r="A533" s="39" t="n">
        <v>45779</v>
      </c>
      <c r="B533" s="6" t="s">
        <v>283</v>
      </c>
      <c r="C533" s="16" t="s">
        <v>20</v>
      </c>
      <c r="D533" s="16" t="s">
        <v>328</v>
      </c>
      <c r="E533" s="16" t="s">
        <v>329</v>
      </c>
      <c r="F533" s="16" t="s">
        <v>353</v>
      </c>
      <c r="G533" s="16" t="n">
        <v>2</v>
      </c>
      <c r="H533" s="16" t="s">
        <v>249</v>
      </c>
      <c r="I533" s="16" t="s">
        <v>250</v>
      </c>
      <c r="J533" s="16" t="s">
        <v>251</v>
      </c>
      <c r="K533" s="16" t="n">
        <v>3</v>
      </c>
      <c r="L533" s="40" t="n">
        <f aca="false">(K533/$Q$7)*100</f>
        <v>0.0569259962049336</v>
      </c>
      <c r="M533" s="16" t="s">
        <v>201</v>
      </c>
      <c r="N533" s="16" t="n">
        <f aca="false">IFERROR(INDEX(BMWP_COL!$B$2:$B$103,MATCH($I533,BMWP_COL!$A$2:$A$103,0)),"No aplica")</f>
        <v>10</v>
      </c>
      <c r="O533" s="16"/>
    </row>
    <row r="534" customFormat="false" ht="14.25" hidden="false" customHeight="true" outlineLevel="0" collapsed="false">
      <c r="A534" s="39" t="n">
        <v>45779</v>
      </c>
      <c r="B534" s="6" t="s">
        <v>283</v>
      </c>
      <c r="C534" s="16" t="s">
        <v>20</v>
      </c>
      <c r="D534" s="16" t="s">
        <v>328</v>
      </c>
      <c r="E534" s="16" t="s">
        <v>329</v>
      </c>
      <c r="F534" s="16" t="s">
        <v>353</v>
      </c>
      <c r="G534" s="16" t="n">
        <v>2</v>
      </c>
      <c r="H534" s="16" t="s">
        <v>202</v>
      </c>
      <c r="I534" s="16" t="s">
        <v>203</v>
      </c>
      <c r="J534" s="41" t="s">
        <v>204</v>
      </c>
      <c r="K534" s="16" t="n">
        <v>4</v>
      </c>
      <c r="L534" s="40" t="n">
        <f aca="false">(K534/$Q$7)*100</f>
        <v>0.0759013282732448</v>
      </c>
      <c r="M534" s="16" t="s">
        <v>197</v>
      </c>
      <c r="N534" s="16" t="n">
        <f aca="false">IFERROR(INDEX(BMWP_COL!$B$2:$B$103,MATCH($I534,BMWP_COL!$A$2:$A$103,0)),"No aplica")</f>
        <v>2</v>
      </c>
      <c r="O534" s="16"/>
    </row>
    <row r="535" customFormat="false" ht="14.25" hidden="false" customHeight="true" outlineLevel="0" collapsed="false">
      <c r="A535" s="39" t="n">
        <v>45779</v>
      </c>
      <c r="B535" s="6" t="s">
        <v>283</v>
      </c>
      <c r="C535" s="16" t="s">
        <v>20</v>
      </c>
      <c r="D535" s="16" t="s">
        <v>328</v>
      </c>
      <c r="E535" s="16" t="s">
        <v>329</v>
      </c>
      <c r="F535" s="16" t="s">
        <v>353</v>
      </c>
      <c r="G535" s="16" t="n">
        <v>2</v>
      </c>
      <c r="H535" s="16" t="s">
        <v>208</v>
      </c>
      <c r="I535" s="16" t="s">
        <v>209</v>
      </c>
      <c r="J535" s="16" t="s">
        <v>210</v>
      </c>
      <c r="K535" s="16" t="n">
        <v>6</v>
      </c>
      <c r="L535" s="40" t="n">
        <f aca="false">(K535/$Q$7)*100</f>
        <v>0.113851992409867</v>
      </c>
      <c r="M535" s="16" t="s">
        <v>211</v>
      </c>
      <c r="N535" s="16" t="n">
        <f aca="false">IFERROR(INDEX(BMWP_COL!$B$2:$B$103,MATCH($I535,BMWP_COL!$A$2:$A$103,0)),"No aplica")</f>
        <v>7</v>
      </c>
      <c r="O535" s="16"/>
    </row>
    <row r="536" customFormat="false" ht="14.25" hidden="false" customHeight="true" outlineLevel="0" collapsed="false">
      <c r="A536" s="39" t="n">
        <v>45779</v>
      </c>
      <c r="B536" s="6" t="s">
        <v>283</v>
      </c>
      <c r="C536" s="16" t="s">
        <v>20</v>
      </c>
      <c r="D536" s="16" t="s">
        <v>328</v>
      </c>
      <c r="E536" s="16" t="s">
        <v>329</v>
      </c>
      <c r="F536" s="16" t="s">
        <v>353</v>
      </c>
      <c r="G536" s="16" t="n">
        <v>2</v>
      </c>
      <c r="H536" s="16" t="s">
        <v>198</v>
      </c>
      <c r="I536" s="16" t="s">
        <v>205</v>
      </c>
      <c r="J536" s="16" t="s">
        <v>206</v>
      </c>
      <c r="K536" s="16" t="n">
        <v>3</v>
      </c>
      <c r="L536" s="40" t="n">
        <f aca="false">(K536/$Q$7)*100</f>
        <v>0.0569259962049336</v>
      </c>
      <c r="M536" s="16" t="s">
        <v>201</v>
      </c>
      <c r="N536" s="16" t="n">
        <f aca="false">IFERROR(INDEX(BMWP_COL!$B$2:$B$103,MATCH($I536,BMWP_COL!$A$2:$A$103,0)),"No aplica")</f>
        <v>8</v>
      </c>
      <c r="O536" s="16"/>
    </row>
    <row r="537" customFormat="false" ht="14.25" hidden="false" customHeight="true" outlineLevel="0" collapsed="false">
      <c r="A537" s="39" t="n">
        <v>45779</v>
      </c>
      <c r="B537" s="6" t="s">
        <v>283</v>
      </c>
      <c r="C537" s="16" t="s">
        <v>20</v>
      </c>
      <c r="D537" s="16" t="s">
        <v>328</v>
      </c>
      <c r="E537" s="16" t="s">
        <v>329</v>
      </c>
      <c r="F537" s="16" t="s">
        <v>353</v>
      </c>
      <c r="G537" s="16" t="n">
        <v>2</v>
      </c>
      <c r="H537" s="16" t="s">
        <v>219</v>
      </c>
      <c r="I537" s="16" t="s">
        <v>220</v>
      </c>
      <c r="J537" s="16" t="s">
        <v>221</v>
      </c>
      <c r="K537" s="16" t="n">
        <v>4</v>
      </c>
      <c r="L537" s="40" t="n">
        <f aca="false">(K537/$Q$7)*100</f>
        <v>0.0759013282732448</v>
      </c>
      <c r="M537" s="16" t="s">
        <v>197</v>
      </c>
      <c r="N537" s="16" t="n">
        <f aca="false">IFERROR(INDEX(BMWP_COL!$B$2:$B$103,MATCH($I537,BMWP_COL!$A$2:$A$103,0)),"No aplica")</f>
        <v>6</v>
      </c>
      <c r="O537" s="16"/>
    </row>
    <row r="538" customFormat="false" ht="14.25" hidden="false" customHeight="true" outlineLevel="0" collapsed="false">
      <c r="A538" s="39" t="n">
        <v>45779</v>
      </c>
      <c r="B538" s="6" t="s">
        <v>283</v>
      </c>
      <c r="C538" s="16" t="s">
        <v>20</v>
      </c>
      <c r="D538" s="16" t="s">
        <v>328</v>
      </c>
      <c r="E538" s="16" t="s">
        <v>329</v>
      </c>
      <c r="F538" s="16" t="s">
        <v>353</v>
      </c>
      <c r="G538" s="16" t="n">
        <v>2</v>
      </c>
      <c r="H538" s="16" t="s">
        <v>202</v>
      </c>
      <c r="I538" s="16" t="s">
        <v>203</v>
      </c>
      <c r="J538" s="16" t="s">
        <v>213</v>
      </c>
      <c r="K538" s="16" t="n">
        <v>4</v>
      </c>
      <c r="L538" s="40" t="n">
        <f aca="false">(K538/$Q$7)*100</f>
        <v>0.0759013282732448</v>
      </c>
      <c r="M538" s="16" t="s">
        <v>201</v>
      </c>
      <c r="N538" s="16" t="n">
        <f aca="false">IFERROR(INDEX(BMWP_COL!$B$2:$B$103,MATCH($I538,BMWP_COL!$A$2:$A$103,0)),"No aplica")</f>
        <v>2</v>
      </c>
      <c r="O538" s="16"/>
    </row>
    <row r="539" customFormat="false" ht="14.25" hidden="false" customHeight="true" outlineLevel="0" collapsed="false">
      <c r="A539" s="39" t="n">
        <v>45779</v>
      </c>
      <c r="B539" s="6" t="s">
        <v>283</v>
      </c>
      <c r="C539" s="16" t="s">
        <v>20</v>
      </c>
      <c r="D539" s="16" t="s">
        <v>328</v>
      </c>
      <c r="E539" s="16" t="s">
        <v>329</v>
      </c>
      <c r="F539" s="16" t="s">
        <v>353</v>
      </c>
      <c r="G539" s="16" t="n">
        <v>2</v>
      </c>
      <c r="H539" s="16" t="s">
        <v>202</v>
      </c>
      <c r="I539" s="16" t="s">
        <v>291</v>
      </c>
      <c r="J539" s="16" t="s">
        <v>292</v>
      </c>
      <c r="K539" s="16" t="n">
        <v>2</v>
      </c>
      <c r="L539" s="40" t="n">
        <f aca="false">(K539/$Q$7)*100</f>
        <v>0.0379506641366224</v>
      </c>
      <c r="M539" s="16" t="s">
        <v>211</v>
      </c>
      <c r="N539" s="16" t="n">
        <f aca="false">IFERROR(INDEX(BMWP_COL!$B$2:$B$103,MATCH($I539,BMWP_COL!$A$2:$A$103,0)),"No aplica")</f>
        <v>10</v>
      </c>
      <c r="O539" s="16"/>
    </row>
    <row r="540" customFormat="false" ht="14.25" hidden="false" customHeight="true" outlineLevel="0" collapsed="false">
      <c r="A540" s="39" t="n">
        <v>45780</v>
      </c>
      <c r="B540" s="6" t="s">
        <v>283</v>
      </c>
      <c r="C540" s="16" t="s">
        <v>356</v>
      </c>
      <c r="D540" s="16" t="s">
        <v>357</v>
      </c>
      <c r="E540" s="16" t="s">
        <v>358</v>
      </c>
      <c r="F540" s="16" t="s">
        <v>359</v>
      </c>
      <c r="G540" s="16" t="n">
        <v>1</v>
      </c>
      <c r="H540" s="16" t="s">
        <v>194</v>
      </c>
      <c r="I540" s="16" t="s">
        <v>238</v>
      </c>
      <c r="J540" s="16" t="s">
        <v>239</v>
      </c>
      <c r="K540" s="16" t="n">
        <v>10</v>
      </c>
      <c r="L540" s="40" t="n">
        <f aca="false">(K540/$Q$7)*100</f>
        <v>0.189753320683112</v>
      </c>
      <c r="M540" s="16" t="s">
        <v>225</v>
      </c>
      <c r="N540" s="16" t="n">
        <f aca="false">IFERROR(INDEX(BMWP_COL!$B$2:$B$103,MATCH($I540,BMWP_COL!$A$2:$A$103,0)),"No aplica")</f>
        <v>10</v>
      </c>
      <c r="O540" s="16"/>
    </row>
    <row r="541" customFormat="false" ht="14.25" hidden="false" customHeight="true" outlineLevel="0" collapsed="false">
      <c r="A541" s="39" t="n">
        <v>45780</v>
      </c>
      <c r="B541" s="6" t="s">
        <v>283</v>
      </c>
      <c r="C541" s="16" t="s">
        <v>356</v>
      </c>
      <c r="D541" s="16" t="s">
        <v>357</v>
      </c>
      <c r="E541" s="16" t="s">
        <v>358</v>
      </c>
      <c r="F541" s="16" t="s">
        <v>359</v>
      </c>
      <c r="G541" s="16" t="n">
        <v>1</v>
      </c>
      <c r="H541" s="16" t="s">
        <v>194</v>
      </c>
      <c r="I541" s="16" t="s">
        <v>195</v>
      </c>
      <c r="J541" s="16" t="s">
        <v>196</v>
      </c>
      <c r="K541" s="16" t="n">
        <v>5</v>
      </c>
      <c r="L541" s="40" t="n">
        <f aca="false">(K541/$Q$7)*100</f>
        <v>0.094876660341556</v>
      </c>
      <c r="M541" s="16" t="s">
        <v>197</v>
      </c>
      <c r="N541" s="16" t="n">
        <f aca="false">IFERROR(INDEX(BMWP_COL!$B$2:$B$103,MATCH($I541,BMWP_COL!$A$2:$A$103,0)),"No aplica")</f>
        <v>8</v>
      </c>
      <c r="O541" s="16"/>
    </row>
    <row r="542" customFormat="false" ht="14.25" hidden="false" customHeight="true" outlineLevel="0" collapsed="false">
      <c r="A542" s="39" t="n">
        <v>45780</v>
      </c>
      <c r="B542" s="6" t="s">
        <v>283</v>
      </c>
      <c r="C542" s="16" t="s">
        <v>356</v>
      </c>
      <c r="D542" s="16" t="s">
        <v>357</v>
      </c>
      <c r="E542" s="16" t="s">
        <v>358</v>
      </c>
      <c r="F542" s="16" t="s">
        <v>359</v>
      </c>
      <c r="G542" s="16" t="n">
        <v>1</v>
      </c>
      <c r="H542" s="16" t="s">
        <v>198</v>
      </c>
      <c r="I542" s="16" t="s">
        <v>199</v>
      </c>
      <c r="J542" s="16" t="s">
        <v>200</v>
      </c>
      <c r="K542" s="16" t="n">
        <v>2</v>
      </c>
      <c r="L542" s="40" t="n">
        <f aca="false">(K542/$Q$7)*100</f>
        <v>0.0379506641366224</v>
      </c>
      <c r="M542" s="16" t="s">
        <v>201</v>
      </c>
      <c r="N542" s="16" t="n">
        <f aca="false">IFERROR(INDEX(BMWP_COL!$B$2:$B$103,MATCH($I542,BMWP_COL!$A$2:$A$103,0)),"No aplica")</f>
        <v>7</v>
      </c>
      <c r="O542" s="16"/>
    </row>
    <row r="543" customFormat="false" ht="14.25" hidden="false" customHeight="true" outlineLevel="0" collapsed="false">
      <c r="A543" s="39" t="n">
        <v>45780</v>
      </c>
      <c r="B543" s="6" t="s">
        <v>283</v>
      </c>
      <c r="C543" s="16" t="s">
        <v>356</v>
      </c>
      <c r="D543" s="16" t="s">
        <v>357</v>
      </c>
      <c r="E543" s="16" t="s">
        <v>358</v>
      </c>
      <c r="F543" s="16" t="s">
        <v>359</v>
      </c>
      <c r="G543" s="16" t="n">
        <v>1</v>
      </c>
      <c r="H543" s="16" t="s">
        <v>219</v>
      </c>
      <c r="I543" s="16" t="s">
        <v>260</v>
      </c>
      <c r="J543" s="16" t="s">
        <v>261</v>
      </c>
      <c r="K543" s="16" t="n">
        <v>11</v>
      </c>
      <c r="L543" s="40" t="n">
        <f aca="false">(K543/$Q$7)*100</f>
        <v>0.208728652751423</v>
      </c>
      <c r="M543" s="16" t="s">
        <v>225</v>
      </c>
      <c r="N543" s="16" t="n">
        <f aca="false">IFERROR(INDEX(BMWP_COL!$B$2:$B$103,MATCH($I543,BMWP_COL!$A$2:$A$103,0)),"No aplica")</f>
        <v>10</v>
      </c>
      <c r="O543" s="16"/>
    </row>
    <row r="544" customFormat="false" ht="14.25" hidden="false" customHeight="true" outlineLevel="0" collapsed="false">
      <c r="A544" s="39" t="n">
        <v>45780</v>
      </c>
      <c r="B544" s="6" t="s">
        <v>283</v>
      </c>
      <c r="C544" s="16" t="s">
        <v>356</v>
      </c>
      <c r="D544" s="16" t="s">
        <v>357</v>
      </c>
      <c r="E544" s="16" t="s">
        <v>358</v>
      </c>
      <c r="F544" s="16" t="s">
        <v>359</v>
      </c>
      <c r="G544" s="43" t="n">
        <v>1</v>
      </c>
      <c r="H544" s="16" t="s">
        <v>219</v>
      </c>
      <c r="I544" s="16" t="s">
        <v>220</v>
      </c>
      <c r="J544" s="16" t="s">
        <v>278</v>
      </c>
      <c r="K544" s="16" t="n">
        <v>4</v>
      </c>
      <c r="L544" s="40" t="n">
        <f aca="false">(K544/$Q$7)*100</f>
        <v>0.0759013282732448</v>
      </c>
      <c r="M544" s="16" t="s">
        <v>197</v>
      </c>
      <c r="N544" s="16" t="n">
        <f aca="false">IFERROR(INDEX(BMWP_COL!$B$2:$B$103,MATCH($I544,BMWP_COL!$A$2:$A$103,0)),"No aplica")</f>
        <v>6</v>
      </c>
      <c r="O544" s="16"/>
    </row>
    <row r="545" customFormat="false" ht="14.25" hidden="false" customHeight="true" outlineLevel="0" collapsed="false">
      <c r="A545" s="39" t="n">
        <v>45780</v>
      </c>
      <c r="B545" s="6" t="s">
        <v>283</v>
      </c>
      <c r="C545" s="16" t="s">
        <v>356</v>
      </c>
      <c r="D545" s="16" t="s">
        <v>357</v>
      </c>
      <c r="E545" s="16" t="s">
        <v>358</v>
      </c>
      <c r="F545" s="16" t="s">
        <v>359</v>
      </c>
      <c r="G545" s="43" t="n">
        <v>1</v>
      </c>
      <c r="H545" s="16" t="s">
        <v>249</v>
      </c>
      <c r="I545" s="16" t="s">
        <v>250</v>
      </c>
      <c r="J545" s="16" t="s">
        <v>251</v>
      </c>
      <c r="K545" s="16" t="n">
        <v>3</v>
      </c>
      <c r="L545" s="40" t="n">
        <f aca="false">(K545/$Q$7)*100</f>
        <v>0.0569259962049336</v>
      </c>
      <c r="M545" s="16" t="s">
        <v>201</v>
      </c>
      <c r="N545" s="16" t="n">
        <f aca="false">IFERROR(INDEX(BMWP_COL!$B$2:$B$103,MATCH($I545,BMWP_COL!$A$2:$A$103,0)),"No aplica")</f>
        <v>10</v>
      </c>
      <c r="O545" s="16"/>
    </row>
    <row r="546" customFormat="false" ht="14.25" hidden="false" customHeight="true" outlineLevel="0" collapsed="false">
      <c r="A546" s="39" t="n">
        <v>45780</v>
      </c>
      <c r="B546" s="6" t="s">
        <v>283</v>
      </c>
      <c r="C546" s="16" t="s">
        <v>356</v>
      </c>
      <c r="D546" s="16" t="s">
        <v>357</v>
      </c>
      <c r="E546" s="16" t="s">
        <v>358</v>
      </c>
      <c r="F546" s="16" t="s">
        <v>359</v>
      </c>
      <c r="G546" s="43" t="n">
        <v>1</v>
      </c>
      <c r="H546" s="16" t="s">
        <v>194</v>
      </c>
      <c r="I546" s="16" t="s">
        <v>270</v>
      </c>
      <c r="J546" s="16" t="s">
        <v>271</v>
      </c>
      <c r="K546" s="16" t="n">
        <v>1</v>
      </c>
      <c r="L546" s="40" t="n">
        <f aca="false">(K546/$Q$7)*100</f>
        <v>0.0189753320683112</v>
      </c>
      <c r="M546" s="16" t="s">
        <v>230</v>
      </c>
      <c r="N546" s="16" t="n">
        <f aca="false">IFERROR(INDEX(BMWP_COL!$B$2:$B$103,MATCH($I546,BMWP_COL!$A$2:$A$103,0)),"No aplica")</f>
        <v>9</v>
      </c>
      <c r="O546" s="16"/>
    </row>
    <row r="547" customFormat="false" ht="14.25" hidden="false" customHeight="true" outlineLevel="0" collapsed="false">
      <c r="A547" s="39" t="n">
        <v>45780</v>
      </c>
      <c r="B547" s="6" t="s">
        <v>283</v>
      </c>
      <c r="C547" s="16" t="s">
        <v>356</v>
      </c>
      <c r="D547" s="16" t="s">
        <v>357</v>
      </c>
      <c r="E547" s="16" t="s">
        <v>358</v>
      </c>
      <c r="F547" s="16" t="s">
        <v>359</v>
      </c>
      <c r="G547" s="43" t="n">
        <v>1</v>
      </c>
      <c r="H547" s="16" t="s">
        <v>219</v>
      </c>
      <c r="I547" s="16" t="s">
        <v>220</v>
      </c>
      <c r="J547" s="16" t="s">
        <v>278</v>
      </c>
      <c r="K547" s="16" t="n">
        <v>2</v>
      </c>
      <c r="L547" s="40" t="n">
        <f aca="false">(K547/$Q$7)*100</f>
        <v>0.0379506641366224</v>
      </c>
      <c r="M547" s="16" t="s">
        <v>197</v>
      </c>
      <c r="N547" s="16" t="n">
        <f aca="false">IFERROR(INDEX(BMWP_COL!$B$2:$B$103,MATCH($I547,BMWP_COL!$A$2:$A$103,0)),"No aplica")</f>
        <v>6</v>
      </c>
      <c r="O547" s="16"/>
    </row>
    <row r="548" customFormat="false" ht="14.25" hidden="false" customHeight="true" outlineLevel="0" collapsed="false">
      <c r="A548" s="39" t="n">
        <v>45780</v>
      </c>
      <c r="B548" s="6" t="s">
        <v>283</v>
      </c>
      <c r="C548" s="16" t="s">
        <v>356</v>
      </c>
      <c r="D548" s="16" t="s">
        <v>357</v>
      </c>
      <c r="E548" s="16" t="s">
        <v>358</v>
      </c>
      <c r="F548" s="16" t="s">
        <v>359</v>
      </c>
      <c r="G548" s="43" t="n">
        <v>1</v>
      </c>
      <c r="H548" s="16" t="s">
        <v>208</v>
      </c>
      <c r="I548" s="16" t="s">
        <v>209</v>
      </c>
      <c r="J548" s="16" t="s">
        <v>210</v>
      </c>
      <c r="K548" s="16" t="n">
        <v>4</v>
      </c>
      <c r="L548" s="40" t="n">
        <f aca="false">(K548/$Q$7)*100</f>
        <v>0.0759013282732448</v>
      </c>
      <c r="M548" s="16" t="s">
        <v>211</v>
      </c>
      <c r="N548" s="16" t="n">
        <f aca="false">IFERROR(INDEX(BMWP_COL!$B$2:$B$103,MATCH($I548,BMWP_COL!$A$2:$A$103,0)),"No aplica")</f>
        <v>7</v>
      </c>
      <c r="O548" s="16"/>
    </row>
    <row r="549" customFormat="false" ht="14.25" hidden="false" customHeight="true" outlineLevel="0" collapsed="false">
      <c r="A549" s="39" t="n">
        <v>45780</v>
      </c>
      <c r="B549" s="6" t="s">
        <v>283</v>
      </c>
      <c r="C549" s="16" t="s">
        <v>356</v>
      </c>
      <c r="D549" s="16" t="s">
        <v>357</v>
      </c>
      <c r="E549" s="16" t="s">
        <v>358</v>
      </c>
      <c r="F549" s="16" t="s">
        <v>359</v>
      </c>
      <c r="G549" s="43" t="n">
        <v>1</v>
      </c>
      <c r="H549" s="16" t="s">
        <v>219</v>
      </c>
      <c r="I549" s="16" t="s">
        <v>220</v>
      </c>
      <c r="J549" s="16" t="s">
        <v>221</v>
      </c>
      <c r="K549" s="16" t="n">
        <v>6</v>
      </c>
      <c r="L549" s="40" t="n">
        <f aca="false">(K549/$Q$7)*100</f>
        <v>0.113851992409867</v>
      </c>
      <c r="M549" s="16" t="s">
        <v>197</v>
      </c>
      <c r="N549" s="16" t="n">
        <f aca="false">IFERROR(INDEX(BMWP_COL!$B$2:$B$103,MATCH($I549,BMWP_COL!$A$2:$A$103,0)),"No aplica")</f>
        <v>6</v>
      </c>
      <c r="O549" s="16"/>
    </row>
    <row r="550" customFormat="false" ht="14.25" hidden="false" customHeight="true" outlineLevel="0" collapsed="false">
      <c r="A550" s="39" t="n">
        <v>45780</v>
      </c>
      <c r="B550" s="6" t="s">
        <v>283</v>
      </c>
      <c r="C550" s="16" t="s">
        <v>356</v>
      </c>
      <c r="D550" s="16" t="s">
        <v>357</v>
      </c>
      <c r="E550" s="16" t="s">
        <v>358</v>
      </c>
      <c r="F550" s="16" t="s">
        <v>359</v>
      </c>
      <c r="G550" s="43" t="n">
        <v>1</v>
      </c>
      <c r="H550" s="16" t="s">
        <v>198</v>
      </c>
      <c r="I550" s="16" t="s">
        <v>199</v>
      </c>
      <c r="J550" s="16" t="s">
        <v>200</v>
      </c>
      <c r="K550" s="16" t="n">
        <v>1</v>
      </c>
      <c r="L550" s="40" t="n">
        <f aca="false">(K550/$Q$7)*100</f>
        <v>0.0189753320683112</v>
      </c>
      <c r="M550" s="16" t="s">
        <v>201</v>
      </c>
      <c r="N550" s="16" t="n">
        <f aca="false">IFERROR(INDEX(BMWP_COL!$B$2:$B$103,MATCH($I550,BMWP_COL!$A$2:$A$103,0)),"No aplica")</f>
        <v>7</v>
      </c>
      <c r="O550" s="16"/>
    </row>
    <row r="551" customFormat="false" ht="14.25" hidden="false" customHeight="true" outlineLevel="0" collapsed="false">
      <c r="A551" s="39" t="n">
        <v>45780</v>
      </c>
      <c r="B551" s="6" t="s">
        <v>283</v>
      </c>
      <c r="C551" s="16" t="s">
        <v>356</v>
      </c>
      <c r="D551" s="16" t="s">
        <v>357</v>
      </c>
      <c r="E551" s="16" t="s">
        <v>358</v>
      </c>
      <c r="F551" s="16" t="s">
        <v>359</v>
      </c>
      <c r="G551" s="43" t="n">
        <v>1</v>
      </c>
      <c r="H551" s="16" t="s">
        <v>194</v>
      </c>
      <c r="I551" s="16" t="s">
        <v>223</v>
      </c>
      <c r="J551" s="16" t="s">
        <v>224</v>
      </c>
      <c r="K551" s="16" t="n">
        <v>1</v>
      </c>
      <c r="L551" s="40" t="n">
        <f aca="false">(K551/$Q$7)*100</f>
        <v>0.0189753320683112</v>
      </c>
      <c r="M551" s="16" t="s">
        <v>225</v>
      </c>
      <c r="N551" s="16" t="n">
        <f aca="false">IFERROR(INDEX(BMWP_COL!$B$2:$B$103,MATCH($I551,BMWP_COL!$A$2:$A$103,0)),"No aplica")</f>
        <v>7</v>
      </c>
      <c r="O551" s="16"/>
    </row>
    <row r="552" customFormat="false" ht="14.25" hidden="false" customHeight="true" outlineLevel="0" collapsed="false">
      <c r="A552" s="39" t="n">
        <v>45780</v>
      </c>
      <c r="B552" s="6" t="s">
        <v>283</v>
      </c>
      <c r="C552" s="16" t="s">
        <v>356</v>
      </c>
      <c r="D552" s="16" t="s">
        <v>357</v>
      </c>
      <c r="E552" s="16" t="s">
        <v>358</v>
      </c>
      <c r="F552" s="16" t="s">
        <v>359</v>
      </c>
      <c r="G552" s="43" t="n">
        <v>1</v>
      </c>
      <c r="H552" s="16" t="s">
        <v>202</v>
      </c>
      <c r="I552" s="16" t="s">
        <v>203</v>
      </c>
      <c r="J552" s="41" t="s">
        <v>204</v>
      </c>
      <c r="K552" s="16" t="n">
        <v>7</v>
      </c>
      <c r="L552" s="40" t="n">
        <f aca="false">(K552/$Q$7)*100</f>
        <v>0.132827324478178</v>
      </c>
      <c r="M552" s="16" t="s">
        <v>197</v>
      </c>
      <c r="N552" s="16" t="n">
        <f aca="false">IFERROR(INDEX(BMWP_COL!$B$2:$B$103,MATCH($I552,BMWP_COL!$A$2:$A$103,0)),"No aplica")</f>
        <v>2</v>
      </c>
      <c r="O552" s="16"/>
    </row>
    <row r="553" customFormat="false" ht="14.25" hidden="false" customHeight="true" outlineLevel="0" collapsed="false">
      <c r="A553" s="39" t="n">
        <v>45780</v>
      </c>
      <c r="B553" s="6" t="s">
        <v>283</v>
      </c>
      <c r="C553" s="16" t="s">
        <v>356</v>
      </c>
      <c r="D553" s="16" t="s">
        <v>357</v>
      </c>
      <c r="E553" s="16" t="s">
        <v>358</v>
      </c>
      <c r="F553" s="16" t="s">
        <v>359</v>
      </c>
      <c r="G553" s="43" t="n">
        <v>1</v>
      </c>
      <c r="H553" s="16" t="s">
        <v>208</v>
      </c>
      <c r="I553" s="16" t="s">
        <v>209</v>
      </c>
      <c r="J553" s="16" t="s">
        <v>212</v>
      </c>
      <c r="K553" s="16" t="n">
        <v>2</v>
      </c>
      <c r="L553" s="40" t="n">
        <f aca="false">(K553/$Q$7)*100</f>
        <v>0.0379506641366224</v>
      </c>
      <c r="M553" s="16" t="s">
        <v>197</v>
      </c>
      <c r="N553" s="16" t="n">
        <f aca="false">IFERROR(INDEX(BMWP_COL!$B$2:$B$103,MATCH($I553,BMWP_COL!$A$2:$A$103,0)),"No aplica")</f>
        <v>7</v>
      </c>
      <c r="O553" s="16"/>
    </row>
    <row r="554" customFormat="false" ht="14.25" hidden="false" customHeight="true" outlineLevel="0" collapsed="false">
      <c r="A554" s="39" t="n">
        <v>45780</v>
      </c>
      <c r="B554" s="6" t="s">
        <v>283</v>
      </c>
      <c r="C554" s="16" t="s">
        <v>356</v>
      </c>
      <c r="D554" s="16" t="s">
        <v>357</v>
      </c>
      <c r="E554" s="16" t="s">
        <v>358</v>
      </c>
      <c r="F554" s="16" t="s">
        <v>359</v>
      </c>
      <c r="G554" s="43" t="n">
        <v>1</v>
      </c>
      <c r="H554" s="16" t="s">
        <v>202</v>
      </c>
      <c r="I554" s="16" t="s">
        <v>203</v>
      </c>
      <c r="J554" s="16" t="s">
        <v>213</v>
      </c>
      <c r="K554" s="16" t="n">
        <v>9</v>
      </c>
      <c r="L554" s="40" t="n">
        <f aca="false">(K554/$Q$7)*100</f>
        <v>0.170777988614801</v>
      </c>
      <c r="M554" s="16" t="s">
        <v>201</v>
      </c>
      <c r="N554" s="16" t="n">
        <f aca="false">IFERROR(INDEX(BMWP_COL!$B$2:$B$103,MATCH($I554,BMWP_COL!$A$2:$A$103,0)),"No aplica")</f>
        <v>2</v>
      </c>
      <c r="O554" s="16"/>
    </row>
    <row r="555" customFormat="false" ht="14.25" hidden="false" customHeight="true" outlineLevel="0" collapsed="false">
      <c r="A555" s="39" t="n">
        <v>45780</v>
      </c>
      <c r="B555" s="6" t="s">
        <v>283</v>
      </c>
      <c r="C555" s="16" t="s">
        <v>356</v>
      </c>
      <c r="D555" s="16" t="s">
        <v>357</v>
      </c>
      <c r="E555" s="16" t="s">
        <v>358</v>
      </c>
      <c r="F555" s="16" t="s">
        <v>359</v>
      </c>
      <c r="G555" s="43" t="n">
        <v>1</v>
      </c>
      <c r="H555" s="16" t="s">
        <v>202</v>
      </c>
      <c r="I555" s="16" t="s">
        <v>203</v>
      </c>
      <c r="J555" s="16" t="s">
        <v>264</v>
      </c>
      <c r="K555" s="16" t="n">
        <v>1</v>
      </c>
      <c r="L555" s="40" t="n">
        <f aca="false">(K555/$Q$7)*100</f>
        <v>0.0189753320683112</v>
      </c>
      <c r="M555" s="16" t="s">
        <v>197</v>
      </c>
      <c r="N555" s="16" t="n">
        <f aca="false">IFERROR(INDEX(BMWP_COL!$B$2:$B$103,MATCH($I555,BMWP_COL!$A$2:$A$103,0)),"No aplica")</f>
        <v>2</v>
      </c>
      <c r="O555" s="16"/>
    </row>
    <row r="556" customFormat="false" ht="14.25" hidden="false" customHeight="true" outlineLevel="0" collapsed="false">
      <c r="A556" s="39" t="n">
        <v>45780</v>
      </c>
      <c r="B556" s="6" t="s">
        <v>283</v>
      </c>
      <c r="C556" s="16" t="s">
        <v>356</v>
      </c>
      <c r="D556" s="16" t="s">
        <v>357</v>
      </c>
      <c r="E556" s="16" t="s">
        <v>358</v>
      </c>
      <c r="F556" s="16" t="s">
        <v>359</v>
      </c>
      <c r="G556" s="43" t="n">
        <v>1</v>
      </c>
      <c r="H556" s="16" t="s">
        <v>202</v>
      </c>
      <c r="I556" s="16" t="s">
        <v>217</v>
      </c>
      <c r="J556" s="16" t="s">
        <v>218</v>
      </c>
      <c r="K556" s="16" t="n">
        <v>6</v>
      </c>
      <c r="L556" s="40" t="n">
        <f aca="false">(K556/$Q$7)*100</f>
        <v>0.113851992409867</v>
      </c>
      <c r="M556" s="16" t="s">
        <v>201</v>
      </c>
      <c r="N556" s="16" t="n">
        <f aca="false">IFERROR(INDEX(BMWP_COL!$B$2:$B$103,MATCH($I556,BMWP_COL!$A$2:$A$103,0)),"No aplica")</f>
        <v>4</v>
      </c>
      <c r="O556" s="16"/>
    </row>
    <row r="557" customFormat="false" ht="14.25" hidden="false" customHeight="true" outlineLevel="0" collapsed="false">
      <c r="A557" s="39" t="n">
        <v>45780</v>
      </c>
      <c r="B557" s="6" t="s">
        <v>283</v>
      </c>
      <c r="C557" s="16" t="s">
        <v>356</v>
      </c>
      <c r="D557" s="16" t="s">
        <v>357</v>
      </c>
      <c r="E557" s="16" t="s">
        <v>358</v>
      </c>
      <c r="F557" s="16" t="s">
        <v>193</v>
      </c>
      <c r="G557" s="43" t="n">
        <v>1</v>
      </c>
      <c r="H557" s="16" t="s">
        <v>198</v>
      </c>
      <c r="I557" s="16" t="s">
        <v>199</v>
      </c>
      <c r="J557" s="16" t="s">
        <v>200</v>
      </c>
      <c r="K557" s="16" t="n">
        <v>1</v>
      </c>
      <c r="L557" s="40" t="n">
        <f aca="false">(K557/$Q$7)*100</f>
        <v>0.0189753320683112</v>
      </c>
      <c r="M557" s="16" t="s">
        <v>201</v>
      </c>
      <c r="N557" s="16" t="n">
        <f aca="false">IFERROR(INDEX(BMWP_COL!$B$2:$B$103,MATCH($I557,BMWP_COL!$A$2:$A$103,0)),"No aplica")</f>
        <v>7</v>
      </c>
      <c r="O557" s="16"/>
    </row>
    <row r="558" customFormat="false" ht="15" hidden="false" customHeight="true" outlineLevel="0" collapsed="false">
      <c r="A558" s="39" t="n">
        <v>45780</v>
      </c>
      <c r="B558" s="6" t="s">
        <v>283</v>
      </c>
      <c r="C558" s="16" t="s">
        <v>356</v>
      </c>
      <c r="D558" s="16" t="s">
        <v>357</v>
      </c>
      <c r="E558" s="16" t="s">
        <v>358</v>
      </c>
      <c r="F558" s="16" t="s">
        <v>193</v>
      </c>
      <c r="G558" s="43" t="n">
        <v>1</v>
      </c>
      <c r="H558" s="16" t="s">
        <v>249</v>
      </c>
      <c r="I558" s="16" t="s">
        <v>250</v>
      </c>
      <c r="J558" s="16" t="s">
        <v>251</v>
      </c>
      <c r="K558" s="16" t="n">
        <v>1</v>
      </c>
      <c r="L558" s="40" t="n">
        <f aca="false">(K558/$Q$7)*100</f>
        <v>0.0189753320683112</v>
      </c>
      <c r="M558" s="16" t="s">
        <v>201</v>
      </c>
      <c r="N558" s="16" t="n">
        <f aca="false">IFERROR(INDEX(BMWP_COL!$B$2:$B$103,MATCH($I558,BMWP_COL!$A$2:$A$103,0)),"No aplica")</f>
        <v>10</v>
      </c>
      <c r="O558" s="16"/>
    </row>
    <row r="559" customFormat="false" ht="14.25" hidden="false" customHeight="true" outlineLevel="0" collapsed="false">
      <c r="A559" s="39" t="n">
        <v>45780</v>
      </c>
      <c r="B559" s="6" t="s">
        <v>283</v>
      </c>
      <c r="C559" s="16" t="s">
        <v>356</v>
      </c>
      <c r="D559" s="16" t="s">
        <v>357</v>
      </c>
      <c r="E559" s="16" t="s">
        <v>358</v>
      </c>
      <c r="F559" s="16" t="s">
        <v>193</v>
      </c>
      <c r="G559" s="43" t="n">
        <v>1</v>
      </c>
      <c r="H559" s="16" t="s">
        <v>198</v>
      </c>
      <c r="I559" s="16" t="s">
        <v>205</v>
      </c>
      <c r="J559" s="16" t="s">
        <v>207</v>
      </c>
      <c r="K559" s="16" t="n">
        <v>3</v>
      </c>
      <c r="L559" s="40" t="n">
        <f aca="false">(K559/$Q$7)*100</f>
        <v>0.0569259962049336</v>
      </c>
      <c r="M559" s="16" t="s">
        <v>201</v>
      </c>
      <c r="N559" s="16" t="n">
        <f aca="false">IFERROR(INDEX(BMWP_COL!$B$2:$B$103,MATCH($I559,BMWP_COL!$A$2:$A$103,0)),"No aplica")</f>
        <v>8</v>
      </c>
      <c r="O559" s="16"/>
    </row>
    <row r="560" customFormat="false" ht="15" hidden="false" customHeight="true" outlineLevel="0" collapsed="false">
      <c r="A560" s="39" t="n">
        <v>45780</v>
      </c>
      <c r="B560" s="6" t="s">
        <v>283</v>
      </c>
      <c r="C560" s="16" t="s">
        <v>356</v>
      </c>
      <c r="D560" s="16" t="s">
        <v>357</v>
      </c>
      <c r="E560" s="16" t="s">
        <v>358</v>
      </c>
      <c r="F560" s="16" t="s">
        <v>255</v>
      </c>
      <c r="G560" s="43" t="n">
        <v>1</v>
      </c>
      <c r="H560" s="16" t="s">
        <v>194</v>
      </c>
      <c r="I560" s="16" t="s">
        <v>223</v>
      </c>
      <c r="J560" s="16" t="s">
        <v>224</v>
      </c>
      <c r="K560" s="16" t="n">
        <v>14</v>
      </c>
      <c r="L560" s="40" t="n">
        <f aca="false">(K560/$Q$7)*100</f>
        <v>0.265654648956357</v>
      </c>
      <c r="M560" s="16" t="s">
        <v>225</v>
      </c>
      <c r="N560" s="16" t="n">
        <f aca="false">IFERROR(INDEX(BMWP_COL!$B$2:$B$103,MATCH($I560,BMWP_COL!$A$2:$A$103,0)),"No aplica")</f>
        <v>7</v>
      </c>
      <c r="O560" s="16"/>
    </row>
    <row r="561" customFormat="false" ht="15" hidden="false" customHeight="true" outlineLevel="0" collapsed="false">
      <c r="A561" s="39" t="n">
        <v>45780</v>
      </c>
      <c r="B561" s="6" t="s">
        <v>283</v>
      </c>
      <c r="C561" s="16" t="s">
        <v>356</v>
      </c>
      <c r="D561" s="16" t="s">
        <v>357</v>
      </c>
      <c r="E561" s="16" t="s">
        <v>358</v>
      </c>
      <c r="F561" s="16" t="s">
        <v>255</v>
      </c>
      <c r="G561" s="43" t="n">
        <v>1</v>
      </c>
      <c r="H561" s="16" t="s">
        <v>219</v>
      </c>
      <c r="I561" s="16" t="s">
        <v>260</v>
      </c>
      <c r="J561" s="16" t="s">
        <v>261</v>
      </c>
      <c r="K561" s="16" t="n">
        <v>59</v>
      </c>
      <c r="L561" s="40" t="n">
        <f aca="false">(K561/$Q$7)*100</f>
        <v>1.11954459203036</v>
      </c>
      <c r="M561" s="16" t="s">
        <v>225</v>
      </c>
      <c r="N561" s="16" t="n">
        <f aca="false">IFERROR(INDEX(BMWP_COL!$B$2:$B$103,MATCH($I561,BMWP_COL!$A$2:$A$103,0)),"No aplica")</f>
        <v>10</v>
      </c>
      <c r="O561" s="16"/>
    </row>
    <row r="562" customFormat="false" ht="15" hidden="false" customHeight="true" outlineLevel="0" collapsed="false">
      <c r="A562" s="39" t="n">
        <v>45780</v>
      </c>
      <c r="B562" s="6" t="s">
        <v>283</v>
      </c>
      <c r="C562" s="16" t="s">
        <v>356</v>
      </c>
      <c r="D562" s="16" t="s">
        <v>357</v>
      </c>
      <c r="E562" s="16" t="s">
        <v>358</v>
      </c>
      <c r="F562" s="16" t="s">
        <v>255</v>
      </c>
      <c r="G562" s="43" t="n">
        <v>1</v>
      </c>
      <c r="H562" s="16" t="s">
        <v>202</v>
      </c>
      <c r="I562" s="16" t="s">
        <v>217</v>
      </c>
      <c r="J562" s="16" t="s">
        <v>330</v>
      </c>
      <c r="K562" s="16" t="n">
        <v>1</v>
      </c>
      <c r="L562" s="40" t="n">
        <f aca="false">(K562/$Q$7)*100</f>
        <v>0.0189753320683112</v>
      </c>
      <c r="M562" s="16" t="s">
        <v>201</v>
      </c>
      <c r="N562" s="16" t="n">
        <f aca="false">IFERROR(INDEX(BMWP_COL!$B$2:$B$103,MATCH($I562,BMWP_COL!$A$2:$A$103,0)),"No aplica")</f>
        <v>4</v>
      </c>
      <c r="O562" s="16"/>
    </row>
    <row r="563" customFormat="false" ht="15" hidden="false" customHeight="true" outlineLevel="0" collapsed="false">
      <c r="A563" s="39" t="n">
        <v>45780</v>
      </c>
      <c r="B563" s="6" t="s">
        <v>283</v>
      </c>
      <c r="C563" s="16" t="s">
        <v>356</v>
      </c>
      <c r="D563" s="16" t="s">
        <v>357</v>
      </c>
      <c r="E563" s="16" t="s">
        <v>358</v>
      </c>
      <c r="F563" s="16" t="s">
        <v>255</v>
      </c>
      <c r="G563" s="43" t="n">
        <v>1</v>
      </c>
      <c r="H563" s="16" t="s">
        <v>194</v>
      </c>
      <c r="I563" s="16" t="s">
        <v>238</v>
      </c>
      <c r="J563" s="16" t="s">
        <v>239</v>
      </c>
      <c r="K563" s="16" t="n">
        <v>2</v>
      </c>
      <c r="L563" s="40" t="n">
        <f aca="false">(K563/$Q$7)*100</f>
        <v>0.0379506641366224</v>
      </c>
      <c r="M563" s="16" t="s">
        <v>225</v>
      </c>
      <c r="N563" s="16" t="n">
        <f aca="false">IFERROR(INDEX(BMWP_COL!$B$2:$B$103,MATCH($I563,BMWP_COL!$A$2:$A$103,0)),"No aplica")</f>
        <v>10</v>
      </c>
      <c r="O563" s="16"/>
    </row>
    <row r="564" customFormat="false" ht="15" hidden="false" customHeight="true" outlineLevel="0" collapsed="false">
      <c r="A564" s="39" t="n">
        <v>45780</v>
      </c>
      <c r="B564" s="6" t="s">
        <v>283</v>
      </c>
      <c r="C564" s="16" t="s">
        <v>356</v>
      </c>
      <c r="D564" s="16" t="s">
        <v>357</v>
      </c>
      <c r="E564" s="16" t="s">
        <v>358</v>
      </c>
      <c r="F564" s="16" t="s">
        <v>255</v>
      </c>
      <c r="G564" s="43" t="n">
        <v>1</v>
      </c>
      <c r="H564" s="16" t="s">
        <v>249</v>
      </c>
      <c r="I564" s="16" t="s">
        <v>250</v>
      </c>
      <c r="J564" s="16" t="s">
        <v>251</v>
      </c>
      <c r="K564" s="16" t="n">
        <v>3</v>
      </c>
      <c r="L564" s="40" t="n">
        <f aca="false">(K564/$Q$7)*100</f>
        <v>0.0569259962049336</v>
      </c>
      <c r="M564" s="16" t="s">
        <v>201</v>
      </c>
      <c r="N564" s="16" t="n">
        <f aca="false">IFERROR(INDEX(BMWP_COL!$B$2:$B$103,MATCH($I564,BMWP_COL!$A$2:$A$103,0)),"No aplica")</f>
        <v>10</v>
      </c>
      <c r="O564" s="16"/>
    </row>
    <row r="565" customFormat="false" ht="15" hidden="false" customHeight="true" outlineLevel="0" collapsed="false">
      <c r="A565" s="39" t="n">
        <v>45780</v>
      </c>
      <c r="B565" s="6" t="s">
        <v>283</v>
      </c>
      <c r="C565" s="16" t="s">
        <v>356</v>
      </c>
      <c r="D565" s="16" t="s">
        <v>357</v>
      </c>
      <c r="E565" s="16" t="s">
        <v>358</v>
      </c>
      <c r="F565" s="16" t="s">
        <v>255</v>
      </c>
      <c r="G565" s="43" t="n">
        <v>1</v>
      </c>
      <c r="H565" s="16" t="s">
        <v>208</v>
      </c>
      <c r="I565" s="16" t="s">
        <v>226</v>
      </c>
      <c r="J565" s="16" t="s">
        <v>297</v>
      </c>
      <c r="K565" s="16" t="n">
        <v>13</v>
      </c>
      <c r="L565" s="40" t="n">
        <f aca="false">(K565/$Q$7)*100</f>
        <v>0.246679316888046</v>
      </c>
      <c r="M565" s="16" t="s">
        <v>197</v>
      </c>
      <c r="N565" s="16" t="n">
        <f aca="false">IFERROR(INDEX(BMWP_COL!$B$2:$B$103,MATCH($I565,BMWP_COL!$A$2:$A$103,0)),"No aplica")</f>
        <v>7</v>
      </c>
      <c r="O565" s="16"/>
    </row>
    <row r="566" customFormat="false" ht="15" hidden="false" customHeight="true" outlineLevel="0" collapsed="false">
      <c r="A566" s="39" t="n">
        <v>45780</v>
      </c>
      <c r="B566" s="6" t="s">
        <v>283</v>
      </c>
      <c r="C566" s="16" t="s">
        <v>356</v>
      </c>
      <c r="D566" s="16" t="s">
        <v>357</v>
      </c>
      <c r="E566" s="16" t="s">
        <v>358</v>
      </c>
      <c r="F566" s="16" t="s">
        <v>255</v>
      </c>
      <c r="G566" s="43" t="n">
        <v>1</v>
      </c>
      <c r="H566" s="16" t="s">
        <v>194</v>
      </c>
      <c r="I566" s="16" t="s">
        <v>223</v>
      </c>
      <c r="J566" s="16" t="s">
        <v>234</v>
      </c>
      <c r="K566" s="16" t="n">
        <v>10</v>
      </c>
      <c r="L566" s="40" t="n">
        <f aca="false">(K566/$Q$7)*100</f>
        <v>0.189753320683112</v>
      </c>
      <c r="M566" s="16" t="s">
        <v>225</v>
      </c>
      <c r="N566" s="16" t="n">
        <f aca="false">IFERROR(INDEX(BMWP_COL!$B$2:$B$103,MATCH($I566,BMWP_COL!$A$2:$A$103,0)),"No aplica")</f>
        <v>7</v>
      </c>
      <c r="O566" s="16"/>
    </row>
    <row r="567" customFormat="false" ht="15" hidden="false" customHeight="true" outlineLevel="0" collapsed="false">
      <c r="A567" s="39" t="n">
        <v>45780</v>
      </c>
      <c r="B567" s="6" t="s">
        <v>283</v>
      </c>
      <c r="C567" s="16" t="s">
        <v>356</v>
      </c>
      <c r="D567" s="16" t="s">
        <v>357</v>
      </c>
      <c r="E567" s="16" t="s">
        <v>358</v>
      </c>
      <c r="F567" s="16" t="s">
        <v>255</v>
      </c>
      <c r="G567" s="43" t="n">
        <v>1</v>
      </c>
      <c r="H567" s="16" t="s">
        <v>208</v>
      </c>
      <c r="I567" s="16" t="s">
        <v>226</v>
      </c>
      <c r="J567" s="16" t="s">
        <v>227</v>
      </c>
      <c r="K567" s="16" t="n">
        <v>2</v>
      </c>
      <c r="L567" s="40" t="n">
        <f aca="false">(K567/$Q$7)*100</f>
        <v>0.0379506641366224</v>
      </c>
      <c r="M567" s="16" t="s">
        <v>197</v>
      </c>
      <c r="N567" s="16" t="n">
        <f aca="false">IFERROR(INDEX(BMWP_COL!$B$2:$B$103,MATCH($I567,BMWP_COL!$A$2:$A$103,0)),"No aplica")</f>
        <v>7</v>
      </c>
      <c r="O567" s="16"/>
    </row>
    <row r="568" customFormat="false" ht="15" hidden="false" customHeight="true" outlineLevel="0" collapsed="false">
      <c r="A568" s="39" t="n">
        <v>45780</v>
      </c>
      <c r="B568" s="6" t="s">
        <v>283</v>
      </c>
      <c r="C568" s="16" t="s">
        <v>356</v>
      </c>
      <c r="D568" s="16" t="s">
        <v>357</v>
      </c>
      <c r="E568" s="16" t="s">
        <v>358</v>
      </c>
      <c r="F568" s="16" t="s">
        <v>255</v>
      </c>
      <c r="G568" s="43" t="n">
        <v>1</v>
      </c>
      <c r="H568" s="16" t="s">
        <v>202</v>
      </c>
      <c r="I568" s="16" t="s">
        <v>203</v>
      </c>
      <c r="J568" s="16" t="s">
        <v>213</v>
      </c>
      <c r="K568" s="16" t="n">
        <v>1</v>
      </c>
      <c r="L568" s="40" t="n">
        <f aca="false">(K568/$Q$7)*100</f>
        <v>0.0189753320683112</v>
      </c>
      <c r="M568" s="16" t="s">
        <v>201</v>
      </c>
      <c r="N568" s="16" t="n">
        <f aca="false">IFERROR(INDEX(BMWP_COL!$B$2:$B$103,MATCH($I568,BMWP_COL!$A$2:$A$103,0)),"No aplica")</f>
        <v>2</v>
      </c>
      <c r="O568" s="16"/>
    </row>
    <row r="569" customFormat="false" ht="15" hidden="false" customHeight="true" outlineLevel="0" collapsed="false">
      <c r="A569" s="39" t="n">
        <v>45780</v>
      </c>
      <c r="B569" s="6" t="s">
        <v>283</v>
      </c>
      <c r="C569" s="16" t="s">
        <v>356</v>
      </c>
      <c r="D569" s="16" t="s">
        <v>357</v>
      </c>
      <c r="E569" s="16" t="s">
        <v>358</v>
      </c>
      <c r="F569" s="16" t="s">
        <v>255</v>
      </c>
      <c r="G569" s="43" t="n">
        <v>1</v>
      </c>
      <c r="H569" s="16" t="s">
        <v>202</v>
      </c>
      <c r="I569" s="16" t="s">
        <v>228</v>
      </c>
      <c r="J569" s="16" t="s">
        <v>229</v>
      </c>
      <c r="K569" s="16" t="n">
        <v>3</v>
      </c>
      <c r="L569" s="40" t="n">
        <f aca="false">(K569/$Q$7)*100</f>
        <v>0.0569259962049336</v>
      </c>
      <c r="M569" s="16" t="s">
        <v>230</v>
      </c>
      <c r="N569" s="16" t="n">
        <f aca="false">IFERROR(INDEX(BMWP_COL!$B$2:$B$103,MATCH($I569,BMWP_COL!$A$2:$A$103,0)),"No aplica")</f>
        <v>8</v>
      </c>
      <c r="O569" s="16"/>
    </row>
    <row r="570" customFormat="false" ht="15" hidden="false" customHeight="true" outlineLevel="0" collapsed="false">
      <c r="A570" s="39" t="n">
        <v>45780</v>
      </c>
      <c r="B570" s="6" t="s">
        <v>283</v>
      </c>
      <c r="C570" s="16" t="s">
        <v>356</v>
      </c>
      <c r="D570" s="16" t="s">
        <v>357</v>
      </c>
      <c r="E570" s="16" t="s">
        <v>358</v>
      </c>
      <c r="F570" s="16" t="s">
        <v>255</v>
      </c>
      <c r="G570" s="43" t="n">
        <v>1</v>
      </c>
      <c r="H570" s="16" t="s">
        <v>202</v>
      </c>
      <c r="I570" s="16" t="s">
        <v>203</v>
      </c>
      <c r="J570" s="16" t="s">
        <v>264</v>
      </c>
      <c r="K570" s="16" t="n">
        <v>4</v>
      </c>
      <c r="L570" s="40" t="n">
        <f aca="false">(K570/$Q$7)*100</f>
        <v>0.0759013282732448</v>
      </c>
      <c r="M570" s="16" t="s">
        <v>197</v>
      </c>
      <c r="N570" s="16" t="n">
        <f aca="false">IFERROR(INDEX(BMWP_COL!$B$2:$B$103,MATCH($I570,BMWP_COL!$A$2:$A$103,0)),"No aplica")</f>
        <v>2</v>
      </c>
      <c r="O570" s="16"/>
    </row>
    <row r="571" customFormat="false" ht="15" hidden="false" customHeight="true" outlineLevel="0" collapsed="false">
      <c r="A571" s="39" t="n">
        <v>45780</v>
      </c>
      <c r="B571" s="6" t="s">
        <v>283</v>
      </c>
      <c r="C571" s="16" t="s">
        <v>356</v>
      </c>
      <c r="D571" s="16" t="s">
        <v>357</v>
      </c>
      <c r="E571" s="16" t="s">
        <v>358</v>
      </c>
      <c r="F571" s="16" t="s">
        <v>255</v>
      </c>
      <c r="G571" s="43" t="n">
        <v>1</v>
      </c>
      <c r="H571" s="16" t="s">
        <v>219</v>
      </c>
      <c r="I571" s="16" t="s">
        <v>220</v>
      </c>
      <c r="J571" s="16" t="s">
        <v>278</v>
      </c>
      <c r="K571" s="16" t="n">
        <v>2</v>
      </c>
      <c r="L571" s="40" t="n">
        <f aca="false">(K571/$Q$7)*100</f>
        <v>0.0379506641366224</v>
      </c>
      <c r="M571" s="16" t="s">
        <v>197</v>
      </c>
      <c r="N571" s="16" t="n">
        <f aca="false">IFERROR(INDEX(BMWP_COL!$B$2:$B$103,MATCH($I571,BMWP_COL!$A$2:$A$103,0)),"No aplica")</f>
        <v>6</v>
      </c>
      <c r="O571" s="16"/>
    </row>
    <row r="572" customFormat="false" ht="15" hidden="false" customHeight="true" outlineLevel="0" collapsed="false">
      <c r="A572" s="39" t="n">
        <v>45780</v>
      </c>
      <c r="B572" s="6" t="s">
        <v>283</v>
      </c>
      <c r="C572" s="16" t="s">
        <v>356</v>
      </c>
      <c r="D572" s="16" t="s">
        <v>357</v>
      </c>
      <c r="E572" s="16" t="s">
        <v>358</v>
      </c>
      <c r="F572" s="16" t="s">
        <v>255</v>
      </c>
      <c r="G572" s="43" t="n">
        <v>1</v>
      </c>
      <c r="H572" s="16" t="s">
        <v>194</v>
      </c>
      <c r="I572" s="16" t="s">
        <v>195</v>
      </c>
      <c r="J572" s="16" t="s">
        <v>196</v>
      </c>
      <c r="K572" s="16" t="n">
        <v>2</v>
      </c>
      <c r="L572" s="40" t="n">
        <f aca="false">(K572/$Q$7)*100</f>
        <v>0.0379506641366224</v>
      </c>
      <c r="M572" s="16" t="s">
        <v>197</v>
      </c>
      <c r="N572" s="16" t="n">
        <f aca="false">IFERROR(INDEX(BMWP_COL!$B$2:$B$103,MATCH($I572,BMWP_COL!$A$2:$A$103,0)),"No aplica")</f>
        <v>8</v>
      </c>
      <c r="O572" s="16"/>
    </row>
    <row r="573" customFormat="false" ht="15" hidden="false" customHeight="true" outlineLevel="0" collapsed="false">
      <c r="A573" s="39" t="n">
        <v>45780</v>
      </c>
      <c r="B573" s="6" t="s">
        <v>283</v>
      </c>
      <c r="C573" s="16" t="s">
        <v>356</v>
      </c>
      <c r="D573" s="16" t="s">
        <v>357</v>
      </c>
      <c r="E573" s="16" t="s">
        <v>358</v>
      </c>
      <c r="F573" s="16" t="s">
        <v>255</v>
      </c>
      <c r="G573" s="43" t="n">
        <v>1</v>
      </c>
      <c r="H573" s="16" t="s">
        <v>202</v>
      </c>
      <c r="I573" s="16" t="s">
        <v>203</v>
      </c>
      <c r="J573" s="41" t="s">
        <v>204</v>
      </c>
      <c r="K573" s="16" t="n">
        <v>1</v>
      </c>
      <c r="L573" s="40" t="n">
        <f aca="false">(K573/$Q$7)*100</f>
        <v>0.0189753320683112</v>
      </c>
      <c r="M573" s="16" t="s">
        <v>197</v>
      </c>
      <c r="N573" s="16" t="n">
        <f aca="false">IFERROR(INDEX(BMWP_COL!$B$2:$B$103,MATCH($I573,BMWP_COL!$A$2:$A$103,0)),"No aplica")</f>
        <v>2</v>
      </c>
      <c r="O573" s="16"/>
    </row>
    <row r="574" customFormat="false" ht="15" hidden="false" customHeight="true" outlineLevel="0" collapsed="false">
      <c r="A574" s="39" t="n">
        <v>45780</v>
      </c>
      <c r="B574" s="6" t="s">
        <v>283</v>
      </c>
      <c r="C574" s="16" t="s">
        <v>356</v>
      </c>
      <c r="D574" s="16" t="s">
        <v>357</v>
      </c>
      <c r="E574" s="16" t="s">
        <v>358</v>
      </c>
      <c r="F574" s="16" t="s">
        <v>255</v>
      </c>
      <c r="G574" s="43" t="n">
        <v>1</v>
      </c>
      <c r="H574" s="16" t="s">
        <v>202</v>
      </c>
      <c r="I574" s="16" t="s">
        <v>302</v>
      </c>
      <c r="J574" s="16" t="s">
        <v>360</v>
      </c>
      <c r="K574" s="16" t="n">
        <v>1</v>
      </c>
      <c r="L574" s="40" t="n">
        <f aca="false">(K574/$Q$7)*100</f>
        <v>0.0189753320683112</v>
      </c>
      <c r="M574" s="16" t="s">
        <v>201</v>
      </c>
      <c r="N574" s="16" t="n">
        <f aca="false">IFERROR(INDEX(BMWP_COL!$B$2:$B$103,MATCH($I574,BMWP_COL!$A$2:$A$103,0)),"No aplica")</f>
        <v>3</v>
      </c>
      <c r="O574" s="16" t="s">
        <v>361</v>
      </c>
    </row>
    <row r="575" customFormat="false" ht="15" hidden="false" customHeight="true" outlineLevel="0" collapsed="false">
      <c r="A575" s="39" t="n">
        <v>45780</v>
      </c>
      <c r="B575" s="6" t="s">
        <v>283</v>
      </c>
      <c r="C575" s="16" t="s">
        <v>356</v>
      </c>
      <c r="D575" s="16" t="s">
        <v>357</v>
      </c>
      <c r="E575" s="16" t="s">
        <v>358</v>
      </c>
      <c r="F575" s="16" t="s">
        <v>255</v>
      </c>
      <c r="G575" s="43" t="n">
        <v>1</v>
      </c>
      <c r="H575" s="16" t="s">
        <v>208</v>
      </c>
      <c r="I575" s="16" t="s">
        <v>209</v>
      </c>
      <c r="J575" s="16" t="s">
        <v>339</v>
      </c>
      <c r="K575" s="16" t="n">
        <v>1</v>
      </c>
      <c r="L575" s="40" t="n">
        <f aca="false">(K575/$Q$7)*100</f>
        <v>0.0189753320683112</v>
      </c>
      <c r="M575" s="16" t="s">
        <v>197</v>
      </c>
      <c r="N575" s="16" t="n">
        <f aca="false">IFERROR(INDEX(BMWP_COL!$B$2:$B$103,MATCH($I575,BMWP_COL!$A$2:$A$103,0)),"No aplica")</f>
        <v>7</v>
      </c>
      <c r="O575" s="16"/>
    </row>
    <row r="576" customFormat="false" ht="15" hidden="false" customHeight="true" outlineLevel="0" collapsed="false">
      <c r="A576" s="39" t="n">
        <v>45780</v>
      </c>
      <c r="B576" s="6" t="s">
        <v>283</v>
      </c>
      <c r="C576" s="16" t="s">
        <v>356</v>
      </c>
      <c r="D576" s="16" t="s">
        <v>357</v>
      </c>
      <c r="E576" s="16" t="s">
        <v>358</v>
      </c>
      <c r="F576" s="16" t="s">
        <v>255</v>
      </c>
      <c r="G576" s="43" t="n">
        <v>1</v>
      </c>
      <c r="H576" s="16" t="s">
        <v>202</v>
      </c>
      <c r="I576" s="16" t="s">
        <v>349</v>
      </c>
      <c r="J576" s="16" t="s">
        <v>349</v>
      </c>
      <c r="K576" s="16" t="n">
        <v>1</v>
      </c>
      <c r="L576" s="40" t="n">
        <f aca="false">(K576/$Q$7)*100</f>
        <v>0.0189753320683112</v>
      </c>
      <c r="M576" s="16" t="s">
        <v>197</v>
      </c>
      <c r="N576" s="16" t="n">
        <f aca="false">IFERROR(INDEX(BMWP_COL!$B$2:$B$103,MATCH($I576,BMWP_COL!$A$2:$A$103,0)),"No aplica")</f>
        <v>4</v>
      </c>
      <c r="O576" s="16"/>
    </row>
    <row r="577" customFormat="false" ht="15" hidden="false" customHeight="true" outlineLevel="0" collapsed="false">
      <c r="A577" s="39" t="n">
        <v>45780</v>
      </c>
      <c r="B577" s="6" t="s">
        <v>283</v>
      </c>
      <c r="C577" s="16" t="s">
        <v>356</v>
      </c>
      <c r="D577" s="16" t="s">
        <v>357</v>
      </c>
      <c r="E577" s="16" t="s">
        <v>358</v>
      </c>
      <c r="F577" s="16" t="s">
        <v>255</v>
      </c>
      <c r="G577" s="43" t="n">
        <v>1</v>
      </c>
      <c r="H577" s="16" t="s">
        <v>202</v>
      </c>
      <c r="I577" s="16" t="s">
        <v>299</v>
      </c>
      <c r="J577" s="16" t="s">
        <v>300</v>
      </c>
      <c r="K577" s="16" t="n">
        <v>1</v>
      </c>
      <c r="L577" s="40" t="n">
        <f aca="false">(K577/$Q$7)*100</f>
        <v>0.0189753320683112</v>
      </c>
      <c r="M577" s="16" t="s">
        <v>197</v>
      </c>
      <c r="N577" s="16" t="n">
        <f aca="false">IFERROR(INDEX(BMWP_COL!$B$2:$B$103,MATCH($I577,BMWP_COL!$A$2:$A$103,0)),"No aplica")</f>
        <v>7</v>
      </c>
      <c r="O577" s="16"/>
    </row>
    <row r="578" customFormat="false" ht="15" hidden="false" customHeight="true" outlineLevel="0" collapsed="false">
      <c r="A578" s="39" t="n">
        <v>45780</v>
      </c>
      <c r="B578" s="6" t="s">
        <v>283</v>
      </c>
      <c r="C578" s="16" t="s">
        <v>356</v>
      </c>
      <c r="D578" s="16" t="s">
        <v>357</v>
      </c>
      <c r="E578" s="16" t="s">
        <v>358</v>
      </c>
      <c r="F578" s="16" t="s">
        <v>255</v>
      </c>
      <c r="G578" s="43" t="n">
        <v>1</v>
      </c>
      <c r="H578" s="16" t="s">
        <v>202</v>
      </c>
      <c r="I578" s="16" t="s">
        <v>316</v>
      </c>
      <c r="J578" s="16" t="s">
        <v>316</v>
      </c>
      <c r="K578" s="16" t="n">
        <v>1</v>
      </c>
      <c r="L578" s="40" t="n">
        <f aca="false">(K578/$Q$7)*100</f>
        <v>0.0189753320683112</v>
      </c>
      <c r="M578" s="16" t="s">
        <v>290</v>
      </c>
      <c r="N578" s="16" t="n">
        <f aca="false">IFERROR(INDEX(BMWP_COL!$B$2:$B$103,MATCH($I578,BMWP_COL!$A$2:$A$103,0)),"No aplica")</f>
        <v>7</v>
      </c>
      <c r="O578" s="16"/>
    </row>
    <row r="579" customFormat="false" ht="15" hidden="false" customHeight="true" outlineLevel="0" collapsed="false">
      <c r="A579" s="39" t="n">
        <v>45780</v>
      </c>
      <c r="B579" s="6" t="s">
        <v>283</v>
      </c>
      <c r="C579" s="16" t="s">
        <v>356</v>
      </c>
      <c r="D579" s="16" t="s">
        <v>357</v>
      </c>
      <c r="E579" s="16" t="s">
        <v>358</v>
      </c>
      <c r="F579" s="16" t="s">
        <v>255</v>
      </c>
      <c r="G579" s="43" t="n">
        <v>1</v>
      </c>
      <c r="H579" s="16" t="s">
        <v>202</v>
      </c>
      <c r="I579" s="16" t="s">
        <v>302</v>
      </c>
      <c r="J579" s="16" t="s">
        <v>303</v>
      </c>
      <c r="K579" s="16" t="n">
        <v>1</v>
      </c>
      <c r="L579" s="40" t="n">
        <f aca="false">(K579/$Q$7)*100</f>
        <v>0.0189753320683112</v>
      </c>
      <c r="M579" s="16" t="s">
        <v>201</v>
      </c>
      <c r="N579" s="16" t="n">
        <f aca="false">IFERROR(INDEX(BMWP_COL!$B$2:$B$103,MATCH($I579,BMWP_COL!$A$2:$A$103,0)),"No aplica")</f>
        <v>3</v>
      </c>
      <c r="O579" s="16"/>
    </row>
    <row r="580" customFormat="false" ht="15" hidden="false" customHeight="true" outlineLevel="0" collapsed="false">
      <c r="A580" s="39" t="n">
        <v>45780</v>
      </c>
      <c r="B580" s="6" t="s">
        <v>283</v>
      </c>
      <c r="C580" s="16" t="s">
        <v>356</v>
      </c>
      <c r="D580" s="16" t="s">
        <v>357</v>
      </c>
      <c r="E580" s="16" t="s">
        <v>358</v>
      </c>
      <c r="F580" s="16" t="s">
        <v>255</v>
      </c>
      <c r="G580" s="43" t="n">
        <v>1</v>
      </c>
      <c r="H580" s="16" t="s">
        <v>219</v>
      </c>
      <c r="I580" s="16" t="s">
        <v>220</v>
      </c>
      <c r="J580" s="16" t="s">
        <v>221</v>
      </c>
      <c r="K580" s="16" t="n">
        <v>2</v>
      </c>
      <c r="L580" s="40" t="n">
        <f aca="false">(K580/$Q$7)*100</f>
        <v>0.0379506641366224</v>
      </c>
      <c r="M580" s="16" t="s">
        <v>197</v>
      </c>
      <c r="N580" s="16" t="n">
        <f aca="false">IFERROR(INDEX(BMWP_COL!$B$2:$B$103,MATCH($I580,BMWP_COL!$A$2:$A$103,0)),"No aplica")</f>
        <v>6</v>
      </c>
      <c r="O580" s="16"/>
    </row>
    <row r="581" customFormat="false" ht="14.25" hidden="false" customHeight="true" outlineLevel="0" collapsed="false">
      <c r="A581" s="39" t="n">
        <v>45780</v>
      </c>
      <c r="B581" s="6" t="s">
        <v>283</v>
      </c>
      <c r="C581" s="16" t="s">
        <v>356</v>
      </c>
      <c r="D581" s="16" t="s">
        <v>357</v>
      </c>
      <c r="E581" s="16" t="s">
        <v>358</v>
      </c>
      <c r="F581" s="16" t="s">
        <v>255</v>
      </c>
      <c r="G581" s="43" t="n">
        <v>2</v>
      </c>
      <c r="H581" s="16" t="s">
        <v>202</v>
      </c>
      <c r="I581" s="16" t="s">
        <v>228</v>
      </c>
      <c r="J581" s="16" t="s">
        <v>229</v>
      </c>
      <c r="K581" s="16" t="n">
        <v>6</v>
      </c>
      <c r="L581" s="40" t="n">
        <f aca="false">(K581/$Q$7)*100</f>
        <v>0.113851992409867</v>
      </c>
      <c r="M581" s="16" t="s">
        <v>230</v>
      </c>
      <c r="N581" s="16" t="n">
        <f aca="false">IFERROR(INDEX(BMWP_COL!$B$2:$B$103,MATCH($I581,BMWP_COL!$A$2:$A$103,0)),"No aplica")</f>
        <v>8</v>
      </c>
      <c r="O581" s="16"/>
    </row>
    <row r="582" customFormat="false" ht="14.25" hidden="false" customHeight="true" outlineLevel="0" collapsed="false">
      <c r="A582" s="39" t="n">
        <v>45780</v>
      </c>
      <c r="B582" s="6" t="s">
        <v>283</v>
      </c>
      <c r="C582" s="16" t="s">
        <v>356</v>
      </c>
      <c r="D582" s="16" t="s">
        <v>357</v>
      </c>
      <c r="E582" s="16" t="s">
        <v>358</v>
      </c>
      <c r="F582" s="16" t="s">
        <v>255</v>
      </c>
      <c r="G582" s="43" t="n">
        <v>2</v>
      </c>
      <c r="H582" s="16" t="s">
        <v>194</v>
      </c>
      <c r="I582" s="16" t="s">
        <v>223</v>
      </c>
      <c r="J582" s="16" t="s">
        <v>234</v>
      </c>
      <c r="K582" s="16" t="n">
        <v>38</v>
      </c>
      <c r="L582" s="40" t="n">
        <f aca="false">(K582/$Q$7)*100</f>
        <v>0.721062618595825</v>
      </c>
      <c r="M582" s="16" t="s">
        <v>225</v>
      </c>
      <c r="N582" s="16" t="n">
        <f aca="false">IFERROR(INDEX(BMWP_COL!$B$2:$B$103,MATCH($I582,BMWP_COL!$A$2:$A$103,0)),"No aplica")</f>
        <v>7</v>
      </c>
      <c r="O582" s="16"/>
    </row>
    <row r="583" customFormat="false" ht="15" hidden="false" customHeight="true" outlineLevel="0" collapsed="false">
      <c r="A583" s="39" t="n">
        <v>45780</v>
      </c>
      <c r="B583" s="6" t="s">
        <v>283</v>
      </c>
      <c r="C583" s="16" t="s">
        <v>356</v>
      </c>
      <c r="D583" s="16" t="s">
        <v>357</v>
      </c>
      <c r="E583" s="16" t="s">
        <v>358</v>
      </c>
      <c r="F583" s="16" t="s">
        <v>255</v>
      </c>
      <c r="G583" s="43" t="n">
        <v>2</v>
      </c>
      <c r="H583" s="16" t="s">
        <v>194</v>
      </c>
      <c r="I583" s="16" t="s">
        <v>195</v>
      </c>
      <c r="J583" s="16" t="s">
        <v>196</v>
      </c>
      <c r="K583" s="16" t="n">
        <v>15</v>
      </c>
      <c r="L583" s="40" t="n">
        <f aca="false">(K583/$Q$7)*100</f>
        <v>0.284629981024668</v>
      </c>
      <c r="M583" s="16" t="s">
        <v>197</v>
      </c>
      <c r="N583" s="16" t="n">
        <f aca="false">IFERROR(INDEX(BMWP_COL!$B$2:$B$103,MATCH($I583,BMWP_COL!$A$2:$A$103,0)),"No aplica")</f>
        <v>8</v>
      </c>
      <c r="O583" s="16"/>
    </row>
    <row r="584" customFormat="false" ht="15" hidden="false" customHeight="true" outlineLevel="0" collapsed="false">
      <c r="A584" s="39" t="n">
        <v>45780</v>
      </c>
      <c r="B584" s="6" t="s">
        <v>283</v>
      </c>
      <c r="C584" s="16" t="s">
        <v>356</v>
      </c>
      <c r="D584" s="16" t="s">
        <v>357</v>
      </c>
      <c r="E584" s="16" t="s">
        <v>358</v>
      </c>
      <c r="F584" s="16" t="s">
        <v>255</v>
      </c>
      <c r="G584" s="43" t="n">
        <v>2</v>
      </c>
      <c r="H584" s="16" t="s">
        <v>288</v>
      </c>
      <c r="I584" s="16" t="s">
        <v>289</v>
      </c>
      <c r="J584" s="16" t="s">
        <v>289</v>
      </c>
      <c r="K584" s="16" t="n">
        <v>1</v>
      </c>
      <c r="L584" s="40" t="n">
        <f aca="false">(K584/$Q$7)*100</f>
        <v>0.0189753320683112</v>
      </c>
      <c r="M584" s="16" t="s">
        <v>290</v>
      </c>
      <c r="N584" s="16" t="n">
        <f aca="false">IFERROR(INDEX(BMWP_COL!$B$2:$B$103,MATCH($I584,BMWP_COL!$A$2:$A$103,0)),"No aplica")</f>
        <v>4</v>
      </c>
      <c r="O584" s="16"/>
    </row>
    <row r="585" customFormat="false" ht="15" hidden="false" customHeight="true" outlineLevel="0" collapsed="false">
      <c r="A585" s="39" t="n">
        <v>45780</v>
      </c>
      <c r="B585" s="6" t="s">
        <v>283</v>
      </c>
      <c r="C585" s="16" t="s">
        <v>356</v>
      </c>
      <c r="D585" s="16" t="s">
        <v>357</v>
      </c>
      <c r="E585" s="16" t="s">
        <v>358</v>
      </c>
      <c r="F585" s="16" t="s">
        <v>255</v>
      </c>
      <c r="G585" s="43" t="n">
        <v>2</v>
      </c>
      <c r="H585" s="16" t="s">
        <v>231</v>
      </c>
      <c r="I585" s="16" t="s">
        <v>232</v>
      </c>
      <c r="J585" s="16" t="s">
        <v>233</v>
      </c>
      <c r="K585" s="16" t="n">
        <v>1</v>
      </c>
      <c r="L585" s="40" t="n">
        <f aca="false">(K585/$Q$7)*100</f>
        <v>0.0189753320683112</v>
      </c>
      <c r="M585" s="16" t="s">
        <v>201</v>
      </c>
      <c r="N585" s="16" t="n">
        <f aca="false">IFERROR(INDEX(BMWP_COL!$B$2:$B$103,MATCH($I585,BMWP_COL!$A$2:$A$103,0)),"No aplica")</f>
        <v>6</v>
      </c>
      <c r="O585" s="16" t="s">
        <v>362</v>
      </c>
    </row>
    <row r="586" customFormat="false" ht="15" hidden="false" customHeight="true" outlineLevel="0" collapsed="false">
      <c r="A586" s="39" t="n">
        <v>45780</v>
      </c>
      <c r="B586" s="6" t="s">
        <v>283</v>
      </c>
      <c r="C586" s="16" t="s">
        <v>356</v>
      </c>
      <c r="D586" s="16" t="s">
        <v>357</v>
      </c>
      <c r="E586" s="16" t="s">
        <v>358</v>
      </c>
      <c r="F586" s="16" t="s">
        <v>255</v>
      </c>
      <c r="G586" s="43" t="n">
        <v>2</v>
      </c>
      <c r="H586" s="16" t="s">
        <v>214</v>
      </c>
      <c r="I586" s="16" t="s">
        <v>262</v>
      </c>
      <c r="J586" s="16" t="s">
        <v>263</v>
      </c>
      <c r="K586" s="16" t="n">
        <v>2</v>
      </c>
      <c r="L586" s="40" t="n">
        <f aca="false">(K586/$Q$7)*100</f>
        <v>0.0379506641366224</v>
      </c>
      <c r="M586" s="16" t="s">
        <v>201</v>
      </c>
      <c r="N586" s="16" t="n">
        <f aca="false">IFERROR(INDEX(BMWP_COL!$B$2:$B$103,MATCH($I586,BMWP_COL!$A$2:$A$103,0)),"No aplica")</f>
        <v>7</v>
      </c>
      <c r="O586" s="16"/>
    </row>
    <row r="587" customFormat="false" ht="15" hidden="false" customHeight="true" outlineLevel="0" collapsed="false">
      <c r="A587" s="39" t="n">
        <v>45780</v>
      </c>
      <c r="B587" s="6" t="s">
        <v>283</v>
      </c>
      <c r="C587" s="16" t="s">
        <v>356</v>
      </c>
      <c r="D587" s="16" t="s">
        <v>357</v>
      </c>
      <c r="E587" s="16" t="s">
        <v>358</v>
      </c>
      <c r="F587" s="16" t="s">
        <v>255</v>
      </c>
      <c r="G587" s="43" t="n">
        <v>2</v>
      </c>
      <c r="H587" s="16" t="s">
        <v>202</v>
      </c>
      <c r="I587" s="16" t="s">
        <v>203</v>
      </c>
      <c r="J587" s="41" t="s">
        <v>204</v>
      </c>
      <c r="K587" s="16" t="n">
        <v>2</v>
      </c>
      <c r="L587" s="40" t="n">
        <f aca="false">(K587/$Q$7)*100</f>
        <v>0.0379506641366224</v>
      </c>
      <c r="M587" s="16" t="s">
        <v>197</v>
      </c>
      <c r="N587" s="16" t="n">
        <f aca="false">IFERROR(INDEX(BMWP_COL!$B$2:$B$103,MATCH($I587,BMWP_COL!$A$2:$A$103,0)),"No aplica")</f>
        <v>2</v>
      </c>
      <c r="O587" s="16"/>
    </row>
    <row r="588" customFormat="false" ht="15" hidden="false" customHeight="true" outlineLevel="0" collapsed="false">
      <c r="A588" s="39" t="n">
        <v>45780</v>
      </c>
      <c r="B588" s="6" t="s">
        <v>283</v>
      </c>
      <c r="C588" s="16" t="s">
        <v>356</v>
      </c>
      <c r="D588" s="16" t="s">
        <v>357</v>
      </c>
      <c r="E588" s="16" t="s">
        <v>358</v>
      </c>
      <c r="F588" s="16" t="s">
        <v>255</v>
      </c>
      <c r="G588" s="43" t="n">
        <v>2</v>
      </c>
      <c r="H588" s="16" t="s">
        <v>219</v>
      </c>
      <c r="I588" s="16" t="s">
        <v>344</v>
      </c>
      <c r="J588" s="16" t="s">
        <v>345</v>
      </c>
      <c r="K588" s="16" t="n">
        <v>2</v>
      </c>
      <c r="L588" s="40" t="n">
        <f aca="false">(K588/$Q$7)*100</f>
        <v>0.0379506641366224</v>
      </c>
      <c r="M588" s="16" t="s">
        <v>201</v>
      </c>
      <c r="N588" s="16" t="n">
        <f aca="false">IFERROR(INDEX(BMWP_COL!$B$2:$B$103,MATCH($I588,BMWP_COL!$A$2:$A$103,0)),"No aplica")</f>
        <v>3</v>
      </c>
      <c r="O588" s="16"/>
    </row>
    <row r="589" customFormat="false" ht="15" hidden="false" customHeight="true" outlineLevel="0" collapsed="false">
      <c r="A589" s="39" t="n">
        <v>45780</v>
      </c>
      <c r="B589" s="6" t="s">
        <v>283</v>
      </c>
      <c r="C589" s="16" t="s">
        <v>356</v>
      </c>
      <c r="D589" s="16" t="s">
        <v>357</v>
      </c>
      <c r="E589" s="16" t="s">
        <v>358</v>
      </c>
      <c r="F589" s="16" t="s">
        <v>255</v>
      </c>
      <c r="G589" s="43" t="n">
        <v>2</v>
      </c>
      <c r="H589" s="16" t="s">
        <v>202</v>
      </c>
      <c r="I589" s="16" t="s">
        <v>203</v>
      </c>
      <c r="J589" s="16" t="s">
        <v>213</v>
      </c>
      <c r="K589" s="16" t="n">
        <v>1</v>
      </c>
      <c r="L589" s="40" t="n">
        <f aca="false">(K589/$Q$7)*100</f>
        <v>0.0189753320683112</v>
      </c>
      <c r="M589" s="16" t="s">
        <v>201</v>
      </c>
      <c r="N589" s="16" t="n">
        <f aca="false">IFERROR(INDEX(BMWP_COL!$B$2:$B$103,MATCH($I589,BMWP_COL!$A$2:$A$103,0)),"No aplica")</f>
        <v>2</v>
      </c>
      <c r="O589" s="16"/>
    </row>
    <row r="590" customFormat="false" ht="15" hidden="false" customHeight="true" outlineLevel="0" collapsed="false">
      <c r="A590" s="39" t="n">
        <v>45780</v>
      </c>
      <c r="B590" s="16" t="s">
        <v>190</v>
      </c>
      <c r="C590" s="16" t="s">
        <v>15</v>
      </c>
      <c r="D590" s="16" t="s">
        <v>363</v>
      </c>
      <c r="E590" s="16" t="s">
        <v>364</v>
      </c>
      <c r="F590" s="16" t="s">
        <v>193</v>
      </c>
      <c r="G590" s="43" t="n">
        <v>1</v>
      </c>
      <c r="H590" s="16" t="s">
        <v>198</v>
      </c>
      <c r="I590" s="16" t="s">
        <v>199</v>
      </c>
      <c r="J590" s="16" t="s">
        <v>200</v>
      </c>
      <c r="K590" s="16" t="n">
        <v>9</v>
      </c>
      <c r="L590" s="40" t="n">
        <f aca="false">(K590/$Q$7)*100</f>
        <v>0.170777988614801</v>
      </c>
      <c r="M590" s="16" t="s">
        <v>201</v>
      </c>
      <c r="N590" s="16" t="n">
        <f aca="false">IFERROR(INDEX(BMWP_COL!$B$2:$B$103,MATCH($I590,BMWP_COL!$A$2:$A$103,0)),"No aplica")</f>
        <v>7</v>
      </c>
      <c r="O590" s="16"/>
    </row>
    <row r="591" customFormat="false" ht="15" hidden="false" customHeight="true" outlineLevel="0" collapsed="false">
      <c r="A591" s="39" t="n">
        <v>45780</v>
      </c>
      <c r="B591" s="16" t="s">
        <v>190</v>
      </c>
      <c r="C591" s="16" t="s">
        <v>15</v>
      </c>
      <c r="D591" s="16" t="s">
        <v>363</v>
      </c>
      <c r="E591" s="16" t="s">
        <v>364</v>
      </c>
      <c r="F591" s="16" t="s">
        <v>193</v>
      </c>
      <c r="G591" s="43" t="n">
        <v>1</v>
      </c>
      <c r="H591" s="16" t="s">
        <v>198</v>
      </c>
      <c r="I591" s="16" t="s">
        <v>205</v>
      </c>
      <c r="J591" s="16" t="s">
        <v>207</v>
      </c>
      <c r="K591" s="16" t="n">
        <v>5</v>
      </c>
      <c r="L591" s="40" t="n">
        <f aca="false">(K591/$Q$7)*100</f>
        <v>0.094876660341556</v>
      </c>
      <c r="M591" s="16" t="s">
        <v>201</v>
      </c>
      <c r="N591" s="16" t="n">
        <f aca="false">IFERROR(INDEX(BMWP_COL!$B$2:$B$103,MATCH($I591,BMWP_COL!$A$2:$A$103,0)),"No aplica")</f>
        <v>8</v>
      </c>
      <c r="O591" s="16"/>
    </row>
    <row r="592" customFormat="false" ht="15" hidden="false" customHeight="true" outlineLevel="0" collapsed="false">
      <c r="A592" s="39" t="n">
        <v>45780</v>
      </c>
      <c r="B592" s="16" t="s">
        <v>190</v>
      </c>
      <c r="C592" s="16" t="s">
        <v>15</v>
      </c>
      <c r="D592" s="16" t="s">
        <v>363</v>
      </c>
      <c r="E592" s="16" t="s">
        <v>364</v>
      </c>
      <c r="F592" s="16" t="s">
        <v>193</v>
      </c>
      <c r="G592" s="43" t="n">
        <v>1</v>
      </c>
      <c r="H592" s="16" t="s">
        <v>219</v>
      </c>
      <c r="I592" s="16" t="s">
        <v>260</v>
      </c>
      <c r="J592" s="16" t="s">
        <v>261</v>
      </c>
      <c r="K592" s="16" t="n">
        <v>5</v>
      </c>
      <c r="L592" s="40" t="n">
        <f aca="false">(K592/$Q$7)*100</f>
        <v>0.094876660341556</v>
      </c>
      <c r="M592" s="16" t="s">
        <v>225</v>
      </c>
      <c r="N592" s="16" t="n">
        <f aca="false">IFERROR(INDEX(BMWP_COL!$B$2:$B$103,MATCH($I592,BMWP_COL!$A$2:$A$103,0)),"No aplica")</f>
        <v>10</v>
      </c>
      <c r="O592" s="16"/>
    </row>
    <row r="593" customFormat="false" ht="15" hidden="false" customHeight="true" outlineLevel="0" collapsed="false">
      <c r="A593" s="39" t="n">
        <v>45780</v>
      </c>
      <c r="B593" s="16" t="s">
        <v>190</v>
      </c>
      <c r="C593" s="16" t="s">
        <v>15</v>
      </c>
      <c r="D593" s="16" t="s">
        <v>363</v>
      </c>
      <c r="E593" s="16" t="s">
        <v>364</v>
      </c>
      <c r="F593" s="16" t="s">
        <v>193</v>
      </c>
      <c r="G593" s="43" t="n">
        <v>1</v>
      </c>
      <c r="H593" s="16" t="s">
        <v>219</v>
      </c>
      <c r="I593" s="16" t="s">
        <v>220</v>
      </c>
      <c r="J593" s="16" t="s">
        <v>221</v>
      </c>
      <c r="K593" s="16" t="n">
        <v>4</v>
      </c>
      <c r="L593" s="40" t="n">
        <f aca="false">(K593/$Q$7)*100</f>
        <v>0.0759013282732448</v>
      </c>
      <c r="M593" s="16" t="s">
        <v>197</v>
      </c>
      <c r="N593" s="16" t="n">
        <f aca="false">IFERROR(INDEX(BMWP_COL!$B$2:$B$103,MATCH($I593,BMWP_COL!$A$2:$A$103,0)),"No aplica")</f>
        <v>6</v>
      </c>
      <c r="O593" s="16"/>
    </row>
    <row r="594" customFormat="false" ht="15" hidden="false" customHeight="true" outlineLevel="0" collapsed="false">
      <c r="A594" s="39" t="n">
        <v>45780</v>
      </c>
      <c r="B594" s="16" t="s">
        <v>190</v>
      </c>
      <c r="C594" s="16" t="s">
        <v>15</v>
      </c>
      <c r="D594" s="16" t="s">
        <v>363</v>
      </c>
      <c r="E594" s="16" t="s">
        <v>364</v>
      </c>
      <c r="F594" s="16" t="s">
        <v>193</v>
      </c>
      <c r="G594" s="43" t="n">
        <v>1</v>
      </c>
      <c r="H594" s="16" t="s">
        <v>231</v>
      </c>
      <c r="I594" s="16" t="s">
        <v>232</v>
      </c>
      <c r="J594" s="16" t="s">
        <v>233</v>
      </c>
      <c r="K594" s="16" t="n">
        <v>2</v>
      </c>
      <c r="L594" s="40" t="n">
        <f aca="false">(K594/$Q$7)*100</f>
        <v>0.0379506641366224</v>
      </c>
      <c r="M594" s="16" t="s">
        <v>201</v>
      </c>
      <c r="N594" s="16" t="n">
        <f aca="false">IFERROR(INDEX(BMWP_COL!$B$2:$B$103,MATCH($I594,BMWP_COL!$A$2:$A$103,0)),"No aplica")</f>
        <v>6</v>
      </c>
      <c r="O594" s="16" t="s">
        <v>362</v>
      </c>
    </row>
    <row r="595" customFormat="false" ht="15" hidden="false" customHeight="true" outlineLevel="0" collapsed="false">
      <c r="A595" s="39" t="n">
        <v>45780</v>
      </c>
      <c r="B595" s="16" t="s">
        <v>190</v>
      </c>
      <c r="C595" s="16" t="s">
        <v>15</v>
      </c>
      <c r="D595" s="16" t="s">
        <v>363</v>
      </c>
      <c r="E595" s="16" t="s">
        <v>364</v>
      </c>
      <c r="F595" s="16" t="s">
        <v>193</v>
      </c>
      <c r="G595" s="43" t="n">
        <v>1</v>
      </c>
      <c r="H595" s="16" t="s">
        <v>202</v>
      </c>
      <c r="I595" s="16" t="s">
        <v>203</v>
      </c>
      <c r="J595" s="41" t="s">
        <v>204</v>
      </c>
      <c r="K595" s="16" t="n">
        <v>10</v>
      </c>
      <c r="L595" s="40" t="n">
        <f aca="false">(K595/$Q$7)*100</f>
        <v>0.189753320683112</v>
      </c>
      <c r="M595" s="16" t="s">
        <v>197</v>
      </c>
      <c r="N595" s="16" t="n">
        <f aca="false">IFERROR(INDEX(BMWP_COL!$B$2:$B$103,MATCH($I595,BMWP_COL!$A$2:$A$103,0)),"No aplica")</f>
        <v>2</v>
      </c>
      <c r="O595" s="16"/>
    </row>
    <row r="596" customFormat="false" ht="15" hidden="false" customHeight="true" outlineLevel="0" collapsed="false">
      <c r="A596" s="39" t="n">
        <v>45780</v>
      </c>
      <c r="B596" s="16" t="s">
        <v>190</v>
      </c>
      <c r="C596" s="16" t="s">
        <v>15</v>
      </c>
      <c r="D596" s="16" t="s">
        <v>363</v>
      </c>
      <c r="E596" s="16" t="s">
        <v>364</v>
      </c>
      <c r="F596" s="16" t="s">
        <v>193</v>
      </c>
      <c r="G596" s="43" t="n">
        <v>1</v>
      </c>
      <c r="H596" s="16" t="s">
        <v>219</v>
      </c>
      <c r="I596" s="16" t="s">
        <v>279</v>
      </c>
      <c r="J596" s="16" t="s">
        <v>279</v>
      </c>
      <c r="K596" s="16" t="n">
        <v>2</v>
      </c>
      <c r="L596" s="40" t="n">
        <f aca="false">(K596/$Q$7)*100</f>
        <v>0.0379506641366224</v>
      </c>
      <c r="M596" s="16" t="s">
        <v>201</v>
      </c>
      <c r="N596" s="16" t="n">
        <f aca="false">IFERROR(INDEX(BMWP_COL!$B$2:$B$103,MATCH($I596,BMWP_COL!$A$2:$A$103,0)),"No aplica")</f>
        <v>6</v>
      </c>
      <c r="O596" s="16"/>
    </row>
    <row r="597" customFormat="false" ht="15" hidden="false" customHeight="true" outlineLevel="0" collapsed="false">
      <c r="A597" s="39" t="n">
        <v>45780</v>
      </c>
      <c r="B597" s="16" t="s">
        <v>190</v>
      </c>
      <c r="C597" s="16" t="s">
        <v>15</v>
      </c>
      <c r="D597" s="16" t="s">
        <v>363</v>
      </c>
      <c r="E597" s="16" t="s">
        <v>364</v>
      </c>
      <c r="F597" s="16" t="s">
        <v>193</v>
      </c>
      <c r="G597" s="43" t="n">
        <v>1</v>
      </c>
      <c r="H597" s="16" t="s">
        <v>202</v>
      </c>
      <c r="I597" s="16" t="s">
        <v>302</v>
      </c>
      <c r="J597" s="16" t="s">
        <v>303</v>
      </c>
      <c r="K597" s="16" t="n">
        <v>1</v>
      </c>
      <c r="L597" s="40" t="n">
        <f aca="false">(K597/$Q$7)*100</f>
        <v>0.0189753320683112</v>
      </c>
      <c r="M597" s="16" t="s">
        <v>201</v>
      </c>
      <c r="N597" s="16" t="n">
        <f aca="false">IFERROR(INDEX(BMWP_COL!$B$2:$B$103,MATCH($I597,BMWP_COL!$A$2:$A$103,0)),"No aplica")</f>
        <v>3</v>
      </c>
      <c r="O597" s="16"/>
    </row>
    <row r="598" customFormat="false" ht="15" hidden="false" customHeight="true" outlineLevel="0" collapsed="false">
      <c r="A598" s="39" t="n">
        <v>45780</v>
      </c>
      <c r="B598" s="16" t="s">
        <v>190</v>
      </c>
      <c r="C598" s="16" t="s">
        <v>15</v>
      </c>
      <c r="D598" s="16" t="s">
        <v>363</v>
      </c>
      <c r="E598" s="16" t="s">
        <v>364</v>
      </c>
      <c r="F598" s="16" t="s">
        <v>193</v>
      </c>
      <c r="G598" s="43" t="n">
        <v>1</v>
      </c>
      <c r="H598" s="16" t="s">
        <v>272</v>
      </c>
      <c r="I598" s="16" t="s">
        <v>273</v>
      </c>
      <c r="J598" s="16" t="s">
        <v>274</v>
      </c>
      <c r="K598" s="16" t="n">
        <v>1</v>
      </c>
      <c r="L598" s="40" t="n">
        <f aca="false">(K598/$Q$7)*100</f>
        <v>0.0189753320683112</v>
      </c>
      <c r="M598" s="16" t="s">
        <v>201</v>
      </c>
      <c r="N598" s="16" t="n">
        <f aca="false">IFERROR(INDEX(BMWP_COL!$B$2:$B$103,MATCH($I598,BMWP_COL!$A$2:$A$103,0)),"No aplica")</f>
        <v>6</v>
      </c>
      <c r="O598" s="16"/>
    </row>
    <row r="599" customFormat="false" ht="15" hidden="false" customHeight="true" outlineLevel="0" collapsed="false">
      <c r="A599" s="39" t="n">
        <v>45780</v>
      </c>
      <c r="B599" s="16" t="s">
        <v>190</v>
      </c>
      <c r="C599" s="16" t="s">
        <v>15</v>
      </c>
      <c r="D599" s="16" t="s">
        <v>363</v>
      </c>
      <c r="E599" s="16" t="s">
        <v>364</v>
      </c>
      <c r="F599" s="16" t="s">
        <v>193</v>
      </c>
      <c r="G599" s="43" t="n">
        <v>1</v>
      </c>
      <c r="H599" s="16" t="s">
        <v>219</v>
      </c>
      <c r="I599" s="16" t="s">
        <v>220</v>
      </c>
      <c r="J599" s="16" t="s">
        <v>278</v>
      </c>
      <c r="K599" s="16" t="n">
        <v>1</v>
      </c>
      <c r="L599" s="40" t="n">
        <f aca="false">(K599/$Q$7)*100</f>
        <v>0.0189753320683112</v>
      </c>
      <c r="M599" s="16" t="s">
        <v>197</v>
      </c>
      <c r="N599" s="16" t="n">
        <f aca="false">IFERROR(INDEX(BMWP_COL!$B$2:$B$103,MATCH($I599,BMWP_COL!$A$2:$A$103,0)),"No aplica")</f>
        <v>6</v>
      </c>
      <c r="O599" s="16"/>
    </row>
    <row r="600" customFormat="false" ht="15" hidden="false" customHeight="true" outlineLevel="0" collapsed="false">
      <c r="A600" s="39" t="n">
        <v>45780</v>
      </c>
      <c r="B600" s="16" t="s">
        <v>190</v>
      </c>
      <c r="C600" s="16" t="s">
        <v>15</v>
      </c>
      <c r="D600" s="16" t="s">
        <v>363</v>
      </c>
      <c r="E600" s="16" t="s">
        <v>364</v>
      </c>
      <c r="F600" s="16" t="s">
        <v>193</v>
      </c>
      <c r="G600" s="43" t="n">
        <v>1</v>
      </c>
      <c r="H600" s="16" t="s">
        <v>219</v>
      </c>
      <c r="I600" s="16" t="s">
        <v>344</v>
      </c>
      <c r="J600" s="16" t="s">
        <v>345</v>
      </c>
      <c r="K600" s="16" t="n">
        <v>1</v>
      </c>
      <c r="L600" s="40" t="n">
        <f aca="false">(K600/$Q$7)*100</f>
        <v>0.0189753320683112</v>
      </c>
      <c r="M600" s="16" t="s">
        <v>201</v>
      </c>
      <c r="N600" s="16" t="n">
        <f aca="false">IFERROR(INDEX(BMWP_COL!$B$2:$B$103,MATCH($I600,BMWP_COL!$A$2:$A$103,0)),"No aplica")</f>
        <v>3</v>
      </c>
      <c r="O600" s="16"/>
    </row>
    <row r="601" customFormat="false" ht="15" hidden="false" customHeight="true" outlineLevel="0" collapsed="false">
      <c r="A601" s="39" t="n">
        <v>45780</v>
      </c>
      <c r="B601" s="16" t="s">
        <v>190</v>
      </c>
      <c r="C601" s="16" t="s">
        <v>15</v>
      </c>
      <c r="D601" s="16" t="s">
        <v>363</v>
      </c>
      <c r="E601" s="16" t="s">
        <v>364</v>
      </c>
      <c r="F601" s="16" t="s">
        <v>193</v>
      </c>
      <c r="G601" s="43" t="n">
        <v>1</v>
      </c>
      <c r="H601" s="16" t="s">
        <v>202</v>
      </c>
      <c r="I601" s="16" t="s">
        <v>217</v>
      </c>
      <c r="J601" s="16" t="s">
        <v>218</v>
      </c>
      <c r="K601" s="16" t="n">
        <v>2</v>
      </c>
      <c r="L601" s="40" t="n">
        <f aca="false">(K601/$Q$7)*100</f>
        <v>0.0379506641366224</v>
      </c>
      <c r="M601" s="16" t="s">
        <v>201</v>
      </c>
      <c r="N601" s="16" t="n">
        <f aca="false">IFERROR(INDEX(BMWP_COL!$B$2:$B$103,MATCH($I601,BMWP_COL!$A$2:$A$103,0)),"No aplica")</f>
        <v>4</v>
      </c>
      <c r="O601" s="16"/>
    </row>
    <row r="602" customFormat="false" ht="15" hidden="false" customHeight="true" outlineLevel="0" collapsed="false">
      <c r="A602" s="39" t="n">
        <v>45780</v>
      </c>
      <c r="B602" s="16" t="s">
        <v>190</v>
      </c>
      <c r="C602" s="16" t="s">
        <v>15</v>
      </c>
      <c r="D602" s="16" t="s">
        <v>363</v>
      </c>
      <c r="E602" s="16" t="s">
        <v>364</v>
      </c>
      <c r="F602" s="16" t="s">
        <v>193</v>
      </c>
      <c r="G602" s="43" t="n">
        <v>1</v>
      </c>
      <c r="H602" s="16" t="s">
        <v>202</v>
      </c>
      <c r="I602" s="16" t="s">
        <v>365</v>
      </c>
      <c r="J602" s="16" t="s">
        <v>366</v>
      </c>
      <c r="K602" s="16" t="n">
        <v>1</v>
      </c>
      <c r="L602" s="40" t="n">
        <f aca="false">(K602/$Q$7)*100</f>
        <v>0.0189753320683112</v>
      </c>
      <c r="M602" s="16" t="s">
        <v>290</v>
      </c>
      <c r="N602" s="16" t="n">
        <f aca="false">IFERROR(INDEX(BMWP_COL!$B$2:$B$103,MATCH($I602,BMWP_COL!$A$2:$A$103,0)),"No aplica")</f>
        <v>5</v>
      </c>
      <c r="O602" s="16"/>
    </row>
    <row r="603" customFormat="false" ht="15" hidden="false" customHeight="true" outlineLevel="0" collapsed="false">
      <c r="A603" s="39" t="n">
        <v>45780</v>
      </c>
      <c r="B603" s="16" t="s">
        <v>190</v>
      </c>
      <c r="C603" s="16" t="s">
        <v>15</v>
      </c>
      <c r="D603" s="16" t="s">
        <v>363</v>
      </c>
      <c r="E603" s="16" t="s">
        <v>364</v>
      </c>
      <c r="F603" s="16" t="s">
        <v>193</v>
      </c>
      <c r="G603" s="43" t="n">
        <v>1</v>
      </c>
      <c r="H603" s="16" t="s">
        <v>194</v>
      </c>
      <c r="I603" s="16" t="s">
        <v>223</v>
      </c>
      <c r="J603" s="16" t="s">
        <v>234</v>
      </c>
      <c r="K603" s="16" t="n">
        <v>1</v>
      </c>
      <c r="L603" s="40" t="n">
        <f aca="false">(K603/$Q$7)*100</f>
        <v>0.0189753320683112</v>
      </c>
      <c r="M603" s="16" t="s">
        <v>225</v>
      </c>
      <c r="N603" s="16" t="n">
        <f aca="false">IFERROR(INDEX(BMWP_COL!$B$2:$B$103,MATCH($I603,BMWP_COL!$A$2:$A$103,0)),"No aplica")</f>
        <v>7</v>
      </c>
      <c r="O603" s="16"/>
    </row>
    <row r="604" customFormat="false" ht="15" hidden="false" customHeight="true" outlineLevel="0" collapsed="false">
      <c r="A604" s="39" t="n">
        <v>45780</v>
      </c>
      <c r="B604" s="16" t="s">
        <v>190</v>
      </c>
      <c r="C604" s="16" t="s">
        <v>15</v>
      </c>
      <c r="D604" s="16" t="s">
        <v>363</v>
      </c>
      <c r="E604" s="16" t="s">
        <v>364</v>
      </c>
      <c r="F604" s="16" t="s">
        <v>193</v>
      </c>
      <c r="G604" s="43" t="n">
        <v>1</v>
      </c>
      <c r="H604" s="16" t="s">
        <v>208</v>
      </c>
      <c r="I604" s="16" t="s">
        <v>209</v>
      </c>
      <c r="J604" s="16" t="s">
        <v>212</v>
      </c>
      <c r="K604" s="16" t="n">
        <v>8</v>
      </c>
      <c r="L604" s="40" t="n">
        <f aca="false">(K604/$Q$7)*100</f>
        <v>0.15180265654649</v>
      </c>
      <c r="M604" s="16" t="s">
        <v>197</v>
      </c>
      <c r="N604" s="16" t="n">
        <f aca="false">IFERROR(INDEX(BMWP_COL!$B$2:$B$103,MATCH($I604,BMWP_COL!$A$2:$A$103,0)),"No aplica")</f>
        <v>7</v>
      </c>
      <c r="O604" s="16"/>
    </row>
    <row r="605" customFormat="false" ht="15" hidden="false" customHeight="true" outlineLevel="0" collapsed="false">
      <c r="A605" s="39" t="n">
        <v>45780</v>
      </c>
      <c r="B605" s="16" t="s">
        <v>190</v>
      </c>
      <c r="C605" s="16" t="s">
        <v>15</v>
      </c>
      <c r="D605" s="16" t="s">
        <v>363</v>
      </c>
      <c r="E605" s="16" t="s">
        <v>364</v>
      </c>
      <c r="F605" s="16" t="s">
        <v>193</v>
      </c>
      <c r="G605" s="43" t="n">
        <v>1</v>
      </c>
      <c r="H605" s="16" t="s">
        <v>208</v>
      </c>
      <c r="I605" s="16" t="s">
        <v>226</v>
      </c>
      <c r="J605" s="16" t="s">
        <v>297</v>
      </c>
      <c r="K605" s="16" t="n">
        <v>1</v>
      </c>
      <c r="L605" s="40" t="n">
        <f aca="false">(K605/$Q$7)*100</f>
        <v>0.0189753320683112</v>
      </c>
      <c r="M605" s="16" t="s">
        <v>197</v>
      </c>
      <c r="N605" s="16" t="n">
        <f aca="false">IFERROR(INDEX(BMWP_COL!$B$2:$B$103,MATCH($I605,BMWP_COL!$A$2:$A$103,0)),"No aplica")</f>
        <v>7</v>
      </c>
      <c r="O605" s="16"/>
    </row>
    <row r="606" customFormat="false" ht="15" hidden="false" customHeight="true" outlineLevel="0" collapsed="false">
      <c r="A606" s="39" t="n">
        <v>45780</v>
      </c>
      <c r="B606" s="16" t="s">
        <v>190</v>
      </c>
      <c r="C606" s="16" t="s">
        <v>15</v>
      </c>
      <c r="D606" s="16" t="s">
        <v>363</v>
      </c>
      <c r="E606" s="16" t="s">
        <v>364</v>
      </c>
      <c r="F606" s="16" t="s">
        <v>193</v>
      </c>
      <c r="G606" s="43" t="n">
        <v>1</v>
      </c>
      <c r="H606" s="16" t="s">
        <v>202</v>
      </c>
      <c r="I606" s="16" t="s">
        <v>203</v>
      </c>
      <c r="J606" s="16" t="s">
        <v>213</v>
      </c>
      <c r="K606" s="16" t="n">
        <v>1</v>
      </c>
      <c r="L606" s="40" t="n">
        <f aca="false">(K606/$Q$7)*100</f>
        <v>0.0189753320683112</v>
      </c>
      <c r="M606" s="16" t="s">
        <v>201</v>
      </c>
      <c r="N606" s="16" t="n">
        <f aca="false">IFERROR(INDEX(BMWP_COL!$B$2:$B$103,MATCH($I606,BMWP_COL!$A$2:$A$103,0)),"No aplica")</f>
        <v>2</v>
      </c>
      <c r="O606" s="16"/>
    </row>
    <row r="607" customFormat="false" ht="15" hidden="false" customHeight="true" outlineLevel="0" collapsed="false">
      <c r="A607" s="39" t="n">
        <v>45780</v>
      </c>
      <c r="B607" s="16" t="s">
        <v>190</v>
      </c>
      <c r="C607" s="16" t="s">
        <v>15</v>
      </c>
      <c r="D607" s="16" t="s">
        <v>363</v>
      </c>
      <c r="E607" s="16" t="s">
        <v>364</v>
      </c>
      <c r="F607" s="16" t="s">
        <v>255</v>
      </c>
      <c r="G607" s="43" t="n">
        <v>1</v>
      </c>
      <c r="H607" s="16" t="s">
        <v>219</v>
      </c>
      <c r="I607" s="16" t="s">
        <v>220</v>
      </c>
      <c r="J607" s="16" t="s">
        <v>278</v>
      </c>
      <c r="K607" s="16" t="n">
        <v>15</v>
      </c>
      <c r="L607" s="40" t="n">
        <f aca="false">(K607/$Q$7)*100</f>
        <v>0.284629981024668</v>
      </c>
      <c r="M607" s="16" t="s">
        <v>197</v>
      </c>
      <c r="N607" s="16" t="n">
        <f aca="false">IFERROR(INDEX(BMWP_COL!$B$2:$B$103,MATCH($I607,BMWP_COL!$A$2:$A$103,0)),"No aplica")</f>
        <v>6</v>
      </c>
      <c r="O607" s="16"/>
    </row>
    <row r="608" customFormat="false" ht="15" hidden="false" customHeight="true" outlineLevel="0" collapsed="false">
      <c r="A608" s="39" t="n">
        <v>45780</v>
      </c>
      <c r="B608" s="16" t="s">
        <v>190</v>
      </c>
      <c r="C608" s="16" t="s">
        <v>15</v>
      </c>
      <c r="D608" s="16" t="s">
        <v>363</v>
      </c>
      <c r="E608" s="16" t="s">
        <v>364</v>
      </c>
      <c r="F608" s="16" t="s">
        <v>255</v>
      </c>
      <c r="G608" s="43" t="n">
        <v>1</v>
      </c>
      <c r="H608" s="16" t="s">
        <v>198</v>
      </c>
      <c r="I608" s="16" t="s">
        <v>199</v>
      </c>
      <c r="J608" s="16" t="s">
        <v>200</v>
      </c>
      <c r="K608" s="16" t="n">
        <v>16</v>
      </c>
      <c r="L608" s="40" t="n">
        <f aca="false">(K608/$Q$7)*100</f>
        <v>0.303605313092979</v>
      </c>
      <c r="M608" s="16" t="s">
        <v>201</v>
      </c>
      <c r="N608" s="16" t="n">
        <f aca="false">IFERROR(INDEX(BMWP_COL!$B$2:$B$103,MATCH($I608,BMWP_COL!$A$2:$A$103,0)),"No aplica")</f>
        <v>7</v>
      </c>
      <c r="O608" s="16"/>
    </row>
    <row r="609" customFormat="false" ht="15" hidden="false" customHeight="true" outlineLevel="0" collapsed="false">
      <c r="A609" s="39" t="n">
        <v>45780</v>
      </c>
      <c r="B609" s="16" t="s">
        <v>190</v>
      </c>
      <c r="C609" s="16" t="s">
        <v>15</v>
      </c>
      <c r="D609" s="16" t="s">
        <v>363</v>
      </c>
      <c r="E609" s="16" t="s">
        <v>364</v>
      </c>
      <c r="F609" s="16" t="s">
        <v>255</v>
      </c>
      <c r="G609" s="43" t="n">
        <v>1</v>
      </c>
      <c r="H609" s="16" t="s">
        <v>202</v>
      </c>
      <c r="I609" s="16" t="s">
        <v>217</v>
      </c>
      <c r="J609" s="16" t="s">
        <v>330</v>
      </c>
      <c r="K609" s="16" t="n">
        <v>3</v>
      </c>
      <c r="L609" s="40" t="n">
        <f aca="false">(K609/$Q$7)*100</f>
        <v>0.0569259962049336</v>
      </c>
      <c r="M609" s="16" t="s">
        <v>201</v>
      </c>
      <c r="N609" s="16" t="n">
        <f aca="false">IFERROR(INDEX(BMWP_COL!$B$2:$B$103,MATCH($I609,BMWP_COL!$A$2:$A$103,0)),"No aplica")</f>
        <v>4</v>
      </c>
      <c r="O609" s="16"/>
    </row>
    <row r="610" customFormat="false" ht="15" hidden="false" customHeight="true" outlineLevel="0" collapsed="false">
      <c r="A610" s="39" t="n">
        <v>45780</v>
      </c>
      <c r="B610" s="16" t="s">
        <v>190</v>
      </c>
      <c r="C610" s="16" t="s">
        <v>15</v>
      </c>
      <c r="D610" s="16" t="s">
        <v>363</v>
      </c>
      <c r="E610" s="16" t="s">
        <v>364</v>
      </c>
      <c r="F610" s="16" t="s">
        <v>255</v>
      </c>
      <c r="G610" s="43" t="n">
        <v>1</v>
      </c>
      <c r="H610" s="16" t="s">
        <v>194</v>
      </c>
      <c r="I610" s="16" t="s">
        <v>195</v>
      </c>
      <c r="J610" s="16" t="s">
        <v>295</v>
      </c>
      <c r="K610" s="16" t="n">
        <v>1</v>
      </c>
      <c r="L610" s="40" t="n">
        <f aca="false">(K610/$Q$7)*100</f>
        <v>0.0189753320683112</v>
      </c>
      <c r="M610" s="16" t="s">
        <v>201</v>
      </c>
      <c r="N610" s="16" t="n">
        <f aca="false">IFERROR(INDEX(BMWP_COL!$B$2:$B$103,MATCH($I610,BMWP_COL!$A$2:$A$103,0)),"No aplica")</f>
        <v>8</v>
      </c>
      <c r="O610" s="16"/>
    </row>
    <row r="611" customFormat="false" ht="15" hidden="false" customHeight="true" outlineLevel="0" collapsed="false">
      <c r="A611" s="39" t="n">
        <v>45780</v>
      </c>
      <c r="B611" s="16" t="s">
        <v>190</v>
      </c>
      <c r="C611" s="16" t="s">
        <v>15</v>
      </c>
      <c r="D611" s="16" t="s">
        <v>363</v>
      </c>
      <c r="E611" s="16" t="s">
        <v>364</v>
      </c>
      <c r="F611" s="16" t="s">
        <v>255</v>
      </c>
      <c r="G611" s="43" t="n">
        <v>1</v>
      </c>
      <c r="H611" s="16" t="s">
        <v>194</v>
      </c>
      <c r="I611" s="16" t="s">
        <v>238</v>
      </c>
      <c r="J611" s="16" t="s">
        <v>239</v>
      </c>
      <c r="K611" s="16" t="n">
        <v>1</v>
      </c>
      <c r="L611" s="40" t="n">
        <f aca="false">(K611/$Q$7)*100</f>
        <v>0.0189753320683112</v>
      </c>
      <c r="M611" s="16" t="s">
        <v>225</v>
      </c>
      <c r="N611" s="16" t="n">
        <f aca="false">IFERROR(INDEX(BMWP_COL!$B$2:$B$103,MATCH($I611,BMWP_COL!$A$2:$A$103,0)),"No aplica")</f>
        <v>10</v>
      </c>
      <c r="O611" s="16"/>
    </row>
    <row r="612" customFormat="false" ht="15" hidden="false" customHeight="true" outlineLevel="0" collapsed="false">
      <c r="A612" s="39" t="n">
        <v>45780</v>
      </c>
      <c r="B612" s="16" t="s">
        <v>190</v>
      </c>
      <c r="C612" s="16" t="s">
        <v>15</v>
      </c>
      <c r="D612" s="16" t="s">
        <v>363</v>
      </c>
      <c r="E612" s="16" t="s">
        <v>364</v>
      </c>
      <c r="F612" s="16" t="s">
        <v>255</v>
      </c>
      <c r="G612" s="43" t="n">
        <v>1</v>
      </c>
      <c r="H612" s="16" t="s">
        <v>219</v>
      </c>
      <c r="I612" s="16" t="s">
        <v>220</v>
      </c>
      <c r="J612" s="16" t="s">
        <v>221</v>
      </c>
      <c r="K612" s="16" t="n">
        <v>14</v>
      </c>
      <c r="L612" s="40" t="n">
        <f aca="false">(K612/$Q$7)*100</f>
        <v>0.265654648956357</v>
      </c>
      <c r="M612" s="16" t="s">
        <v>197</v>
      </c>
      <c r="N612" s="16" t="n">
        <f aca="false">IFERROR(INDEX(BMWP_COL!$B$2:$B$103,MATCH($I612,BMWP_COL!$A$2:$A$103,0)),"No aplica")</f>
        <v>6</v>
      </c>
      <c r="O612" s="16"/>
    </row>
    <row r="613" customFormat="false" ht="15" hidden="false" customHeight="true" outlineLevel="0" collapsed="false">
      <c r="A613" s="39" t="n">
        <v>45780</v>
      </c>
      <c r="B613" s="16" t="s">
        <v>190</v>
      </c>
      <c r="C613" s="16" t="s">
        <v>15</v>
      </c>
      <c r="D613" s="16" t="s">
        <v>363</v>
      </c>
      <c r="E613" s="16" t="s">
        <v>364</v>
      </c>
      <c r="F613" s="16" t="s">
        <v>255</v>
      </c>
      <c r="G613" s="43" t="n">
        <v>1</v>
      </c>
      <c r="H613" s="16" t="s">
        <v>202</v>
      </c>
      <c r="I613" s="16" t="s">
        <v>228</v>
      </c>
      <c r="J613" s="16" t="s">
        <v>229</v>
      </c>
      <c r="K613" s="16" t="n">
        <v>1</v>
      </c>
      <c r="L613" s="40" t="n">
        <f aca="false">(K613/$Q$7)*100</f>
        <v>0.0189753320683112</v>
      </c>
      <c r="M613" s="16" t="s">
        <v>230</v>
      </c>
      <c r="N613" s="16" t="n">
        <f aca="false">IFERROR(INDEX(BMWP_COL!$B$2:$B$103,MATCH($I613,BMWP_COL!$A$2:$A$103,0)),"No aplica")</f>
        <v>8</v>
      </c>
      <c r="O613" s="16"/>
    </row>
    <row r="614" customFormat="false" ht="15" hidden="false" customHeight="true" outlineLevel="0" collapsed="false">
      <c r="A614" s="39" t="n">
        <v>45780</v>
      </c>
      <c r="B614" s="16" t="s">
        <v>190</v>
      </c>
      <c r="C614" s="16" t="s">
        <v>15</v>
      </c>
      <c r="D614" s="16" t="s">
        <v>363</v>
      </c>
      <c r="E614" s="16" t="s">
        <v>364</v>
      </c>
      <c r="F614" s="16" t="s">
        <v>255</v>
      </c>
      <c r="G614" s="43" t="n">
        <v>1</v>
      </c>
      <c r="H614" s="16" t="s">
        <v>202</v>
      </c>
      <c r="I614" s="16" t="s">
        <v>203</v>
      </c>
      <c r="J614" s="41" t="s">
        <v>204</v>
      </c>
      <c r="K614" s="16" t="n">
        <v>13</v>
      </c>
      <c r="L614" s="40" t="n">
        <f aca="false">(K614/$Q$7)*100</f>
        <v>0.246679316888046</v>
      </c>
      <c r="M614" s="16" t="s">
        <v>197</v>
      </c>
      <c r="N614" s="16" t="n">
        <f aca="false">IFERROR(INDEX(BMWP_COL!$B$2:$B$103,MATCH($I614,BMWP_COL!$A$2:$A$103,0)),"No aplica")</f>
        <v>2</v>
      </c>
      <c r="O614" s="16"/>
    </row>
    <row r="615" customFormat="false" ht="15" hidden="false" customHeight="true" outlineLevel="0" collapsed="false">
      <c r="A615" s="39" t="n">
        <v>45780</v>
      </c>
      <c r="B615" s="16" t="s">
        <v>190</v>
      </c>
      <c r="C615" s="16" t="s">
        <v>15</v>
      </c>
      <c r="D615" s="16" t="s">
        <v>363</v>
      </c>
      <c r="E615" s="16" t="s">
        <v>364</v>
      </c>
      <c r="F615" s="16" t="s">
        <v>255</v>
      </c>
      <c r="G615" s="43" t="n">
        <v>1</v>
      </c>
      <c r="H615" s="16" t="s">
        <v>202</v>
      </c>
      <c r="I615" s="16" t="s">
        <v>302</v>
      </c>
      <c r="J615" s="16" t="s">
        <v>303</v>
      </c>
      <c r="K615" s="16" t="n">
        <v>13</v>
      </c>
      <c r="L615" s="40" t="n">
        <f aca="false">(K615/$Q$7)*100</f>
        <v>0.246679316888046</v>
      </c>
      <c r="M615" s="16" t="s">
        <v>201</v>
      </c>
      <c r="N615" s="16" t="n">
        <f aca="false">IFERROR(INDEX(BMWP_COL!$B$2:$B$103,MATCH($I615,BMWP_COL!$A$2:$A$103,0)),"No aplica")</f>
        <v>3</v>
      </c>
      <c r="O615" s="16"/>
    </row>
    <row r="616" customFormat="false" ht="15" hidden="false" customHeight="true" outlineLevel="0" collapsed="false">
      <c r="A616" s="39" t="n">
        <v>45780</v>
      </c>
      <c r="B616" s="16" t="s">
        <v>190</v>
      </c>
      <c r="C616" s="16" t="s">
        <v>15</v>
      </c>
      <c r="D616" s="16" t="s">
        <v>363</v>
      </c>
      <c r="E616" s="16" t="s">
        <v>364</v>
      </c>
      <c r="F616" s="16" t="s">
        <v>255</v>
      </c>
      <c r="G616" s="43" t="n">
        <v>1</v>
      </c>
      <c r="H616" s="16" t="s">
        <v>208</v>
      </c>
      <c r="I616" s="16" t="s">
        <v>209</v>
      </c>
      <c r="J616" s="16" t="s">
        <v>212</v>
      </c>
      <c r="K616" s="16" t="n">
        <v>8</v>
      </c>
      <c r="L616" s="40" t="n">
        <f aca="false">(K616/$Q$7)*100</f>
        <v>0.15180265654649</v>
      </c>
      <c r="M616" s="16" t="s">
        <v>197</v>
      </c>
      <c r="N616" s="16" t="n">
        <f aca="false">IFERROR(INDEX(BMWP_COL!$B$2:$B$103,MATCH($I616,BMWP_COL!$A$2:$A$103,0)),"No aplica")</f>
        <v>7</v>
      </c>
      <c r="O616" s="16"/>
    </row>
    <row r="617" customFormat="false" ht="15" hidden="false" customHeight="true" outlineLevel="0" collapsed="false">
      <c r="A617" s="39" t="n">
        <v>45780</v>
      </c>
      <c r="B617" s="16" t="s">
        <v>190</v>
      </c>
      <c r="C617" s="16" t="s">
        <v>15</v>
      </c>
      <c r="D617" s="16" t="s">
        <v>363</v>
      </c>
      <c r="E617" s="16" t="s">
        <v>364</v>
      </c>
      <c r="F617" s="16" t="s">
        <v>255</v>
      </c>
      <c r="G617" s="43" t="n">
        <v>1</v>
      </c>
      <c r="H617" s="16" t="s">
        <v>208</v>
      </c>
      <c r="I617" s="16" t="s">
        <v>209</v>
      </c>
      <c r="J617" s="16" t="s">
        <v>210</v>
      </c>
      <c r="K617" s="16" t="n">
        <v>14</v>
      </c>
      <c r="L617" s="40" t="n">
        <f aca="false">(K617/$Q$7)*100</f>
        <v>0.265654648956357</v>
      </c>
      <c r="M617" s="16" t="s">
        <v>211</v>
      </c>
      <c r="N617" s="16" t="n">
        <f aca="false">IFERROR(INDEX(BMWP_COL!$B$2:$B$103,MATCH($I617,BMWP_COL!$A$2:$A$103,0)),"No aplica")</f>
        <v>7</v>
      </c>
      <c r="O617" s="16"/>
    </row>
    <row r="618" customFormat="false" ht="15" hidden="false" customHeight="true" outlineLevel="0" collapsed="false">
      <c r="A618" s="39" t="n">
        <v>45780</v>
      </c>
      <c r="B618" s="16" t="s">
        <v>190</v>
      </c>
      <c r="C618" s="16" t="s">
        <v>15</v>
      </c>
      <c r="D618" s="16" t="s">
        <v>363</v>
      </c>
      <c r="E618" s="16" t="s">
        <v>364</v>
      </c>
      <c r="F618" s="16" t="s">
        <v>255</v>
      </c>
      <c r="G618" s="43" t="n">
        <v>1</v>
      </c>
      <c r="H618" s="16" t="s">
        <v>249</v>
      </c>
      <c r="I618" s="16" t="s">
        <v>250</v>
      </c>
      <c r="J618" s="16" t="s">
        <v>251</v>
      </c>
      <c r="K618" s="16" t="n">
        <v>1</v>
      </c>
      <c r="L618" s="40" t="n">
        <f aca="false">(K618/$Q$7)*100</f>
        <v>0.0189753320683112</v>
      </c>
      <c r="M618" s="16" t="s">
        <v>201</v>
      </c>
      <c r="N618" s="16" t="n">
        <f aca="false">IFERROR(INDEX(BMWP_COL!$B$2:$B$103,MATCH($I618,BMWP_COL!$A$2:$A$103,0)),"No aplica")</f>
        <v>10</v>
      </c>
      <c r="O618" s="16"/>
    </row>
    <row r="619" customFormat="false" ht="15" hidden="false" customHeight="true" outlineLevel="0" collapsed="false">
      <c r="A619" s="39" t="n">
        <v>45780</v>
      </c>
      <c r="B619" s="16" t="s">
        <v>190</v>
      </c>
      <c r="C619" s="16" t="s">
        <v>15</v>
      </c>
      <c r="D619" s="16" t="s">
        <v>363</v>
      </c>
      <c r="E619" s="16" t="s">
        <v>364</v>
      </c>
      <c r="F619" s="16" t="s">
        <v>255</v>
      </c>
      <c r="G619" s="43" t="n">
        <v>1</v>
      </c>
      <c r="H619" s="16" t="s">
        <v>202</v>
      </c>
      <c r="I619" s="16" t="s">
        <v>203</v>
      </c>
      <c r="J619" s="16" t="s">
        <v>213</v>
      </c>
      <c r="K619" s="16" t="n">
        <v>4</v>
      </c>
      <c r="L619" s="40" t="n">
        <f aca="false">(K619/$Q$7)*100</f>
        <v>0.0759013282732448</v>
      </c>
      <c r="M619" s="16" t="s">
        <v>201</v>
      </c>
      <c r="N619" s="16" t="n">
        <f aca="false">IFERROR(INDEX(BMWP_COL!$B$2:$B$103,MATCH($I619,BMWP_COL!$A$2:$A$103,0)),"No aplica")</f>
        <v>2</v>
      </c>
      <c r="O619" s="16"/>
    </row>
    <row r="620" customFormat="false" ht="15" hidden="false" customHeight="true" outlineLevel="0" collapsed="false">
      <c r="A620" s="39" t="n">
        <v>45780</v>
      </c>
      <c r="B620" s="16" t="s">
        <v>190</v>
      </c>
      <c r="C620" s="16" t="s">
        <v>15</v>
      </c>
      <c r="D620" s="16" t="s">
        <v>363</v>
      </c>
      <c r="E620" s="16" t="s">
        <v>364</v>
      </c>
      <c r="F620" s="16" t="s">
        <v>255</v>
      </c>
      <c r="G620" s="43" t="n">
        <v>1</v>
      </c>
      <c r="H620" s="16" t="s">
        <v>194</v>
      </c>
      <c r="I620" s="16" t="s">
        <v>223</v>
      </c>
      <c r="J620" s="16" t="s">
        <v>224</v>
      </c>
      <c r="K620" s="16" t="n">
        <v>1</v>
      </c>
      <c r="L620" s="40" t="n">
        <f aca="false">(K620/$Q$7)*100</f>
        <v>0.0189753320683112</v>
      </c>
      <c r="M620" s="16" t="s">
        <v>225</v>
      </c>
      <c r="N620" s="16" t="n">
        <f aca="false">IFERROR(INDEX(BMWP_COL!$B$2:$B$103,MATCH($I620,BMWP_COL!$A$2:$A$103,0)),"No aplica")</f>
        <v>7</v>
      </c>
      <c r="O620" s="16"/>
    </row>
    <row r="621" customFormat="false" ht="15" hidden="false" customHeight="true" outlineLevel="0" collapsed="false">
      <c r="A621" s="39" t="n">
        <v>45780</v>
      </c>
      <c r="B621" s="16" t="s">
        <v>190</v>
      </c>
      <c r="C621" s="16" t="s">
        <v>15</v>
      </c>
      <c r="D621" s="16" t="s">
        <v>363</v>
      </c>
      <c r="E621" s="16" t="s">
        <v>364</v>
      </c>
      <c r="F621" s="16" t="s">
        <v>359</v>
      </c>
      <c r="G621" s="16" t="n">
        <v>1</v>
      </c>
      <c r="H621" s="16" t="s">
        <v>194</v>
      </c>
      <c r="I621" s="16" t="s">
        <v>238</v>
      </c>
      <c r="J621" s="16" t="s">
        <v>239</v>
      </c>
      <c r="K621" s="16" t="n">
        <v>2</v>
      </c>
      <c r="L621" s="40" t="n">
        <f aca="false">(K621/$Q$7)*100</f>
        <v>0.0379506641366224</v>
      </c>
      <c r="M621" s="16" t="s">
        <v>225</v>
      </c>
      <c r="N621" s="16" t="n">
        <f aca="false">IFERROR(INDEX(BMWP_COL!$B$2:$B$103,MATCH($I621,BMWP_COL!$A$2:$A$103,0)),"No aplica")</f>
        <v>10</v>
      </c>
      <c r="O621" s="16"/>
    </row>
    <row r="622" customFormat="false" ht="15" hidden="false" customHeight="true" outlineLevel="0" collapsed="false">
      <c r="A622" s="39" t="n">
        <v>45780</v>
      </c>
      <c r="B622" s="16" t="s">
        <v>190</v>
      </c>
      <c r="C622" s="16" t="s">
        <v>15</v>
      </c>
      <c r="D622" s="16" t="s">
        <v>363</v>
      </c>
      <c r="E622" s="16" t="s">
        <v>364</v>
      </c>
      <c r="F622" s="16" t="s">
        <v>359</v>
      </c>
      <c r="G622" s="16" t="n">
        <v>1</v>
      </c>
      <c r="H622" s="16" t="s">
        <v>219</v>
      </c>
      <c r="I622" s="16" t="s">
        <v>220</v>
      </c>
      <c r="J622" s="16" t="s">
        <v>278</v>
      </c>
      <c r="K622" s="16" t="n">
        <v>296</v>
      </c>
      <c r="L622" s="40" t="n">
        <f aca="false">(K622/$Q$7)*100</f>
        <v>5.61669829222011</v>
      </c>
      <c r="M622" s="16" t="s">
        <v>197</v>
      </c>
      <c r="N622" s="16" t="n">
        <f aca="false">IFERROR(INDEX(BMWP_COL!$B$2:$B$103,MATCH($I622,BMWP_COL!$A$2:$A$103,0)),"No aplica")</f>
        <v>6</v>
      </c>
      <c r="O622" s="16"/>
    </row>
    <row r="623" customFormat="false" ht="15" hidden="false" customHeight="true" outlineLevel="0" collapsed="false">
      <c r="A623" s="39" t="n">
        <v>45780</v>
      </c>
      <c r="B623" s="16" t="s">
        <v>190</v>
      </c>
      <c r="C623" s="16" t="s">
        <v>15</v>
      </c>
      <c r="D623" s="16" t="s">
        <v>363</v>
      </c>
      <c r="E623" s="16" t="s">
        <v>364</v>
      </c>
      <c r="F623" s="16" t="s">
        <v>359</v>
      </c>
      <c r="G623" s="16" t="n">
        <v>1</v>
      </c>
      <c r="H623" s="16" t="s">
        <v>198</v>
      </c>
      <c r="I623" s="16" t="s">
        <v>205</v>
      </c>
      <c r="J623" s="16" t="s">
        <v>207</v>
      </c>
      <c r="K623" s="16" t="n">
        <v>1</v>
      </c>
      <c r="L623" s="40" t="n">
        <f aca="false">(K623/$Q$7)*100</f>
        <v>0.0189753320683112</v>
      </c>
      <c r="M623" s="16" t="s">
        <v>201</v>
      </c>
      <c r="N623" s="16" t="n">
        <f aca="false">IFERROR(INDEX(BMWP_COL!$B$2:$B$103,MATCH($I623,BMWP_COL!$A$2:$A$103,0)),"No aplica")</f>
        <v>8</v>
      </c>
      <c r="O623" s="16"/>
    </row>
    <row r="624" customFormat="false" ht="15" hidden="false" customHeight="true" outlineLevel="0" collapsed="false">
      <c r="A624" s="39" t="n">
        <v>45780</v>
      </c>
      <c r="B624" s="16" t="s">
        <v>190</v>
      </c>
      <c r="C624" s="16" t="s">
        <v>15</v>
      </c>
      <c r="D624" s="16" t="s">
        <v>363</v>
      </c>
      <c r="E624" s="16" t="s">
        <v>364</v>
      </c>
      <c r="F624" s="16" t="s">
        <v>359</v>
      </c>
      <c r="G624" s="16" t="n">
        <v>1</v>
      </c>
      <c r="H624" s="16" t="s">
        <v>194</v>
      </c>
      <c r="I624" s="16" t="s">
        <v>223</v>
      </c>
      <c r="J624" s="16" t="s">
        <v>224</v>
      </c>
      <c r="K624" s="16" t="n">
        <v>1</v>
      </c>
      <c r="L624" s="40" t="n">
        <f aca="false">(K624/$Q$7)*100</f>
        <v>0.0189753320683112</v>
      </c>
      <c r="M624" s="16" t="s">
        <v>225</v>
      </c>
      <c r="N624" s="16" t="n">
        <f aca="false">IFERROR(INDEX(BMWP_COL!$B$2:$B$103,MATCH($I624,BMWP_COL!$A$2:$A$103,0)),"No aplica")</f>
        <v>7</v>
      </c>
      <c r="O624" s="16"/>
    </row>
    <row r="625" customFormat="false" ht="15" hidden="false" customHeight="true" outlineLevel="0" collapsed="false">
      <c r="A625" s="39" t="n">
        <v>45780</v>
      </c>
      <c r="B625" s="16" t="s">
        <v>190</v>
      </c>
      <c r="C625" s="16" t="s">
        <v>15</v>
      </c>
      <c r="D625" s="16" t="s">
        <v>363</v>
      </c>
      <c r="E625" s="16" t="s">
        <v>364</v>
      </c>
      <c r="F625" s="16" t="s">
        <v>359</v>
      </c>
      <c r="G625" s="16" t="n">
        <v>1</v>
      </c>
      <c r="H625" s="16" t="s">
        <v>198</v>
      </c>
      <c r="I625" s="16" t="s">
        <v>199</v>
      </c>
      <c r="J625" s="16" t="s">
        <v>200</v>
      </c>
      <c r="K625" s="16" t="n">
        <v>3</v>
      </c>
      <c r="L625" s="40" t="n">
        <f aca="false">(K625/$Q$7)*100</f>
        <v>0.0569259962049336</v>
      </c>
      <c r="M625" s="16" t="s">
        <v>201</v>
      </c>
      <c r="N625" s="16" t="n">
        <f aca="false">IFERROR(INDEX(BMWP_COL!$B$2:$B$103,MATCH($I625,BMWP_COL!$A$2:$A$103,0)),"No aplica")</f>
        <v>7</v>
      </c>
      <c r="O625" s="16"/>
    </row>
    <row r="626" customFormat="false" ht="15" hidden="false" customHeight="true" outlineLevel="0" collapsed="false">
      <c r="A626" s="39" t="n">
        <v>45780</v>
      </c>
      <c r="B626" s="16" t="s">
        <v>190</v>
      </c>
      <c r="C626" s="16" t="s">
        <v>15</v>
      </c>
      <c r="D626" s="16" t="s">
        <v>363</v>
      </c>
      <c r="E626" s="16" t="s">
        <v>364</v>
      </c>
      <c r="F626" s="16" t="s">
        <v>359</v>
      </c>
      <c r="G626" s="16" t="n">
        <v>1</v>
      </c>
      <c r="H626" s="16" t="s">
        <v>198</v>
      </c>
      <c r="I626" s="16" t="s">
        <v>205</v>
      </c>
      <c r="J626" s="16" t="s">
        <v>206</v>
      </c>
      <c r="K626" s="16" t="n">
        <v>1</v>
      </c>
      <c r="L626" s="40" t="n">
        <f aca="false">(K626/$Q$7)*100</f>
        <v>0.0189753320683112</v>
      </c>
      <c r="M626" s="16" t="s">
        <v>201</v>
      </c>
      <c r="N626" s="16" t="n">
        <f aca="false">IFERROR(INDEX(BMWP_COL!$B$2:$B$103,MATCH($I626,BMWP_COL!$A$2:$A$103,0)),"No aplica")</f>
        <v>8</v>
      </c>
      <c r="O626" s="16"/>
    </row>
    <row r="627" customFormat="false" ht="15" hidden="false" customHeight="true" outlineLevel="0" collapsed="false">
      <c r="A627" s="39" t="n">
        <v>45780</v>
      </c>
      <c r="B627" s="16" t="s">
        <v>190</v>
      </c>
      <c r="C627" s="16" t="s">
        <v>15</v>
      </c>
      <c r="D627" s="16" t="s">
        <v>363</v>
      </c>
      <c r="E627" s="16" t="s">
        <v>364</v>
      </c>
      <c r="F627" s="16" t="s">
        <v>359</v>
      </c>
      <c r="G627" s="16" t="n">
        <v>1</v>
      </c>
      <c r="H627" s="16" t="s">
        <v>208</v>
      </c>
      <c r="I627" s="16" t="s">
        <v>209</v>
      </c>
      <c r="J627" s="16" t="s">
        <v>210</v>
      </c>
      <c r="K627" s="16" t="n">
        <v>1</v>
      </c>
      <c r="L627" s="40" t="n">
        <f aca="false">(K627/$Q$7)*100</f>
        <v>0.0189753320683112</v>
      </c>
      <c r="M627" s="16" t="s">
        <v>211</v>
      </c>
      <c r="N627" s="16" t="n">
        <f aca="false">IFERROR(INDEX(BMWP_COL!$B$2:$B$103,MATCH($I627,BMWP_COL!$A$2:$A$103,0)),"No aplica")</f>
        <v>7</v>
      </c>
      <c r="O627" s="16" t="s">
        <v>367</v>
      </c>
    </row>
    <row r="628" customFormat="false" ht="15" hidden="false" customHeight="true" outlineLevel="0" collapsed="false">
      <c r="A628" s="39" t="n">
        <v>45780</v>
      </c>
      <c r="B628" s="16" t="s">
        <v>190</v>
      </c>
      <c r="C628" s="16" t="s">
        <v>15</v>
      </c>
      <c r="D628" s="16" t="s">
        <v>363</v>
      </c>
      <c r="E628" s="16" t="s">
        <v>364</v>
      </c>
      <c r="F628" s="16" t="s">
        <v>359</v>
      </c>
      <c r="G628" s="16" t="n">
        <v>1</v>
      </c>
      <c r="H628" s="16" t="s">
        <v>272</v>
      </c>
      <c r="I628" s="16" t="s">
        <v>273</v>
      </c>
      <c r="J628" s="16" t="s">
        <v>274</v>
      </c>
      <c r="K628" s="16" t="n">
        <v>1</v>
      </c>
      <c r="L628" s="40" t="n">
        <f aca="false">(K628/$Q$7)*100</f>
        <v>0.0189753320683112</v>
      </c>
      <c r="M628" s="16" t="s">
        <v>201</v>
      </c>
      <c r="N628" s="16" t="n">
        <f aca="false">IFERROR(INDEX(BMWP_COL!$B$2:$B$103,MATCH($I628,BMWP_COL!$A$2:$A$103,0)),"No aplica")</f>
        <v>6</v>
      </c>
      <c r="O628" s="16"/>
    </row>
  </sheetData>
  <autoFilter ref="A6:O628"/>
  <mergeCells count="1">
    <mergeCell ref="D5:E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2:P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11.4453125" defaultRowHeight="14.25" zeroHeight="false" outlineLevelRow="0" outlineLevelCol="0"/>
  <cols>
    <col collapsed="false" customWidth="true" hidden="false" outlineLevel="0" max="2" min="2" style="1" width="17.88"/>
    <col collapsed="false" customWidth="true" hidden="false" outlineLevel="0" max="3" min="3" style="1" width="14.56"/>
    <col collapsed="false" customWidth="true" hidden="false" outlineLevel="0" max="4" min="4" style="1" width="10.2"/>
    <col collapsed="false" customWidth="true" hidden="false" outlineLevel="0" max="5" min="5" style="1" width="18"/>
    <col collapsed="false" customWidth="true" hidden="false" outlineLevel="0" max="6" min="6" style="1" width="16.77"/>
    <col collapsed="false" customWidth="true" hidden="false" outlineLevel="0" max="7" min="7" style="1" width="14.44"/>
    <col collapsed="false" customWidth="true" hidden="false" outlineLevel="0" max="8" min="8" style="1" width="29.33"/>
    <col collapsed="false" customWidth="true" hidden="false" outlineLevel="0" max="9" min="9" style="1" width="13.34"/>
    <col collapsed="false" customWidth="true" hidden="true" outlineLevel="0" max="10" min="10" style="1" width="22.88"/>
    <col collapsed="false" customWidth="true" hidden="false" outlineLevel="0" max="11" min="11" style="1" width="20.33"/>
    <col collapsed="false" customWidth="true" hidden="false" outlineLevel="0" max="12" min="12" style="1" width="16.33"/>
    <col collapsed="false" customWidth="true" hidden="true" outlineLevel="0" max="13" min="13" style="1" width="17.44"/>
    <col collapsed="false" customWidth="true" hidden="false" outlineLevel="0" max="14" min="14" style="1" width="14.11"/>
    <col collapsed="false" customWidth="true" hidden="false" outlineLevel="0" max="15" min="15" style="1" width="19.11"/>
    <col collapsed="false" customWidth="true" hidden="false" outlineLevel="0" max="16" min="16" style="1" width="75.44"/>
  </cols>
  <sheetData>
    <row r="2" customFormat="false" ht="14.25" hidden="false" customHeight="true" outlineLevel="0" collapsed="false">
      <c r="A2" s="44" t="s">
        <v>368</v>
      </c>
      <c r="B2" s="44" t="s">
        <v>369</v>
      </c>
      <c r="C2" s="44" t="s">
        <v>370</v>
      </c>
      <c r="D2" s="44" t="s">
        <v>152</v>
      </c>
      <c r="E2" s="44" t="s">
        <v>156</v>
      </c>
      <c r="F2" s="44" t="s">
        <v>371</v>
      </c>
      <c r="G2" s="44" t="s">
        <v>138</v>
      </c>
      <c r="H2" s="44" t="s">
        <v>128</v>
      </c>
      <c r="I2" s="44" t="s">
        <v>185</v>
      </c>
      <c r="J2" s="44" t="s">
        <v>372</v>
      </c>
      <c r="K2" s="44" t="s">
        <v>373</v>
      </c>
      <c r="L2" s="44" t="s">
        <v>374</v>
      </c>
      <c r="M2" s="44" t="s">
        <v>375</v>
      </c>
      <c r="N2" s="44" t="s">
        <v>171</v>
      </c>
      <c r="O2" s="44" t="s">
        <v>376</v>
      </c>
      <c r="P2" s="44" t="s">
        <v>377</v>
      </c>
    </row>
    <row r="3" customFormat="false" ht="14.25" hidden="false" customHeight="true" outlineLevel="0" collapsed="false">
      <c r="A3" s="45" t="n">
        <v>45625</v>
      </c>
      <c r="B3" s="41" t="s">
        <v>15</v>
      </c>
      <c r="C3" s="41" t="s">
        <v>190</v>
      </c>
      <c r="D3" s="41" t="s">
        <v>378</v>
      </c>
      <c r="E3" s="41" t="s">
        <v>379</v>
      </c>
      <c r="F3" s="46" t="s">
        <v>380</v>
      </c>
      <c r="G3" s="47" t="s">
        <v>381</v>
      </c>
      <c r="H3" s="47" t="s">
        <v>382</v>
      </c>
      <c r="I3" s="41" t="n">
        <v>30</v>
      </c>
      <c r="J3" s="41" t="s">
        <v>383</v>
      </c>
      <c r="K3" s="41" t="s">
        <v>130</v>
      </c>
      <c r="L3" s="41" t="s">
        <v>157</v>
      </c>
      <c r="M3" s="41" t="s">
        <v>384</v>
      </c>
      <c r="N3" s="16" t="s">
        <v>385</v>
      </c>
      <c r="O3" s="16" t="s">
        <v>154</v>
      </c>
      <c r="P3" s="41" t="s">
        <v>386</v>
      </c>
    </row>
    <row r="4" customFormat="false" ht="14.25" hidden="false" customHeight="true" outlineLevel="0" collapsed="false">
      <c r="A4" s="45" t="n">
        <v>45625</v>
      </c>
      <c r="B4" s="41" t="s">
        <v>15</v>
      </c>
      <c r="C4" s="41" t="s">
        <v>190</v>
      </c>
      <c r="D4" s="41" t="s">
        <v>378</v>
      </c>
      <c r="E4" s="41" t="s">
        <v>387</v>
      </c>
      <c r="F4" s="41" t="s">
        <v>388</v>
      </c>
      <c r="G4" s="47" t="s">
        <v>389</v>
      </c>
      <c r="H4" s="47" t="s">
        <v>390</v>
      </c>
      <c r="I4" s="41" t="n">
        <v>70</v>
      </c>
      <c r="J4" s="41" t="s">
        <v>391</v>
      </c>
      <c r="K4" s="41" t="s">
        <v>114</v>
      </c>
      <c r="L4" s="41" t="s">
        <v>392</v>
      </c>
      <c r="M4" s="41" t="s">
        <v>393</v>
      </c>
      <c r="N4" s="16" t="s">
        <v>385</v>
      </c>
      <c r="O4" s="16" t="s">
        <v>143</v>
      </c>
      <c r="P4" s="41" t="s">
        <v>394</v>
      </c>
    </row>
    <row r="5" customFormat="false" ht="14.25" hidden="false" customHeight="true" outlineLevel="0" collapsed="false">
      <c r="A5" s="45" t="n">
        <v>45625</v>
      </c>
      <c r="B5" s="41" t="s">
        <v>15</v>
      </c>
      <c r="C5" s="41" t="s">
        <v>190</v>
      </c>
      <c r="D5" s="41" t="s">
        <v>378</v>
      </c>
      <c r="E5" s="41" t="s">
        <v>395</v>
      </c>
      <c r="F5" s="41" t="s">
        <v>396</v>
      </c>
      <c r="G5" s="47" t="s">
        <v>397</v>
      </c>
      <c r="H5" s="47" t="s">
        <v>398</v>
      </c>
      <c r="I5" s="41" t="n">
        <v>20</v>
      </c>
      <c r="J5" s="41" t="s">
        <v>383</v>
      </c>
      <c r="K5" s="41" t="s">
        <v>114</v>
      </c>
      <c r="L5" s="41" t="s">
        <v>157</v>
      </c>
      <c r="M5" s="41" t="s">
        <v>384</v>
      </c>
      <c r="N5" s="16" t="s">
        <v>385</v>
      </c>
      <c r="O5" s="16" t="s">
        <v>154</v>
      </c>
      <c r="P5" s="41" t="s">
        <v>399</v>
      </c>
    </row>
    <row r="6" customFormat="false" ht="14.25" hidden="false" customHeight="true" outlineLevel="0" collapsed="false">
      <c r="A6" s="45" t="n">
        <v>45625</v>
      </c>
      <c r="B6" s="41" t="s">
        <v>20</v>
      </c>
      <c r="C6" s="41" t="s">
        <v>283</v>
      </c>
      <c r="D6" s="41" t="s">
        <v>378</v>
      </c>
      <c r="E6" s="41" t="s">
        <v>387</v>
      </c>
      <c r="F6" s="41" t="s">
        <v>388</v>
      </c>
      <c r="G6" s="47" t="s">
        <v>389</v>
      </c>
      <c r="H6" s="47" t="s">
        <v>390</v>
      </c>
      <c r="I6" s="41" t="n">
        <v>30</v>
      </c>
      <c r="J6" s="41" t="s">
        <v>391</v>
      </c>
      <c r="K6" s="41" t="s">
        <v>114</v>
      </c>
      <c r="L6" s="41" t="s">
        <v>392</v>
      </c>
      <c r="M6" s="41" t="s">
        <v>393</v>
      </c>
      <c r="N6" s="16" t="s">
        <v>385</v>
      </c>
      <c r="O6" s="16" t="s">
        <v>143</v>
      </c>
      <c r="P6" s="41" t="s">
        <v>394</v>
      </c>
    </row>
    <row r="7" customFormat="false" ht="14.25" hidden="false" customHeight="true" outlineLevel="0" collapsed="false">
      <c r="A7" s="45" t="n">
        <v>45638</v>
      </c>
      <c r="B7" s="41" t="s">
        <v>312</v>
      </c>
      <c r="C7" s="41" t="s">
        <v>311</v>
      </c>
      <c r="D7" s="41" t="s">
        <v>378</v>
      </c>
      <c r="E7" s="41" t="s">
        <v>379</v>
      </c>
      <c r="F7" s="46" t="s">
        <v>380</v>
      </c>
      <c r="G7" s="47" t="s">
        <v>381</v>
      </c>
      <c r="H7" s="47" t="s">
        <v>382</v>
      </c>
      <c r="I7" s="41" t="n">
        <v>9</v>
      </c>
      <c r="J7" s="41" t="s">
        <v>383</v>
      </c>
      <c r="K7" s="41" t="s">
        <v>130</v>
      </c>
      <c r="L7" s="41" t="s">
        <v>157</v>
      </c>
      <c r="M7" s="41" t="s">
        <v>384</v>
      </c>
      <c r="N7" s="16" t="s">
        <v>385</v>
      </c>
      <c r="O7" s="16" t="s">
        <v>154</v>
      </c>
      <c r="P7" s="41" t="s">
        <v>386</v>
      </c>
    </row>
    <row r="8" customFormat="false" ht="14.25" hidden="false" customHeight="true" outlineLevel="0" collapsed="false">
      <c r="A8" s="45" t="n">
        <v>45638</v>
      </c>
      <c r="B8" s="41" t="s">
        <v>312</v>
      </c>
      <c r="C8" s="41" t="s">
        <v>311</v>
      </c>
      <c r="D8" s="41" t="s">
        <v>378</v>
      </c>
      <c r="E8" s="41" t="s">
        <v>387</v>
      </c>
      <c r="F8" s="41" t="s">
        <v>388</v>
      </c>
      <c r="G8" s="47" t="s">
        <v>389</v>
      </c>
      <c r="H8" s="47" t="s">
        <v>390</v>
      </c>
      <c r="I8" s="41" t="n">
        <v>72</v>
      </c>
      <c r="J8" s="41" t="s">
        <v>391</v>
      </c>
      <c r="K8" s="41" t="s">
        <v>114</v>
      </c>
      <c r="L8" s="41" t="s">
        <v>392</v>
      </c>
      <c r="M8" s="41" t="s">
        <v>393</v>
      </c>
      <c r="N8" s="16" t="s">
        <v>385</v>
      </c>
      <c r="O8" s="16" t="s">
        <v>143</v>
      </c>
      <c r="P8" s="41" t="s">
        <v>394</v>
      </c>
    </row>
    <row r="9" customFormat="false" ht="14.25" hidden="false" customHeight="true" outlineLevel="0" collapsed="false">
      <c r="A9" s="45" t="n">
        <v>45638</v>
      </c>
      <c r="B9" s="41" t="s">
        <v>312</v>
      </c>
      <c r="C9" s="41" t="s">
        <v>311</v>
      </c>
      <c r="D9" s="41" t="s">
        <v>378</v>
      </c>
      <c r="E9" s="41" t="s">
        <v>400</v>
      </c>
      <c r="F9" s="41" t="s">
        <v>401</v>
      </c>
      <c r="G9" s="47" t="s">
        <v>402</v>
      </c>
      <c r="H9" s="47" t="s">
        <v>403</v>
      </c>
      <c r="I9" s="41" t="n">
        <v>6</v>
      </c>
      <c r="J9" s="41" t="s">
        <v>391</v>
      </c>
      <c r="K9" s="41" t="s">
        <v>130</v>
      </c>
      <c r="L9" s="41" t="s">
        <v>157</v>
      </c>
      <c r="M9" s="41" t="s">
        <v>404</v>
      </c>
      <c r="N9" s="16" t="s">
        <v>405</v>
      </c>
      <c r="O9" s="16" t="s">
        <v>154</v>
      </c>
      <c r="P9" s="41" t="s">
        <v>406</v>
      </c>
    </row>
    <row r="10" customFormat="false" ht="14.25" hidden="false" customHeight="true" outlineLevel="0" collapsed="false">
      <c r="A10" s="45" t="n">
        <v>45638</v>
      </c>
      <c r="B10" s="41" t="s">
        <v>312</v>
      </c>
      <c r="C10" s="41" t="s">
        <v>311</v>
      </c>
      <c r="D10" s="41" t="s">
        <v>378</v>
      </c>
      <c r="E10" s="41" t="s">
        <v>407</v>
      </c>
      <c r="F10" s="41" t="s">
        <v>408</v>
      </c>
      <c r="G10" s="47" t="s">
        <v>409</v>
      </c>
      <c r="H10" s="47" t="s">
        <v>410</v>
      </c>
      <c r="I10" s="41" t="n">
        <v>15</v>
      </c>
      <c r="J10" s="41" t="s">
        <v>391</v>
      </c>
      <c r="K10" s="41" t="s">
        <v>130</v>
      </c>
      <c r="L10" s="41" t="s">
        <v>157</v>
      </c>
      <c r="M10" s="41" t="s">
        <v>411</v>
      </c>
      <c r="N10" s="16" t="s">
        <v>405</v>
      </c>
      <c r="O10" s="16" t="s">
        <v>143</v>
      </c>
      <c r="P10" s="41" t="s">
        <v>412</v>
      </c>
    </row>
    <row r="11" customFormat="false" ht="14.25" hidden="false" customHeight="true" outlineLevel="0" collapsed="false">
      <c r="A11" s="45" t="n">
        <v>45638</v>
      </c>
      <c r="B11" s="41" t="s">
        <v>312</v>
      </c>
      <c r="C11" s="41" t="s">
        <v>311</v>
      </c>
      <c r="D11" s="41" t="s">
        <v>378</v>
      </c>
      <c r="E11" s="41" t="s">
        <v>395</v>
      </c>
      <c r="F11" s="41" t="s">
        <v>396</v>
      </c>
      <c r="G11" s="47" t="s">
        <v>397</v>
      </c>
      <c r="H11" s="47" t="s">
        <v>398</v>
      </c>
      <c r="I11" s="41" t="n">
        <v>30</v>
      </c>
      <c r="J11" s="41" t="s">
        <v>383</v>
      </c>
      <c r="K11" s="41" t="s">
        <v>114</v>
      </c>
      <c r="L11" s="41" t="s">
        <v>157</v>
      </c>
      <c r="M11" s="41" t="s">
        <v>384</v>
      </c>
      <c r="N11" s="16" t="s">
        <v>385</v>
      </c>
      <c r="O11" s="16" t="s">
        <v>154</v>
      </c>
      <c r="P11" s="41" t="s">
        <v>399</v>
      </c>
    </row>
    <row r="12" customFormat="false" ht="14.25" hidden="false" customHeight="true" outlineLevel="0" collapsed="false">
      <c r="A12" s="45" t="n">
        <v>45638</v>
      </c>
      <c r="B12" s="41" t="s">
        <v>312</v>
      </c>
      <c r="C12" s="41" t="s">
        <v>311</v>
      </c>
      <c r="D12" s="41" t="s">
        <v>378</v>
      </c>
      <c r="E12" s="41" t="s">
        <v>387</v>
      </c>
      <c r="F12" s="41" t="s">
        <v>388</v>
      </c>
      <c r="G12" s="47" t="s">
        <v>389</v>
      </c>
      <c r="H12" s="47" t="s">
        <v>390</v>
      </c>
      <c r="I12" s="41" t="n">
        <v>60</v>
      </c>
      <c r="J12" s="41" t="s">
        <v>391</v>
      </c>
      <c r="K12" s="41" t="s">
        <v>114</v>
      </c>
      <c r="L12" s="41" t="s">
        <v>392</v>
      </c>
      <c r="M12" s="41" t="s">
        <v>393</v>
      </c>
      <c r="N12" s="16" t="s">
        <v>385</v>
      </c>
      <c r="O12" s="16" t="s">
        <v>143</v>
      </c>
      <c r="P12" s="41" t="s">
        <v>394</v>
      </c>
    </row>
    <row r="13" customFormat="false" ht="14.25" hidden="false" customHeight="true" outlineLevel="0" collapsed="false">
      <c r="A13" s="45" t="n">
        <v>45638</v>
      </c>
      <c r="B13" s="41" t="s">
        <v>312</v>
      </c>
      <c r="C13" s="41" t="s">
        <v>311</v>
      </c>
      <c r="D13" s="41" t="s">
        <v>378</v>
      </c>
      <c r="E13" s="41" t="s">
        <v>387</v>
      </c>
      <c r="F13" s="41" t="s">
        <v>413</v>
      </c>
      <c r="G13" s="47" t="s">
        <v>414</v>
      </c>
      <c r="H13" s="47" t="s">
        <v>415</v>
      </c>
      <c r="I13" s="41" t="n">
        <v>6</v>
      </c>
      <c r="J13" s="41" t="s">
        <v>391</v>
      </c>
      <c r="K13" s="41" t="s">
        <v>114</v>
      </c>
      <c r="L13" s="41" t="s">
        <v>392</v>
      </c>
      <c r="M13" s="41" t="s">
        <v>393</v>
      </c>
      <c r="N13" s="16" t="s">
        <v>416</v>
      </c>
      <c r="O13" s="16" t="s">
        <v>417</v>
      </c>
      <c r="P13" s="41" t="s">
        <v>418</v>
      </c>
    </row>
    <row r="14" customFormat="false" ht="14.25" hidden="false" customHeight="true" outlineLevel="0" collapsed="false">
      <c r="A14" s="45" t="n">
        <v>45638</v>
      </c>
      <c r="B14" s="41" t="s">
        <v>312</v>
      </c>
      <c r="C14" s="41" t="s">
        <v>311</v>
      </c>
      <c r="D14" s="41" t="s">
        <v>378</v>
      </c>
      <c r="E14" s="41" t="s">
        <v>387</v>
      </c>
      <c r="F14" s="41" t="s">
        <v>413</v>
      </c>
      <c r="G14" s="47" t="s">
        <v>419</v>
      </c>
      <c r="H14" s="47" t="s">
        <v>420</v>
      </c>
      <c r="I14" s="41" t="n">
        <v>3</v>
      </c>
      <c r="J14" s="41" t="s">
        <v>391</v>
      </c>
      <c r="K14" s="41" t="s">
        <v>114</v>
      </c>
      <c r="L14" s="41" t="s">
        <v>157</v>
      </c>
      <c r="M14" s="41" t="s">
        <v>384</v>
      </c>
      <c r="N14" s="16" t="s">
        <v>405</v>
      </c>
      <c r="O14" s="16" t="s">
        <v>154</v>
      </c>
      <c r="P14" s="41" t="s">
        <v>421</v>
      </c>
    </row>
    <row r="15" customFormat="false" ht="14.25" hidden="false" customHeight="true" outlineLevel="0" collapsed="false">
      <c r="A15" s="45" t="n">
        <v>45638</v>
      </c>
      <c r="B15" s="41" t="s">
        <v>312</v>
      </c>
      <c r="C15" s="41" t="s">
        <v>311</v>
      </c>
      <c r="D15" s="41" t="s">
        <v>378</v>
      </c>
      <c r="E15" s="41" t="s">
        <v>395</v>
      </c>
      <c r="F15" s="41" t="s">
        <v>396</v>
      </c>
      <c r="G15" s="47" t="s">
        <v>397</v>
      </c>
      <c r="H15" s="47" t="s">
        <v>398</v>
      </c>
      <c r="I15" s="41" t="n">
        <v>20</v>
      </c>
      <c r="J15" s="41" t="s">
        <v>383</v>
      </c>
      <c r="K15" s="41" t="s">
        <v>114</v>
      </c>
      <c r="L15" s="41" t="s">
        <v>157</v>
      </c>
      <c r="M15" s="41" t="s">
        <v>384</v>
      </c>
      <c r="N15" s="16" t="s">
        <v>385</v>
      </c>
      <c r="O15" s="16" t="s">
        <v>154</v>
      </c>
      <c r="P15" s="41" t="s">
        <v>399</v>
      </c>
    </row>
    <row r="16" customFormat="false" ht="14.25" hidden="false" customHeight="true" outlineLevel="0" collapsed="false">
      <c r="A16" s="45" t="n">
        <v>45779</v>
      </c>
      <c r="B16" s="41" t="s">
        <v>20</v>
      </c>
      <c r="C16" s="41" t="s">
        <v>283</v>
      </c>
      <c r="D16" s="41" t="s">
        <v>378</v>
      </c>
      <c r="E16" s="41" t="s">
        <v>422</v>
      </c>
      <c r="F16" s="41" t="s">
        <v>422</v>
      </c>
      <c r="G16" s="41" t="s">
        <v>422</v>
      </c>
      <c r="H16" s="41" t="s">
        <v>422</v>
      </c>
      <c r="I16" s="41" t="s">
        <v>422</v>
      </c>
      <c r="J16" s="41" t="s">
        <v>422</v>
      </c>
      <c r="K16" s="41" t="s">
        <v>422</v>
      </c>
      <c r="L16" s="41" t="s">
        <v>422</v>
      </c>
      <c r="M16" s="41" t="s">
        <v>422</v>
      </c>
      <c r="N16" s="16" t="s">
        <v>422</v>
      </c>
      <c r="O16" s="16" t="s">
        <v>422</v>
      </c>
      <c r="P16" s="16" t="s">
        <v>422</v>
      </c>
    </row>
    <row r="17" customFormat="false" ht="14.25" hidden="false" customHeight="true" outlineLevel="0" collapsed="false">
      <c r="A17" s="45" t="n">
        <v>45780</v>
      </c>
      <c r="B17" s="41" t="s">
        <v>15</v>
      </c>
      <c r="C17" s="41" t="s">
        <v>190</v>
      </c>
      <c r="D17" s="41" t="s">
        <v>378</v>
      </c>
      <c r="E17" s="41" t="s">
        <v>379</v>
      </c>
      <c r="F17" s="46" t="s">
        <v>380</v>
      </c>
      <c r="G17" s="47" t="s">
        <v>381</v>
      </c>
      <c r="H17" s="47" t="s">
        <v>382</v>
      </c>
      <c r="I17" s="41" t="n">
        <v>56</v>
      </c>
      <c r="J17" s="41" t="s">
        <v>383</v>
      </c>
      <c r="K17" s="41" t="s">
        <v>130</v>
      </c>
      <c r="L17" s="41" t="s">
        <v>157</v>
      </c>
      <c r="M17" s="41" t="s">
        <v>384</v>
      </c>
      <c r="N17" s="16" t="s">
        <v>385</v>
      </c>
      <c r="O17" s="16" t="s">
        <v>154</v>
      </c>
      <c r="P17" s="41" t="s">
        <v>386</v>
      </c>
    </row>
    <row r="18" customFormat="false" ht="14.25" hidden="false" customHeight="true" outlineLevel="0" collapsed="false">
      <c r="A18" s="45" t="n">
        <v>45780</v>
      </c>
      <c r="B18" s="41" t="s">
        <v>15</v>
      </c>
      <c r="C18" s="41" t="s">
        <v>190</v>
      </c>
      <c r="D18" s="41" t="s">
        <v>378</v>
      </c>
      <c r="E18" s="41" t="s">
        <v>387</v>
      </c>
      <c r="F18" s="41" t="s">
        <v>388</v>
      </c>
      <c r="G18" s="47" t="s">
        <v>389</v>
      </c>
      <c r="H18" s="47" t="s">
        <v>390</v>
      </c>
      <c r="I18" s="41" t="n">
        <v>20</v>
      </c>
      <c r="J18" s="41" t="s">
        <v>391</v>
      </c>
      <c r="K18" s="41" t="s">
        <v>114</v>
      </c>
      <c r="L18" s="41" t="s">
        <v>392</v>
      </c>
      <c r="M18" s="41" t="s">
        <v>393</v>
      </c>
      <c r="N18" s="16" t="s">
        <v>385</v>
      </c>
      <c r="O18" s="16" t="s">
        <v>143</v>
      </c>
      <c r="P18" s="41" t="s">
        <v>394</v>
      </c>
    </row>
    <row r="19" customFormat="false" ht="14.25" hidden="false" customHeight="true" outlineLevel="0" collapsed="false">
      <c r="A19" s="45" t="n">
        <v>45780</v>
      </c>
      <c r="B19" s="41" t="s">
        <v>15</v>
      </c>
      <c r="C19" s="41" t="s">
        <v>190</v>
      </c>
      <c r="D19" s="41" t="s">
        <v>378</v>
      </c>
      <c r="E19" s="41" t="s">
        <v>395</v>
      </c>
      <c r="F19" s="41" t="s">
        <v>396</v>
      </c>
      <c r="G19" s="47" t="s">
        <v>397</v>
      </c>
      <c r="H19" s="47" t="s">
        <v>398</v>
      </c>
      <c r="I19" s="41" t="n">
        <v>13</v>
      </c>
      <c r="J19" s="41" t="s">
        <v>383</v>
      </c>
      <c r="K19" s="41" t="s">
        <v>114</v>
      </c>
      <c r="L19" s="41" t="s">
        <v>157</v>
      </c>
      <c r="M19" s="41" t="s">
        <v>384</v>
      </c>
      <c r="N19" s="16" t="s">
        <v>385</v>
      </c>
      <c r="O19" s="16" t="s">
        <v>154</v>
      </c>
      <c r="P19" s="41" t="s">
        <v>399</v>
      </c>
    </row>
    <row r="20" customFormat="false" ht="14.25" hidden="false" customHeight="true" outlineLevel="0" collapsed="false">
      <c r="A20" s="45" t="n">
        <v>45780</v>
      </c>
      <c r="B20" s="41" t="s">
        <v>356</v>
      </c>
      <c r="C20" s="41" t="s">
        <v>283</v>
      </c>
      <c r="D20" s="41" t="s">
        <v>378</v>
      </c>
      <c r="E20" s="41" t="s">
        <v>423</v>
      </c>
      <c r="F20" s="41" t="s">
        <v>424</v>
      </c>
      <c r="G20" s="47" t="s">
        <v>425</v>
      </c>
      <c r="H20" s="47" t="s">
        <v>426</v>
      </c>
      <c r="I20" s="41" t="n">
        <v>5</v>
      </c>
      <c r="J20" s="41" t="s">
        <v>391</v>
      </c>
      <c r="K20" s="41" t="s">
        <v>130</v>
      </c>
      <c r="L20" s="41" t="s">
        <v>392</v>
      </c>
      <c r="M20" s="41" t="s">
        <v>393</v>
      </c>
      <c r="N20" s="16" t="s">
        <v>416</v>
      </c>
      <c r="O20" s="16" t="s">
        <v>154</v>
      </c>
      <c r="P20" s="41" t="s">
        <v>427</v>
      </c>
    </row>
  </sheetData>
  <autoFilter ref="A2:O2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1:M64"/>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M64" activeCellId="0" sqref="M64"/>
    </sheetView>
  </sheetViews>
  <sheetFormatPr defaultColWidth="11.4453125" defaultRowHeight="15" zeroHeight="false" outlineLevelRow="0" outlineLevelCol="0"/>
  <cols>
    <col collapsed="false" customWidth="true" hidden="false" outlineLevel="0" max="1" min="1" style="1" width="14.44"/>
    <col collapsed="false" customWidth="true" hidden="false" outlineLevel="0" max="2" min="2" style="1" width="13.34"/>
    <col collapsed="false" customWidth="true" hidden="false" outlineLevel="0" max="3" min="3" style="1" width="13.75"/>
    <col collapsed="false" customWidth="true" hidden="false" outlineLevel="0" max="4" min="4" style="1" width="13.67"/>
    <col collapsed="false" customWidth="true" hidden="false" outlineLevel="0" max="5" min="5" style="1" width="16.67"/>
    <col collapsed="false" customWidth="true" hidden="false" outlineLevel="0" max="6" min="6" style="1" width="14.88"/>
    <col collapsed="false" customWidth="true" hidden="false" outlineLevel="0" max="7" min="7" style="1" width="9.33"/>
    <col collapsed="false" customWidth="true" hidden="false" outlineLevel="0" max="8" min="8" style="1" width="12.56"/>
    <col collapsed="false" customWidth="true" hidden="false" outlineLevel="0" max="9" min="9" style="1" width="13.88"/>
    <col collapsed="false" customWidth="true" hidden="false" outlineLevel="0" max="10" min="10" style="1" width="19.67"/>
    <col collapsed="false" customWidth="true" hidden="false" outlineLevel="0" max="11" min="11" style="1" width="12"/>
    <col collapsed="false" customWidth="true" hidden="false" outlineLevel="0" max="12" min="12" style="1" width="12.33"/>
    <col collapsed="false" customWidth="true" hidden="false" outlineLevel="0" max="13" min="13" style="1" width="36.88"/>
    <col collapsed="false" customWidth="true" hidden="false" outlineLevel="0" max="17" min="17" style="1" width="10.56"/>
    <col collapsed="false" customWidth="true" hidden="false" outlineLevel="0" max="18" min="18" style="1" width="17"/>
    <col collapsed="false" customWidth="true" hidden="false" outlineLevel="0" max="19" min="19" style="1" width="11.89"/>
  </cols>
  <sheetData>
    <row r="1" customFormat="false" ht="14.25" hidden="false" customHeight="true" outlineLevel="0" collapsed="false">
      <c r="A1" s="48" t="s">
        <v>428</v>
      </c>
      <c r="B1" s="48"/>
      <c r="C1" s="48"/>
      <c r="D1" s="48"/>
      <c r="E1" s="48"/>
      <c r="F1" s="48"/>
      <c r="G1" s="48"/>
      <c r="H1" s="48"/>
      <c r="I1" s="48"/>
      <c r="J1" s="48"/>
      <c r="K1" s="48"/>
      <c r="L1" s="48"/>
      <c r="M1" s="48"/>
    </row>
    <row r="2" customFormat="false" ht="18" hidden="false" customHeight="true" outlineLevel="0" collapsed="false">
      <c r="A2" s="48"/>
      <c r="B2" s="48"/>
      <c r="C2" s="48"/>
      <c r="D2" s="48"/>
      <c r="E2" s="48"/>
      <c r="F2" s="48"/>
      <c r="G2" s="48"/>
      <c r="H2" s="48"/>
      <c r="I2" s="48"/>
      <c r="J2" s="48"/>
      <c r="K2" s="48"/>
      <c r="L2" s="48"/>
      <c r="M2" s="48"/>
    </row>
    <row r="3" customFormat="false" ht="15" hidden="false" customHeight="true" outlineLevel="0" collapsed="false"/>
    <row r="4" customFormat="false" ht="14.25" hidden="false" customHeight="true" outlineLevel="0" collapsed="false">
      <c r="A4" s="49" t="s">
        <v>133</v>
      </c>
      <c r="B4" s="49" t="s">
        <v>174</v>
      </c>
      <c r="C4" s="49" t="s">
        <v>182</v>
      </c>
      <c r="D4" s="31" t="s">
        <v>3</v>
      </c>
      <c r="E4" s="31" t="s">
        <v>4</v>
      </c>
      <c r="F4" s="49" t="s">
        <v>183</v>
      </c>
      <c r="G4" s="49" t="s">
        <v>161</v>
      </c>
      <c r="H4" s="49" t="s">
        <v>429</v>
      </c>
      <c r="I4" s="49" t="s">
        <v>156</v>
      </c>
      <c r="J4" s="19" t="s">
        <v>184</v>
      </c>
      <c r="K4" s="19" t="s">
        <v>138</v>
      </c>
      <c r="L4" s="19" t="s">
        <v>171</v>
      </c>
      <c r="M4" s="50" t="s">
        <v>430</v>
      </c>
    </row>
    <row r="5" customFormat="false" ht="14.25" hidden="false" customHeight="true" outlineLevel="0" collapsed="false">
      <c r="A5" s="39" t="n">
        <v>45625</v>
      </c>
      <c r="B5" s="16" t="s">
        <v>283</v>
      </c>
      <c r="C5" s="16" t="s">
        <v>20</v>
      </c>
      <c r="D5" s="41" t="s">
        <v>23</v>
      </c>
      <c r="E5" s="41" t="s">
        <v>24</v>
      </c>
      <c r="F5" s="16" t="s">
        <v>277</v>
      </c>
      <c r="G5" s="16" t="n">
        <v>2</v>
      </c>
      <c r="H5" s="16" t="s">
        <v>431</v>
      </c>
      <c r="I5" s="16" t="s">
        <v>432</v>
      </c>
      <c r="J5" s="16" t="s">
        <v>433</v>
      </c>
      <c r="K5" s="16" t="s">
        <v>434</v>
      </c>
      <c r="L5" s="16" t="s">
        <v>385</v>
      </c>
      <c r="M5" s="17" t="s">
        <v>435</v>
      </c>
    </row>
    <row r="6" customFormat="false" ht="14.25" hidden="false" customHeight="true" outlineLevel="0" collapsed="false">
      <c r="A6" s="39" t="n">
        <v>45625</v>
      </c>
      <c r="B6" s="16" t="s">
        <v>283</v>
      </c>
      <c r="C6" s="16" t="s">
        <v>20</v>
      </c>
      <c r="D6" s="41" t="s">
        <v>23</v>
      </c>
      <c r="E6" s="41" t="s">
        <v>24</v>
      </c>
      <c r="F6" s="16" t="s">
        <v>277</v>
      </c>
      <c r="G6" s="16" t="n">
        <v>2</v>
      </c>
      <c r="H6" s="16" t="s">
        <v>431</v>
      </c>
      <c r="I6" s="16" t="s">
        <v>436</v>
      </c>
      <c r="J6" s="16" t="s">
        <v>437</v>
      </c>
      <c r="K6" s="16" t="s">
        <v>438</v>
      </c>
      <c r="L6" s="16" t="s">
        <v>405</v>
      </c>
      <c r="M6" s="17" t="s">
        <v>439</v>
      </c>
    </row>
    <row r="7" customFormat="false" ht="14.25" hidden="false" customHeight="true" outlineLevel="0" collapsed="false">
      <c r="A7" s="39" t="n">
        <v>45625</v>
      </c>
      <c r="B7" s="16" t="s">
        <v>283</v>
      </c>
      <c r="C7" s="16" t="s">
        <v>20</v>
      </c>
      <c r="D7" s="41" t="s">
        <v>23</v>
      </c>
      <c r="E7" s="41" t="s">
        <v>24</v>
      </c>
      <c r="F7" s="16" t="s">
        <v>193</v>
      </c>
      <c r="G7" s="16" t="n">
        <v>2</v>
      </c>
      <c r="H7" s="16" t="s">
        <v>431</v>
      </c>
      <c r="I7" s="16" t="s">
        <v>436</v>
      </c>
      <c r="J7" s="16" t="s">
        <v>437</v>
      </c>
      <c r="K7" s="16" t="s">
        <v>438</v>
      </c>
      <c r="L7" s="16" t="s">
        <v>405</v>
      </c>
      <c r="M7" s="17" t="s">
        <v>439</v>
      </c>
    </row>
    <row r="8" customFormat="false" ht="14.25" hidden="false" customHeight="true" outlineLevel="0" collapsed="false">
      <c r="A8" s="39" t="n">
        <v>45625</v>
      </c>
      <c r="B8" s="16" t="s">
        <v>440</v>
      </c>
      <c r="C8" s="16" t="s">
        <v>15</v>
      </c>
      <c r="D8" s="41" t="s">
        <v>18</v>
      </c>
      <c r="E8" s="41" t="s">
        <v>19</v>
      </c>
      <c r="F8" s="16" t="s">
        <v>193</v>
      </c>
      <c r="G8" s="16" t="n">
        <v>1</v>
      </c>
      <c r="H8" s="16" t="s">
        <v>431</v>
      </c>
      <c r="I8" s="16" t="s">
        <v>436</v>
      </c>
      <c r="J8" s="16" t="s">
        <v>437</v>
      </c>
      <c r="K8" s="16" t="s">
        <v>438</v>
      </c>
      <c r="L8" s="16" t="s">
        <v>405</v>
      </c>
      <c r="M8" s="17" t="s">
        <v>439</v>
      </c>
    </row>
    <row r="9" customFormat="false" ht="14.25" hidden="false" customHeight="true" outlineLevel="0" collapsed="false">
      <c r="A9" s="39" t="n">
        <v>45625</v>
      </c>
      <c r="B9" s="16" t="s">
        <v>440</v>
      </c>
      <c r="C9" s="16" t="s">
        <v>15</v>
      </c>
      <c r="D9" s="41" t="s">
        <v>18</v>
      </c>
      <c r="E9" s="41" t="s">
        <v>19</v>
      </c>
      <c r="F9" s="16" t="s">
        <v>277</v>
      </c>
      <c r="G9" s="16" t="n">
        <v>3</v>
      </c>
      <c r="H9" s="16" t="s">
        <v>431</v>
      </c>
      <c r="I9" s="16" t="s">
        <v>436</v>
      </c>
      <c r="J9" s="16" t="s">
        <v>437</v>
      </c>
      <c r="K9" s="16" t="s">
        <v>438</v>
      </c>
      <c r="L9" s="16" t="s">
        <v>405</v>
      </c>
      <c r="M9" s="17" t="s">
        <v>439</v>
      </c>
    </row>
    <row r="10" customFormat="false" ht="15" hidden="false" customHeight="true" outlineLevel="0" collapsed="false">
      <c r="A10" s="39" t="n">
        <v>45625</v>
      </c>
      <c r="B10" s="16" t="s">
        <v>283</v>
      </c>
      <c r="C10" s="16" t="s">
        <v>20</v>
      </c>
      <c r="D10" s="41" t="s">
        <v>23</v>
      </c>
      <c r="E10" s="41" t="s">
        <v>24</v>
      </c>
      <c r="F10" s="16" t="s">
        <v>277</v>
      </c>
      <c r="G10" s="16" t="n">
        <v>2</v>
      </c>
      <c r="H10" s="16" t="s">
        <v>431</v>
      </c>
      <c r="I10" s="16" t="s">
        <v>441</v>
      </c>
      <c r="J10" s="16" t="s">
        <v>442</v>
      </c>
      <c r="K10" s="16" t="s">
        <v>443</v>
      </c>
      <c r="L10" s="16" t="s">
        <v>385</v>
      </c>
      <c r="M10" s="17" t="s">
        <v>435</v>
      </c>
    </row>
    <row r="11" customFormat="false" ht="15" hidden="false" customHeight="true" outlineLevel="0" collapsed="false">
      <c r="A11" s="39" t="n">
        <v>45625</v>
      </c>
      <c r="B11" s="16" t="s">
        <v>283</v>
      </c>
      <c r="C11" s="16" t="s">
        <v>20</v>
      </c>
      <c r="D11" s="41" t="s">
        <v>23</v>
      </c>
      <c r="E11" s="41" t="s">
        <v>24</v>
      </c>
      <c r="F11" s="16" t="s">
        <v>277</v>
      </c>
      <c r="G11" s="16" t="n">
        <v>2</v>
      </c>
      <c r="H11" s="16" t="s">
        <v>431</v>
      </c>
      <c r="I11" s="16" t="s">
        <v>444</v>
      </c>
      <c r="J11" s="16" t="s">
        <v>445</v>
      </c>
      <c r="K11" s="16" t="s">
        <v>446</v>
      </c>
      <c r="L11" s="16" t="s">
        <v>405</v>
      </c>
      <c r="M11" s="17" t="s">
        <v>439</v>
      </c>
    </row>
    <row r="12" customFormat="false" ht="15" hidden="false" customHeight="true" outlineLevel="0" collapsed="false">
      <c r="A12" s="39" t="n">
        <v>45625</v>
      </c>
      <c r="B12" s="16" t="s">
        <v>283</v>
      </c>
      <c r="C12" s="16" t="s">
        <v>20</v>
      </c>
      <c r="D12" s="41" t="s">
        <v>23</v>
      </c>
      <c r="E12" s="41" t="s">
        <v>24</v>
      </c>
      <c r="F12" s="16" t="s">
        <v>193</v>
      </c>
      <c r="G12" s="16" t="n">
        <v>2</v>
      </c>
      <c r="H12" s="16" t="s">
        <v>431</v>
      </c>
      <c r="I12" s="16" t="s">
        <v>444</v>
      </c>
      <c r="J12" s="16" t="s">
        <v>445</v>
      </c>
      <c r="K12" s="16" t="s">
        <v>446</v>
      </c>
      <c r="L12" s="16" t="s">
        <v>405</v>
      </c>
      <c r="M12" s="17" t="s">
        <v>439</v>
      </c>
    </row>
    <row r="13" customFormat="false" ht="15" hidden="false" customHeight="true" outlineLevel="0" collapsed="false">
      <c r="A13" s="39" t="n">
        <v>45625</v>
      </c>
      <c r="B13" s="16" t="s">
        <v>283</v>
      </c>
      <c r="C13" s="16" t="s">
        <v>20</v>
      </c>
      <c r="D13" s="41" t="s">
        <v>23</v>
      </c>
      <c r="E13" s="41" t="s">
        <v>24</v>
      </c>
      <c r="F13" s="16" t="s">
        <v>193</v>
      </c>
      <c r="G13" s="16" t="n">
        <v>2</v>
      </c>
      <c r="H13" s="16" t="s">
        <v>431</v>
      </c>
      <c r="I13" s="16" t="s">
        <v>444</v>
      </c>
      <c r="J13" s="16" t="s">
        <v>445</v>
      </c>
      <c r="K13" s="16" t="s">
        <v>447</v>
      </c>
      <c r="L13" s="16" t="s">
        <v>405</v>
      </c>
      <c r="M13" s="17" t="s">
        <v>439</v>
      </c>
    </row>
    <row r="14" customFormat="false" ht="15" hidden="false" customHeight="true" outlineLevel="0" collapsed="false">
      <c r="A14" s="39" t="n">
        <v>45625</v>
      </c>
      <c r="B14" s="16" t="s">
        <v>440</v>
      </c>
      <c r="C14" s="16" t="s">
        <v>15</v>
      </c>
      <c r="D14" s="41" t="s">
        <v>18</v>
      </c>
      <c r="E14" s="41" t="s">
        <v>19</v>
      </c>
      <c r="F14" s="16" t="s">
        <v>193</v>
      </c>
      <c r="G14" s="16" t="n">
        <v>1</v>
      </c>
      <c r="H14" s="16" t="s">
        <v>431</v>
      </c>
      <c r="I14" s="16" t="s">
        <v>444</v>
      </c>
      <c r="J14" s="16" t="s">
        <v>445</v>
      </c>
      <c r="K14" s="16" t="s">
        <v>447</v>
      </c>
      <c r="L14" s="16" t="s">
        <v>405</v>
      </c>
      <c r="M14" s="17" t="s">
        <v>439</v>
      </c>
    </row>
    <row r="15" customFormat="false" ht="15" hidden="false" customHeight="true" outlineLevel="0" collapsed="false">
      <c r="A15" s="39" t="n">
        <v>45625</v>
      </c>
      <c r="B15" s="16" t="s">
        <v>440</v>
      </c>
      <c r="C15" s="16" t="s">
        <v>15</v>
      </c>
      <c r="D15" s="41" t="s">
        <v>18</v>
      </c>
      <c r="E15" s="41" t="s">
        <v>19</v>
      </c>
      <c r="F15" s="16" t="s">
        <v>193</v>
      </c>
      <c r="G15" s="16" t="n">
        <v>1</v>
      </c>
      <c r="H15" s="16" t="s">
        <v>431</v>
      </c>
      <c r="I15" s="16" t="s">
        <v>444</v>
      </c>
      <c r="J15" s="16" t="s">
        <v>445</v>
      </c>
      <c r="K15" s="16" t="s">
        <v>446</v>
      </c>
      <c r="L15" s="16" t="s">
        <v>405</v>
      </c>
      <c r="M15" s="17" t="s">
        <v>439</v>
      </c>
    </row>
    <row r="16" customFormat="false" ht="15" hidden="false" customHeight="true" outlineLevel="0" collapsed="false">
      <c r="A16" s="39" t="n">
        <v>45625</v>
      </c>
      <c r="B16" s="16" t="s">
        <v>440</v>
      </c>
      <c r="C16" s="16" t="s">
        <v>15</v>
      </c>
      <c r="D16" s="41" t="s">
        <v>18</v>
      </c>
      <c r="E16" s="41" t="s">
        <v>19</v>
      </c>
      <c r="F16" s="16" t="s">
        <v>277</v>
      </c>
      <c r="G16" s="16" t="n">
        <v>3</v>
      </c>
      <c r="H16" s="16" t="s">
        <v>431</v>
      </c>
      <c r="I16" s="16" t="s">
        <v>444</v>
      </c>
      <c r="J16" s="16" t="s">
        <v>445</v>
      </c>
      <c r="K16" s="16" t="s">
        <v>446</v>
      </c>
      <c r="L16" s="16" t="s">
        <v>405</v>
      </c>
      <c r="M16" s="17" t="s">
        <v>439</v>
      </c>
    </row>
    <row r="17" customFormat="false" ht="15" hidden="false" customHeight="true" outlineLevel="0" collapsed="false">
      <c r="A17" s="39" t="n">
        <v>45625</v>
      </c>
      <c r="B17" s="16" t="s">
        <v>440</v>
      </c>
      <c r="C17" s="16" t="s">
        <v>15</v>
      </c>
      <c r="D17" s="41" t="s">
        <v>18</v>
      </c>
      <c r="E17" s="41" t="s">
        <v>19</v>
      </c>
      <c r="F17" s="16" t="s">
        <v>193</v>
      </c>
      <c r="G17" s="16" t="n">
        <v>1</v>
      </c>
      <c r="H17" s="16" t="s">
        <v>448</v>
      </c>
      <c r="I17" s="16" t="s">
        <v>449</v>
      </c>
      <c r="J17" s="16" t="s">
        <v>450</v>
      </c>
      <c r="K17" s="16" t="s">
        <v>451</v>
      </c>
      <c r="L17" s="16" t="s">
        <v>405</v>
      </c>
      <c r="M17" s="17" t="s">
        <v>452</v>
      </c>
    </row>
    <row r="18" customFormat="false" ht="15" hidden="false" customHeight="true" outlineLevel="0" collapsed="false">
      <c r="A18" s="39" t="n">
        <v>45625</v>
      </c>
      <c r="B18" s="16" t="s">
        <v>283</v>
      </c>
      <c r="C18" s="16" t="s">
        <v>20</v>
      </c>
      <c r="D18" s="41" t="s">
        <v>23</v>
      </c>
      <c r="E18" s="41" t="s">
        <v>24</v>
      </c>
      <c r="F18" s="16" t="s">
        <v>193</v>
      </c>
      <c r="G18" s="16" t="n">
        <v>2</v>
      </c>
      <c r="H18" s="16" t="s">
        <v>431</v>
      </c>
      <c r="I18" s="16" t="s">
        <v>453</v>
      </c>
      <c r="J18" s="16" t="s">
        <v>454</v>
      </c>
      <c r="K18" s="16" t="s">
        <v>455</v>
      </c>
      <c r="L18" s="16" t="s">
        <v>405</v>
      </c>
      <c r="M18" s="17" t="s">
        <v>102</v>
      </c>
    </row>
    <row r="19" customFormat="false" ht="15" hidden="false" customHeight="true" outlineLevel="0" collapsed="false">
      <c r="A19" s="39" t="n">
        <v>45625</v>
      </c>
      <c r="B19" s="16" t="s">
        <v>283</v>
      </c>
      <c r="C19" s="16" t="s">
        <v>20</v>
      </c>
      <c r="D19" s="41" t="s">
        <v>23</v>
      </c>
      <c r="E19" s="41" t="s">
        <v>24</v>
      </c>
      <c r="F19" s="16" t="s">
        <v>193</v>
      </c>
      <c r="G19" s="16" t="n">
        <v>2</v>
      </c>
      <c r="H19" s="16" t="s">
        <v>456</v>
      </c>
      <c r="I19" s="16" t="s">
        <v>457</v>
      </c>
      <c r="J19" s="16" t="s">
        <v>458</v>
      </c>
      <c r="K19" s="16" t="s">
        <v>459</v>
      </c>
      <c r="L19" s="51" t="s">
        <v>385</v>
      </c>
      <c r="M19" s="52" t="s">
        <v>460</v>
      </c>
    </row>
    <row r="20" customFormat="false" ht="15" hidden="false" customHeight="true" outlineLevel="0" collapsed="false">
      <c r="A20" s="39" t="n">
        <v>45625</v>
      </c>
      <c r="B20" s="16" t="s">
        <v>440</v>
      </c>
      <c r="C20" s="16" t="s">
        <v>15</v>
      </c>
      <c r="D20" s="41" t="s">
        <v>18</v>
      </c>
      <c r="E20" s="41" t="s">
        <v>19</v>
      </c>
      <c r="F20" s="16" t="s">
        <v>461</v>
      </c>
      <c r="G20" s="16" t="n">
        <v>3</v>
      </c>
      <c r="H20" s="16" t="s">
        <v>448</v>
      </c>
      <c r="I20" s="16" t="s">
        <v>449</v>
      </c>
      <c r="J20" s="16" t="s">
        <v>450</v>
      </c>
      <c r="K20" s="16" t="s">
        <v>462</v>
      </c>
      <c r="L20" s="16" t="s">
        <v>405</v>
      </c>
      <c r="M20" s="17" t="s">
        <v>463</v>
      </c>
    </row>
    <row r="21" customFormat="false" ht="15" hidden="false" customHeight="true" outlineLevel="0" collapsed="false">
      <c r="A21" s="39" t="n">
        <v>45625</v>
      </c>
      <c r="B21" s="16" t="s">
        <v>440</v>
      </c>
      <c r="C21" s="16" t="s">
        <v>15</v>
      </c>
      <c r="D21" s="41" t="s">
        <v>18</v>
      </c>
      <c r="E21" s="41" t="s">
        <v>19</v>
      </c>
      <c r="F21" s="16" t="s">
        <v>193</v>
      </c>
      <c r="G21" s="16" t="n">
        <v>2</v>
      </c>
      <c r="H21" s="16" t="s">
        <v>431</v>
      </c>
      <c r="I21" s="16" t="s">
        <v>444</v>
      </c>
      <c r="J21" s="16" t="s">
        <v>464</v>
      </c>
      <c r="K21" s="16" t="s">
        <v>465</v>
      </c>
      <c r="L21" s="16" t="s">
        <v>385</v>
      </c>
      <c r="M21" s="17" t="s">
        <v>439</v>
      </c>
    </row>
    <row r="22" customFormat="false" ht="15" hidden="false" customHeight="true" outlineLevel="0" collapsed="false">
      <c r="A22" s="39" t="n">
        <v>45625</v>
      </c>
      <c r="B22" s="16" t="s">
        <v>311</v>
      </c>
      <c r="C22" s="16" t="s">
        <v>312</v>
      </c>
      <c r="D22" s="41" t="s">
        <v>13</v>
      </c>
      <c r="E22" s="41" t="s">
        <v>14</v>
      </c>
      <c r="F22" s="16" t="s">
        <v>193</v>
      </c>
      <c r="G22" s="16" t="n">
        <v>1</v>
      </c>
      <c r="H22" s="16" t="s">
        <v>431</v>
      </c>
      <c r="I22" s="16" t="s">
        <v>444</v>
      </c>
      <c r="J22" s="16" t="s">
        <v>445</v>
      </c>
      <c r="K22" s="16" t="s">
        <v>446</v>
      </c>
      <c r="L22" s="16" t="s">
        <v>405</v>
      </c>
      <c r="M22" s="17" t="s">
        <v>439</v>
      </c>
    </row>
    <row r="23" customFormat="false" ht="15" hidden="false" customHeight="true" outlineLevel="0" collapsed="false">
      <c r="A23" s="39" t="n">
        <v>45625</v>
      </c>
      <c r="B23" s="16" t="s">
        <v>311</v>
      </c>
      <c r="C23" s="16" t="s">
        <v>312</v>
      </c>
      <c r="D23" s="41" t="s">
        <v>13</v>
      </c>
      <c r="E23" s="41" t="s">
        <v>14</v>
      </c>
      <c r="F23" s="16" t="s">
        <v>193</v>
      </c>
      <c r="G23" s="16" t="n">
        <v>1</v>
      </c>
      <c r="H23" s="16" t="s">
        <v>431</v>
      </c>
      <c r="I23" s="16" t="s">
        <v>441</v>
      </c>
      <c r="J23" s="16" t="s">
        <v>442</v>
      </c>
      <c r="K23" s="16" t="s">
        <v>443</v>
      </c>
      <c r="L23" s="16" t="s">
        <v>385</v>
      </c>
      <c r="M23" s="17" t="s">
        <v>435</v>
      </c>
    </row>
    <row r="24" customFormat="false" ht="15" hidden="false" customHeight="true" outlineLevel="0" collapsed="false">
      <c r="A24" s="39" t="n">
        <v>45625</v>
      </c>
      <c r="B24" s="16" t="s">
        <v>311</v>
      </c>
      <c r="C24" s="16" t="s">
        <v>312</v>
      </c>
      <c r="D24" s="41" t="s">
        <v>13</v>
      </c>
      <c r="E24" s="41" t="s">
        <v>14</v>
      </c>
      <c r="F24" s="16" t="s">
        <v>193</v>
      </c>
      <c r="G24" s="16" t="n">
        <v>1</v>
      </c>
      <c r="H24" s="16" t="s">
        <v>431</v>
      </c>
      <c r="I24" s="16" t="s">
        <v>444</v>
      </c>
      <c r="J24" s="16" t="s">
        <v>464</v>
      </c>
      <c r="K24" s="16" t="s">
        <v>465</v>
      </c>
      <c r="L24" s="16" t="s">
        <v>385</v>
      </c>
      <c r="M24" s="17" t="s">
        <v>439</v>
      </c>
    </row>
    <row r="25" customFormat="false" ht="15" hidden="false" customHeight="true" outlineLevel="0" collapsed="false">
      <c r="A25" s="39" t="n">
        <v>45625</v>
      </c>
      <c r="B25" s="16" t="s">
        <v>311</v>
      </c>
      <c r="C25" s="16" t="s">
        <v>312</v>
      </c>
      <c r="D25" s="41" t="s">
        <v>13</v>
      </c>
      <c r="E25" s="41" t="s">
        <v>14</v>
      </c>
      <c r="F25" s="16" t="s">
        <v>193</v>
      </c>
      <c r="G25" s="16" t="n">
        <v>1</v>
      </c>
      <c r="H25" s="16" t="s">
        <v>431</v>
      </c>
      <c r="I25" s="16" t="s">
        <v>444</v>
      </c>
      <c r="J25" s="16" t="s">
        <v>466</v>
      </c>
      <c r="K25" s="16" t="s">
        <v>467</v>
      </c>
      <c r="L25" s="16" t="s">
        <v>385</v>
      </c>
      <c r="M25" s="17" t="s">
        <v>439</v>
      </c>
    </row>
    <row r="26" customFormat="false" ht="15" hidden="false" customHeight="true" outlineLevel="0" collapsed="false">
      <c r="A26" s="39" t="n">
        <v>45625</v>
      </c>
      <c r="B26" s="16" t="s">
        <v>311</v>
      </c>
      <c r="C26" s="16" t="s">
        <v>312</v>
      </c>
      <c r="D26" s="41" t="s">
        <v>13</v>
      </c>
      <c r="E26" s="41" t="s">
        <v>14</v>
      </c>
      <c r="F26" s="16" t="s">
        <v>193</v>
      </c>
      <c r="G26" s="16" t="n">
        <v>3</v>
      </c>
      <c r="H26" s="16" t="s">
        <v>431</v>
      </c>
      <c r="I26" s="16" t="s">
        <v>444</v>
      </c>
      <c r="J26" s="16" t="s">
        <v>445</v>
      </c>
      <c r="K26" s="16" t="s">
        <v>446</v>
      </c>
      <c r="L26" s="16" t="s">
        <v>405</v>
      </c>
      <c r="M26" s="17" t="s">
        <v>439</v>
      </c>
    </row>
    <row r="27" customFormat="false" ht="15" hidden="false" customHeight="true" outlineLevel="0" collapsed="false">
      <c r="A27" s="39" t="n">
        <v>45625</v>
      </c>
      <c r="B27" s="16" t="s">
        <v>311</v>
      </c>
      <c r="C27" s="16" t="s">
        <v>312</v>
      </c>
      <c r="D27" s="41" t="s">
        <v>13</v>
      </c>
      <c r="E27" s="41" t="s">
        <v>14</v>
      </c>
      <c r="F27" s="16" t="s">
        <v>193</v>
      </c>
      <c r="G27" s="16" t="n">
        <v>3</v>
      </c>
      <c r="H27" s="16" t="s">
        <v>431</v>
      </c>
      <c r="I27" s="16" t="s">
        <v>436</v>
      </c>
      <c r="J27" s="16" t="s">
        <v>437</v>
      </c>
      <c r="K27" s="16" t="s">
        <v>438</v>
      </c>
      <c r="L27" s="16" t="s">
        <v>405</v>
      </c>
      <c r="M27" s="17" t="s">
        <v>439</v>
      </c>
    </row>
    <row r="28" customFormat="false" ht="15" hidden="false" customHeight="true" outlineLevel="0" collapsed="false">
      <c r="A28" s="39" t="n">
        <v>45625</v>
      </c>
      <c r="B28" s="16" t="s">
        <v>311</v>
      </c>
      <c r="C28" s="16" t="s">
        <v>312</v>
      </c>
      <c r="D28" s="41" t="s">
        <v>13</v>
      </c>
      <c r="E28" s="41" t="s">
        <v>14</v>
      </c>
      <c r="F28" s="16" t="s">
        <v>193</v>
      </c>
      <c r="G28" s="16" t="n">
        <v>3</v>
      </c>
      <c r="H28" s="16" t="s">
        <v>431</v>
      </c>
      <c r="I28" s="16" t="s">
        <v>444</v>
      </c>
      <c r="J28" s="16" t="s">
        <v>468</v>
      </c>
      <c r="K28" s="16" t="s">
        <v>469</v>
      </c>
      <c r="L28" s="16" t="s">
        <v>385</v>
      </c>
      <c r="M28" s="17" t="s">
        <v>102</v>
      </c>
    </row>
    <row r="29" customFormat="false" ht="15" hidden="false" customHeight="true" outlineLevel="0" collapsed="false">
      <c r="A29" s="39" t="n">
        <v>45625</v>
      </c>
      <c r="B29" s="16" t="s">
        <v>311</v>
      </c>
      <c r="C29" s="16" t="s">
        <v>312</v>
      </c>
      <c r="D29" s="41" t="s">
        <v>13</v>
      </c>
      <c r="E29" s="41" t="s">
        <v>14</v>
      </c>
      <c r="F29" s="16" t="s">
        <v>193</v>
      </c>
      <c r="G29" s="16" t="n">
        <v>3</v>
      </c>
      <c r="H29" s="16" t="s">
        <v>431</v>
      </c>
      <c r="I29" s="16" t="s">
        <v>432</v>
      </c>
      <c r="J29" s="16" t="s">
        <v>470</v>
      </c>
      <c r="K29" s="16" t="s">
        <v>471</v>
      </c>
      <c r="L29" s="16" t="s">
        <v>385</v>
      </c>
      <c r="M29" s="17" t="s">
        <v>435</v>
      </c>
    </row>
    <row r="30" customFormat="false" ht="15" hidden="false" customHeight="true" outlineLevel="0" collapsed="false">
      <c r="A30" s="39" t="n">
        <v>45625</v>
      </c>
      <c r="B30" s="16" t="s">
        <v>311</v>
      </c>
      <c r="C30" s="16" t="s">
        <v>312</v>
      </c>
      <c r="D30" s="41" t="s">
        <v>13</v>
      </c>
      <c r="E30" s="41" t="s">
        <v>14</v>
      </c>
      <c r="F30" s="16" t="s">
        <v>193</v>
      </c>
      <c r="G30" s="16" t="n">
        <v>3</v>
      </c>
      <c r="H30" s="16" t="s">
        <v>431</v>
      </c>
      <c r="I30" s="16" t="s">
        <v>453</v>
      </c>
      <c r="J30" s="16" t="s">
        <v>454</v>
      </c>
      <c r="K30" s="16" t="s">
        <v>455</v>
      </c>
      <c r="L30" s="16" t="s">
        <v>405</v>
      </c>
      <c r="M30" s="17" t="s">
        <v>102</v>
      </c>
    </row>
    <row r="31" customFormat="false" ht="15" hidden="false" customHeight="true" outlineLevel="0" collapsed="false">
      <c r="A31" s="39" t="n">
        <v>45625</v>
      </c>
      <c r="B31" s="16" t="s">
        <v>311</v>
      </c>
      <c r="C31" s="16" t="s">
        <v>312</v>
      </c>
      <c r="D31" s="41" t="s">
        <v>13</v>
      </c>
      <c r="E31" s="41" t="s">
        <v>14</v>
      </c>
      <c r="F31" s="16" t="s">
        <v>193</v>
      </c>
      <c r="G31" s="16" t="n">
        <v>2</v>
      </c>
      <c r="H31" s="16" t="s">
        <v>431</v>
      </c>
      <c r="I31" s="16" t="s">
        <v>444</v>
      </c>
      <c r="J31" s="16" t="s">
        <v>445</v>
      </c>
      <c r="K31" s="16" t="s">
        <v>446</v>
      </c>
      <c r="L31" s="16" t="s">
        <v>405</v>
      </c>
      <c r="M31" s="17" t="s">
        <v>439</v>
      </c>
    </row>
    <row r="32" customFormat="false" ht="15" hidden="false" customHeight="true" outlineLevel="0" collapsed="false">
      <c r="A32" s="39" t="n">
        <v>45625</v>
      </c>
      <c r="B32" s="16" t="s">
        <v>311</v>
      </c>
      <c r="C32" s="16" t="s">
        <v>312</v>
      </c>
      <c r="D32" s="41" t="s">
        <v>13</v>
      </c>
      <c r="E32" s="41" t="s">
        <v>14</v>
      </c>
      <c r="F32" s="16" t="s">
        <v>193</v>
      </c>
      <c r="G32" s="16" t="n">
        <v>2</v>
      </c>
      <c r="H32" s="16" t="s">
        <v>431</v>
      </c>
      <c r="I32" s="16" t="s">
        <v>444</v>
      </c>
      <c r="J32" s="16" t="s">
        <v>464</v>
      </c>
      <c r="K32" s="16" t="s">
        <v>465</v>
      </c>
      <c r="L32" s="16" t="s">
        <v>385</v>
      </c>
      <c r="M32" s="17" t="s">
        <v>439</v>
      </c>
    </row>
    <row r="33" customFormat="false" ht="15" hidden="false" customHeight="true" outlineLevel="0" collapsed="false">
      <c r="A33" s="39" t="n">
        <v>45625</v>
      </c>
      <c r="B33" s="16" t="s">
        <v>311</v>
      </c>
      <c r="C33" s="16" t="s">
        <v>312</v>
      </c>
      <c r="D33" s="41" t="s">
        <v>13</v>
      </c>
      <c r="E33" s="41" t="s">
        <v>14</v>
      </c>
      <c r="F33" s="16" t="s">
        <v>193</v>
      </c>
      <c r="G33" s="16" t="n">
        <v>2</v>
      </c>
      <c r="H33" s="16" t="s">
        <v>431</v>
      </c>
      <c r="I33" s="16" t="s">
        <v>444</v>
      </c>
      <c r="J33" s="16" t="s">
        <v>445</v>
      </c>
      <c r="K33" s="16" t="s">
        <v>447</v>
      </c>
      <c r="L33" s="16" t="s">
        <v>405</v>
      </c>
      <c r="M33" s="17" t="s">
        <v>439</v>
      </c>
    </row>
    <row r="34" customFormat="false" ht="15" hidden="false" customHeight="true" outlineLevel="0" collapsed="false">
      <c r="A34" s="39" t="n">
        <v>45625</v>
      </c>
      <c r="B34" s="16" t="s">
        <v>311</v>
      </c>
      <c r="C34" s="16" t="s">
        <v>312</v>
      </c>
      <c r="D34" s="41" t="s">
        <v>13</v>
      </c>
      <c r="E34" s="41" t="s">
        <v>14</v>
      </c>
      <c r="F34" s="16" t="s">
        <v>193</v>
      </c>
      <c r="G34" s="16" t="n">
        <v>2</v>
      </c>
      <c r="H34" s="16" t="s">
        <v>431</v>
      </c>
      <c r="I34" s="16" t="s">
        <v>441</v>
      </c>
      <c r="J34" s="16" t="s">
        <v>442</v>
      </c>
      <c r="K34" s="16" t="s">
        <v>443</v>
      </c>
      <c r="L34" s="16" t="s">
        <v>385</v>
      </c>
      <c r="M34" s="17" t="s">
        <v>435</v>
      </c>
    </row>
    <row r="35" customFormat="false" ht="15" hidden="false" customHeight="true" outlineLevel="0" collapsed="false">
      <c r="A35" s="39" t="n">
        <v>45779</v>
      </c>
      <c r="B35" s="16" t="s">
        <v>283</v>
      </c>
      <c r="C35" s="16" t="s">
        <v>356</v>
      </c>
      <c r="D35" s="41" t="s">
        <v>27</v>
      </c>
      <c r="E35" s="41" t="s">
        <v>28</v>
      </c>
      <c r="F35" s="16" t="s">
        <v>472</v>
      </c>
      <c r="G35" s="16" t="n">
        <v>1</v>
      </c>
      <c r="H35" s="16" t="s">
        <v>431</v>
      </c>
      <c r="I35" s="16" t="s">
        <v>441</v>
      </c>
      <c r="J35" s="16" t="s">
        <v>442</v>
      </c>
      <c r="K35" s="16" t="s">
        <v>443</v>
      </c>
      <c r="L35" s="16" t="s">
        <v>385</v>
      </c>
      <c r="M35" s="17" t="s">
        <v>435</v>
      </c>
    </row>
    <row r="36" customFormat="false" ht="15" hidden="false" customHeight="true" outlineLevel="0" collapsed="false">
      <c r="A36" s="39" t="n">
        <v>45779</v>
      </c>
      <c r="B36" s="16" t="s">
        <v>283</v>
      </c>
      <c r="C36" s="16" t="s">
        <v>356</v>
      </c>
      <c r="D36" s="41" t="s">
        <v>27</v>
      </c>
      <c r="E36" s="41" t="s">
        <v>28</v>
      </c>
      <c r="F36" s="16" t="s">
        <v>461</v>
      </c>
      <c r="G36" s="16" t="n">
        <v>3</v>
      </c>
      <c r="H36" s="16" t="s">
        <v>431</v>
      </c>
      <c r="I36" s="16" t="s">
        <v>432</v>
      </c>
      <c r="J36" s="16" t="s">
        <v>433</v>
      </c>
      <c r="K36" s="16" t="s">
        <v>434</v>
      </c>
      <c r="L36" s="16" t="s">
        <v>385</v>
      </c>
      <c r="M36" s="17" t="s">
        <v>435</v>
      </c>
    </row>
    <row r="37" customFormat="false" ht="15" hidden="false" customHeight="true" outlineLevel="0" collapsed="false">
      <c r="A37" s="39" t="n">
        <v>45779</v>
      </c>
      <c r="B37" s="16" t="s">
        <v>283</v>
      </c>
      <c r="C37" s="16" t="s">
        <v>356</v>
      </c>
      <c r="D37" s="41" t="s">
        <v>27</v>
      </c>
      <c r="E37" s="41" t="s">
        <v>28</v>
      </c>
      <c r="F37" s="16" t="s">
        <v>461</v>
      </c>
      <c r="G37" s="16" t="n">
        <v>1</v>
      </c>
      <c r="H37" s="16" t="s">
        <v>431</v>
      </c>
      <c r="I37" s="16" t="s">
        <v>444</v>
      </c>
      <c r="J37" s="16" t="s">
        <v>464</v>
      </c>
      <c r="K37" s="16" t="s">
        <v>465</v>
      </c>
      <c r="L37" s="16" t="s">
        <v>385</v>
      </c>
      <c r="M37" s="17" t="s">
        <v>439</v>
      </c>
    </row>
    <row r="38" customFormat="false" ht="15" hidden="false" customHeight="true" outlineLevel="0" collapsed="false">
      <c r="A38" s="39" t="n">
        <v>45779</v>
      </c>
      <c r="B38" s="16" t="s">
        <v>283</v>
      </c>
      <c r="C38" s="16" t="s">
        <v>356</v>
      </c>
      <c r="D38" s="41" t="s">
        <v>27</v>
      </c>
      <c r="E38" s="41" t="s">
        <v>28</v>
      </c>
      <c r="F38" s="16" t="s">
        <v>472</v>
      </c>
      <c r="G38" s="16" t="n">
        <v>1</v>
      </c>
      <c r="H38" s="16" t="s">
        <v>431</v>
      </c>
      <c r="I38" s="16" t="s">
        <v>444</v>
      </c>
      <c r="J38" s="16" t="s">
        <v>464</v>
      </c>
      <c r="K38" s="16" t="s">
        <v>465</v>
      </c>
      <c r="L38" s="16" t="s">
        <v>385</v>
      </c>
      <c r="M38" s="17" t="s">
        <v>439</v>
      </c>
    </row>
    <row r="39" customFormat="false" ht="15" hidden="false" customHeight="true" outlineLevel="0" collapsed="false">
      <c r="A39" s="39" t="n">
        <v>45779</v>
      </c>
      <c r="B39" s="16" t="s">
        <v>283</v>
      </c>
      <c r="C39" s="16" t="s">
        <v>356</v>
      </c>
      <c r="D39" s="41" t="s">
        <v>27</v>
      </c>
      <c r="E39" s="41" t="s">
        <v>28</v>
      </c>
      <c r="F39" s="16" t="s">
        <v>472</v>
      </c>
      <c r="G39" s="16" t="n">
        <v>1</v>
      </c>
      <c r="H39" s="16" t="s">
        <v>431</v>
      </c>
      <c r="I39" s="16" t="s">
        <v>444</v>
      </c>
      <c r="J39" s="16" t="s">
        <v>445</v>
      </c>
      <c r="K39" s="16" t="s">
        <v>446</v>
      </c>
      <c r="L39" s="16" t="s">
        <v>405</v>
      </c>
      <c r="M39" s="17" t="s">
        <v>439</v>
      </c>
    </row>
    <row r="40" customFormat="false" ht="15" hidden="false" customHeight="true" outlineLevel="0" collapsed="false">
      <c r="A40" s="39" t="n">
        <v>45779</v>
      </c>
      <c r="B40" s="16" t="s">
        <v>440</v>
      </c>
      <c r="C40" s="16" t="s">
        <v>15</v>
      </c>
      <c r="D40" s="41" t="s">
        <v>18</v>
      </c>
      <c r="E40" s="41" t="s">
        <v>19</v>
      </c>
      <c r="F40" s="16" t="s">
        <v>473</v>
      </c>
      <c r="G40" s="16" t="n">
        <v>3</v>
      </c>
      <c r="H40" s="16" t="s">
        <v>431</v>
      </c>
      <c r="I40" s="16" t="s">
        <v>432</v>
      </c>
      <c r="J40" s="16" t="s">
        <v>470</v>
      </c>
      <c r="K40" s="16" t="s">
        <v>471</v>
      </c>
      <c r="L40" s="16" t="s">
        <v>385</v>
      </c>
      <c r="M40" s="17" t="s">
        <v>435</v>
      </c>
    </row>
    <row r="41" customFormat="false" ht="15" hidden="false" customHeight="true" outlineLevel="0" collapsed="false">
      <c r="A41" s="39" t="n">
        <v>45779</v>
      </c>
      <c r="B41" s="16" t="s">
        <v>440</v>
      </c>
      <c r="C41" s="16" t="s">
        <v>15</v>
      </c>
      <c r="D41" s="41" t="s">
        <v>18</v>
      </c>
      <c r="E41" s="41" t="s">
        <v>19</v>
      </c>
      <c r="F41" s="16" t="s">
        <v>474</v>
      </c>
      <c r="G41" s="16" t="n">
        <v>1</v>
      </c>
      <c r="H41" s="16" t="s">
        <v>431</v>
      </c>
      <c r="I41" s="16" t="s">
        <v>441</v>
      </c>
      <c r="J41" s="16" t="s">
        <v>442</v>
      </c>
      <c r="K41" s="16" t="s">
        <v>443</v>
      </c>
      <c r="L41" s="16" t="s">
        <v>385</v>
      </c>
      <c r="M41" s="17" t="s">
        <v>435</v>
      </c>
    </row>
    <row r="42" customFormat="false" ht="15" hidden="false" customHeight="true" outlineLevel="0" collapsed="false">
      <c r="A42" s="39" t="n">
        <v>45779</v>
      </c>
      <c r="B42" s="16" t="s">
        <v>440</v>
      </c>
      <c r="C42" s="16" t="s">
        <v>15</v>
      </c>
      <c r="D42" s="41" t="s">
        <v>18</v>
      </c>
      <c r="E42" s="41" t="s">
        <v>19</v>
      </c>
      <c r="F42" s="16" t="s">
        <v>473</v>
      </c>
      <c r="G42" s="16" t="n">
        <v>3</v>
      </c>
      <c r="H42" s="16" t="s">
        <v>431</v>
      </c>
      <c r="I42" s="16" t="s">
        <v>444</v>
      </c>
      <c r="J42" s="16" t="s">
        <v>445</v>
      </c>
      <c r="K42" s="16" t="s">
        <v>447</v>
      </c>
      <c r="L42" s="16" t="s">
        <v>405</v>
      </c>
      <c r="M42" s="17" t="s">
        <v>439</v>
      </c>
    </row>
    <row r="43" customFormat="false" ht="15" hidden="false" customHeight="true" outlineLevel="0" collapsed="false">
      <c r="A43" s="39" t="n">
        <v>45779</v>
      </c>
      <c r="B43" s="16" t="s">
        <v>440</v>
      </c>
      <c r="C43" s="16" t="s">
        <v>15</v>
      </c>
      <c r="D43" s="41" t="s">
        <v>18</v>
      </c>
      <c r="E43" s="41" t="s">
        <v>19</v>
      </c>
      <c r="F43" s="16" t="s">
        <v>473</v>
      </c>
      <c r="G43" s="16" t="n">
        <v>3</v>
      </c>
      <c r="H43" s="16" t="s">
        <v>431</v>
      </c>
      <c r="I43" s="16" t="s">
        <v>453</v>
      </c>
      <c r="J43" s="16" t="s">
        <v>454</v>
      </c>
      <c r="K43" s="16" t="s">
        <v>455</v>
      </c>
      <c r="L43" s="16" t="s">
        <v>405</v>
      </c>
      <c r="M43" s="17" t="s">
        <v>102</v>
      </c>
    </row>
    <row r="44" customFormat="false" ht="15" hidden="false" customHeight="true" outlineLevel="0" collapsed="false">
      <c r="A44" s="39" t="n">
        <v>45779</v>
      </c>
      <c r="B44" s="16" t="s">
        <v>440</v>
      </c>
      <c r="C44" s="16" t="s">
        <v>15</v>
      </c>
      <c r="D44" s="41" t="s">
        <v>18</v>
      </c>
      <c r="E44" s="41" t="s">
        <v>19</v>
      </c>
      <c r="F44" s="16" t="s">
        <v>473</v>
      </c>
      <c r="G44" s="16" t="n">
        <v>3</v>
      </c>
      <c r="H44" s="16" t="s">
        <v>431</v>
      </c>
      <c r="I44" s="16" t="s">
        <v>444</v>
      </c>
      <c r="J44" s="16" t="s">
        <v>445</v>
      </c>
      <c r="K44" s="16" t="s">
        <v>446</v>
      </c>
      <c r="L44" s="16" t="s">
        <v>405</v>
      </c>
      <c r="M44" s="17" t="s">
        <v>439</v>
      </c>
    </row>
    <row r="45" customFormat="false" ht="15" hidden="false" customHeight="true" outlineLevel="0" collapsed="false">
      <c r="A45" s="39" t="n">
        <v>45779</v>
      </c>
      <c r="B45" s="16" t="s">
        <v>440</v>
      </c>
      <c r="C45" s="16" t="s">
        <v>15</v>
      </c>
      <c r="D45" s="41" t="s">
        <v>18</v>
      </c>
      <c r="E45" s="41" t="s">
        <v>19</v>
      </c>
      <c r="F45" s="16" t="s">
        <v>474</v>
      </c>
      <c r="G45" s="16" t="n">
        <v>1</v>
      </c>
      <c r="H45" s="16" t="s">
        <v>431</v>
      </c>
      <c r="I45" s="16" t="s">
        <v>444</v>
      </c>
      <c r="J45" s="16" t="s">
        <v>445</v>
      </c>
      <c r="K45" s="16" t="s">
        <v>446</v>
      </c>
      <c r="L45" s="16" t="s">
        <v>405</v>
      </c>
      <c r="M45" s="17" t="s">
        <v>439</v>
      </c>
    </row>
    <row r="46" customFormat="false" ht="15" hidden="false" customHeight="true" outlineLevel="0" collapsed="false">
      <c r="A46" s="39" t="n">
        <v>45779</v>
      </c>
      <c r="B46" s="16" t="s">
        <v>440</v>
      </c>
      <c r="C46" s="16" t="s">
        <v>15</v>
      </c>
      <c r="D46" s="41" t="s">
        <v>18</v>
      </c>
      <c r="E46" s="41" t="s">
        <v>19</v>
      </c>
      <c r="F46" s="16" t="s">
        <v>473</v>
      </c>
      <c r="G46" s="16" t="n">
        <v>3</v>
      </c>
      <c r="H46" s="16" t="s">
        <v>431</v>
      </c>
      <c r="I46" s="16" t="s">
        <v>436</v>
      </c>
      <c r="J46" s="16" t="s">
        <v>437</v>
      </c>
      <c r="K46" s="16" t="s">
        <v>438</v>
      </c>
      <c r="L46" s="16" t="s">
        <v>405</v>
      </c>
      <c r="M46" s="17" t="s">
        <v>439</v>
      </c>
    </row>
    <row r="47" customFormat="false" ht="15" hidden="false" customHeight="true" outlineLevel="0" collapsed="false">
      <c r="A47" s="39" t="n">
        <v>45779</v>
      </c>
      <c r="B47" s="16" t="s">
        <v>440</v>
      </c>
      <c r="C47" s="16" t="s">
        <v>15</v>
      </c>
      <c r="D47" s="41" t="s">
        <v>18</v>
      </c>
      <c r="E47" s="41" t="s">
        <v>19</v>
      </c>
      <c r="F47" s="16" t="s">
        <v>473</v>
      </c>
      <c r="G47" s="16" t="n">
        <v>3</v>
      </c>
      <c r="H47" s="16" t="s">
        <v>431</v>
      </c>
      <c r="I47" s="16" t="s">
        <v>444</v>
      </c>
      <c r="J47" s="16" t="s">
        <v>464</v>
      </c>
      <c r="K47" s="16" t="s">
        <v>465</v>
      </c>
      <c r="L47" s="16" t="s">
        <v>385</v>
      </c>
      <c r="M47" s="17" t="s">
        <v>439</v>
      </c>
    </row>
    <row r="48" customFormat="false" ht="15" hidden="false" customHeight="true" outlineLevel="0" collapsed="false">
      <c r="A48" s="39" t="n">
        <v>45779</v>
      </c>
      <c r="B48" s="16" t="s">
        <v>440</v>
      </c>
      <c r="C48" s="16" t="s">
        <v>15</v>
      </c>
      <c r="D48" s="41" t="s">
        <v>18</v>
      </c>
      <c r="E48" s="41" t="s">
        <v>19</v>
      </c>
      <c r="F48" s="16" t="s">
        <v>473</v>
      </c>
      <c r="G48" s="16" t="n">
        <v>1</v>
      </c>
      <c r="H48" s="16" t="s">
        <v>431</v>
      </c>
      <c r="I48" s="16" t="s">
        <v>453</v>
      </c>
      <c r="J48" s="16" t="s">
        <v>454</v>
      </c>
      <c r="K48" s="16" t="s">
        <v>455</v>
      </c>
      <c r="L48" s="16" t="s">
        <v>405</v>
      </c>
      <c r="M48" s="17" t="s">
        <v>102</v>
      </c>
    </row>
    <row r="49" customFormat="false" ht="15" hidden="false" customHeight="true" outlineLevel="0" collapsed="false">
      <c r="A49" s="39" t="n">
        <v>45779</v>
      </c>
      <c r="B49" s="16" t="s">
        <v>440</v>
      </c>
      <c r="C49" s="16" t="s">
        <v>15</v>
      </c>
      <c r="D49" s="41" t="s">
        <v>18</v>
      </c>
      <c r="E49" s="41" t="s">
        <v>19</v>
      </c>
      <c r="F49" s="16" t="s">
        <v>473</v>
      </c>
      <c r="G49" s="16" t="n">
        <v>2</v>
      </c>
      <c r="H49" s="16" t="s">
        <v>431</v>
      </c>
      <c r="I49" s="16" t="s">
        <v>444</v>
      </c>
      <c r="J49" s="16" t="s">
        <v>445</v>
      </c>
      <c r="K49" s="16" t="s">
        <v>446</v>
      </c>
      <c r="L49" s="16" t="s">
        <v>405</v>
      </c>
      <c r="M49" s="17" t="s">
        <v>439</v>
      </c>
    </row>
    <row r="50" customFormat="false" ht="15" hidden="false" customHeight="true" outlineLevel="0" collapsed="false">
      <c r="A50" s="39" t="n">
        <v>45779</v>
      </c>
      <c r="B50" s="16" t="s">
        <v>440</v>
      </c>
      <c r="C50" s="16" t="s">
        <v>15</v>
      </c>
      <c r="D50" s="41" t="s">
        <v>18</v>
      </c>
      <c r="E50" s="41" t="s">
        <v>19</v>
      </c>
      <c r="F50" s="16" t="s">
        <v>473</v>
      </c>
      <c r="G50" s="16" t="n">
        <v>1</v>
      </c>
      <c r="H50" s="16" t="s">
        <v>431</v>
      </c>
      <c r="I50" s="16" t="s">
        <v>444</v>
      </c>
      <c r="J50" s="16" t="s">
        <v>445</v>
      </c>
      <c r="K50" s="16" t="s">
        <v>446</v>
      </c>
      <c r="L50" s="16" t="s">
        <v>405</v>
      </c>
      <c r="M50" s="17" t="s">
        <v>439</v>
      </c>
    </row>
    <row r="51" customFormat="false" ht="15" hidden="false" customHeight="true" outlineLevel="0" collapsed="false">
      <c r="A51" s="39" t="n">
        <v>45779</v>
      </c>
      <c r="B51" s="16" t="s">
        <v>283</v>
      </c>
      <c r="C51" s="16" t="s">
        <v>20</v>
      </c>
      <c r="D51" s="41" t="s">
        <v>23</v>
      </c>
      <c r="E51" s="41" t="s">
        <v>24</v>
      </c>
      <c r="F51" s="16" t="s">
        <v>461</v>
      </c>
      <c r="G51" s="16" t="n">
        <v>1</v>
      </c>
      <c r="H51" s="16" t="s">
        <v>456</v>
      </c>
      <c r="I51" s="16" t="s">
        <v>475</v>
      </c>
      <c r="J51" s="16" t="s">
        <v>476</v>
      </c>
      <c r="K51" s="16" t="s">
        <v>477</v>
      </c>
      <c r="L51" s="16" t="s">
        <v>405</v>
      </c>
      <c r="M51" s="17" t="s">
        <v>452</v>
      </c>
    </row>
    <row r="52" customFormat="false" ht="15" hidden="false" customHeight="true" outlineLevel="0" collapsed="false">
      <c r="A52" s="39" t="n">
        <v>45779</v>
      </c>
      <c r="B52" s="16" t="s">
        <v>283</v>
      </c>
      <c r="C52" s="16" t="s">
        <v>20</v>
      </c>
      <c r="D52" s="41" t="s">
        <v>23</v>
      </c>
      <c r="E52" s="41" t="s">
        <v>24</v>
      </c>
      <c r="F52" s="16" t="s">
        <v>461</v>
      </c>
      <c r="G52" s="16" t="n">
        <v>2</v>
      </c>
      <c r="H52" s="16" t="s">
        <v>431</v>
      </c>
      <c r="I52" s="16" t="s">
        <v>444</v>
      </c>
      <c r="J52" s="16" t="s">
        <v>445</v>
      </c>
      <c r="K52" s="16" t="s">
        <v>446</v>
      </c>
      <c r="L52" s="16" t="s">
        <v>405</v>
      </c>
      <c r="M52" s="17" t="s">
        <v>439</v>
      </c>
    </row>
    <row r="53" customFormat="false" ht="15" hidden="false" customHeight="true" outlineLevel="0" collapsed="false">
      <c r="A53" s="39" t="n">
        <v>45779</v>
      </c>
      <c r="B53" s="16" t="s">
        <v>283</v>
      </c>
      <c r="C53" s="16" t="s">
        <v>20</v>
      </c>
      <c r="D53" s="41" t="s">
        <v>23</v>
      </c>
      <c r="E53" s="41" t="s">
        <v>24</v>
      </c>
      <c r="F53" s="16" t="s">
        <v>461</v>
      </c>
      <c r="G53" s="16" t="n">
        <v>2</v>
      </c>
      <c r="H53" s="16" t="s">
        <v>431</v>
      </c>
      <c r="I53" s="16" t="s">
        <v>436</v>
      </c>
      <c r="J53" s="16" t="s">
        <v>437</v>
      </c>
      <c r="K53" s="16" t="s">
        <v>438</v>
      </c>
      <c r="L53" s="16" t="s">
        <v>405</v>
      </c>
      <c r="M53" s="17" t="s">
        <v>439</v>
      </c>
    </row>
    <row r="54" customFormat="false" ht="15" hidden="false" customHeight="true" outlineLevel="0" collapsed="false">
      <c r="A54" s="39" t="n">
        <v>45779</v>
      </c>
      <c r="B54" s="16" t="s">
        <v>283</v>
      </c>
      <c r="C54" s="16" t="s">
        <v>20</v>
      </c>
      <c r="D54" s="41" t="s">
        <v>23</v>
      </c>
      <c r="E54" s="41" t="s">
        <v>24</v>
      </c>
      <c r="F54" s="16" t="s">
        <v>461</v>
      </c>
      <c r="G54" s="16" t="n">
        <v>1</v>
      </c>
      <c r="H54" s="16" t="s">
        <v>431</v>
      </c>
      <c r="I54" s="16" t="s">
        <v>444</v>
      </c>
      <c r="J54" s="16" t="s">
        <v>445</v>
      </c>
      <c r="K54" s="16" t="s">
        <v>446</v>
      </c>
      <c r="L54" s="16" t="s">
        <v>405</v>
      </c>
      <c r="M54" s="17" t="s">
        <v>439</v>
      </c>
    </row>
    <row r="55" customFormat="false" ht="15" hidden="false" customHeight="true" outlineLevel="0" collapsed="false">
      <c r="A55" s="39" t="n">
        <v>45779</v>
      </c>
      <c r="B55" s="16" t="s">
        <v>283</v>
      </c>
      <c r="C55" s="16" t="s">
        <v>20</v>
      </c>
      <c r="D55" s="41" t="s">
        <v>23</v>
      </c>
      <c r="E55" s="41" t="s">
        <v>24</v>
      </c>
      <c r="F55" s="16" t="s">
        <v>461</v>
      </c>
      <c r="G55" s="16" t="n">
        <v>1</v>
      </c>
      <c r="H55" s="16" t="s">
        <v>431</v>
      </c>
      <c r="I55" s="16" t="s">
        <v>478</v>
      </c>
      <c r="J55" s="16" t="s">
        <v>479</v>
      </c>
      <c r="K55" s="16" t="s">
        <v>480</v>
      </c>
      <c r="L55" s="16" t="s">
        <v>405</v>
      </c>
      <c r="M55" s="17" t="s">
        <v>102</v>
      </c>
    </row>
    <row r="56" customFormat="false" ht="15" hidden="false" customHeight="true" outlineLevel="0" collapsed="false">
      <c r="A56" s="39" t="n">
        <v>45779</v>
      </c>
      <c r="B56" s="16" t="s">
        <v>283</v>
      </c>
      <c r="C56" s="16" t="s">
        <v>20</v>
      </c>
      <c r="D56" s="41" t="s">
        <v>23</v>
      </c>
      <c r="E56" s="41" t="s">
        <v>24</v>
      </c>
      <c r="F56" s="16" t="s">
        <v>461</v>
      </c>
      <c r="G56" s="16" t="n">
        <v>1</v>
      </c>
      <c r="H56" s="16" t="s">
        <v>431</v>
      </c>
      <c r="I56" s="16" t="s">
        <v>441</v>
      </c>
      <c r="J56" s="16" t="s">
        <v>442</v>
      </c>
      <c r="K56" s="16" t="s">
        <v>443</v>
      </c>
      <c r="L56" s="16" t="s">
        <v>385</v>
      </c>
      <c r="M56" s="17" t="s">
        <v>435</v>
      </c>
    </row>
    <row r="57" customFormat="false" ht="15" hidden="false" customHeight="true" outlineLevel="0" collapsed="false">
      <c r="A57" s="39" t="n">
        <v>45779</v>
      </c>
      <c r="B57" s="16" t="s">
        <v>283</v>
      </c>
      <c r="C57" s="16" t="s">
        <v>20</v>
      </c>
      <c r="D57" s="41" t="s">
        <v>23</v>
      </c>
      <c r="E57" s="41" t="s">
        <v>24</v>
      </c>
      <c r="F57" s="16" t="s">
        <v>193</v>
      </c>
      <c r="G57" s="16" t="n">
        <v>2</v>
      </c>
      <c r="H57" s="16" t="s">
        <v>431</v>
      </c>
      <c r="I57" s="16" t="s">
        <v>441</v>
      </c>
      <c r="J57" s="16" t="s">
        <v>442</v>
      </c>
      <c r="K57" s="16" t="s">
        <v>443</v>
      </c>
      <c r="L57" s="16" t="s">
        <v>385</v>
      </c>
      <c r="M57" s="17" t="s">
        <v>435</v>
      </c>
    </row>
    <row r="58" customFormat="false" ht="15" hidden="false" customHeight="true" outlineLevel="0" collapsed="false">
      <c r="A58" s="39" t="n">
        <v>45779</v>
      </c>
      <c r="B58" s="16" t="s">
        <v>283</v>
      </c>
      <c r="C58" s="16" t="s">
        <v>20</v>
      </c>
      <c r="D58" s="41" t="s">
        <v>23</v>
      </c>
      <c r="E58" s="41" t="s">
        <v>24</v>
      </c>
      <c r="F58" s="16" t="s">
        <v>193</v>
      </c>
      <c r="G58" s="16" t="n">
        <v>2</v>
      </c>
      <c r="H58" s="16" t="s">
        <v>431</v>
      </c>
      <c r="I58" s="16" t="s">
        <v>453</v>
      </c>
      <c r="J58" s="16" t="s">
        <v>454</v>
      </c>
      <c r="K58" s="16" t="s">
        <v>455</v>
      </c>
      <c r="L58" s="16" t="s">
        <v>405</v>
      </c>
      <c r="M58" s="17" t="s">
        <v>102</v>
      </c>
    </row>
    <row r="59" customFormat="false" ht="15" hidden="false" customHeight="true" outlineLevel="0" collapsed="false">
      <c r="A59" s="39" t="n">
        <v>45779</v>
      </c>
      <c r="B59" s="16" t="s">
        <v>283</v>
      </c>
      <c r="C59" s="16" t="s">
        <v>20</v>
      </c>
      <c r="D59" s="41" t="s">
        <v>23</v>
      </c>
      <c r="E59" s="41" t="s">
        <v>24</v>
      </c>
      <c r="F59" s="16" t="s">
        <v>277</v>
      </c>
      <c r="G59" s="16" t="n">
        <v>3</v>
      </c>
      <c r="H59" s="16" t="s">
        <v>431</v>
      </c>
      <c r="I59" s="16" t="s">
        <v>453</v>
      </c>
      <c r="J59" s="16" t="s">
        <v>454</v>
      </c>
      <c r="K59" s="16" t="s">
        <v>455</v>
      </c>
      <c r="L59" s="16" t="s">
        <v>405</v>
      </c>
      <c r="M59" s="17" t="s">
        <v>102</v>
      </c>
    </row>
    <row r="60" customFormat="false" ht="15" hidden="false" customHeight="true" outlineLevel="0" collapsed="false">
      <c r="A60" s="39" t="n">
        <v>45779</v>
      </c>
      <c r="B60" s="16" t="s">
        <v>283</v>
      </c>
      <c r="C60" s="16" t="s">
        <v>20</v>
      </c>
      <c r="D60" s="41" t="s">
        <v>23</v>
      </c>
      <c r="E60" s="41" t="s">
        <v>24</v>
      </c>
      <c r="F60" s="16" t="s">
        <v>277</v>
      </c>
      <c r="G60" s="16" t="n">
        <v>3</v>
      </c>
      <c r="H60" s="16" t="s">
        <v>431</v>
      </c>
      <c r="I60" s="16" t="s">
        <v>432</v>
      </c>
      <c r="J60" s="16" t="s">
        <v>470</v>
      </c>
      <c r="K60" s="16" t="s">
        <v>471</v>
      </c>
      <c r="L60" s="16" t="s">
        <v>385</v>
      </c>
      <c r="M60" s="17" t="s">
        <v>435</v>
      </c>
    </row>
    <row r="61" customFormat="false" ht="15" hidden="false" customHeight="true" outlineLevel="0" collapsed="false">
      <c r="A61" s="39" t="n">
        <v>45779</v>
      </c>
      <c r="B61" s="16" t="s">
        <v>283</v>
      </c>
      <c r="C61" s="16" t="s">
        <v>20</v>
      </c>
      <c r="D61" s="41" t="s">
        <v>23</v>
      </c>
      <c r="E61" s="41" t="s">
        <v>24</v>
      </c>
      <c r="F61" s="16" t="s">
        <v>277</v>
      </c>
      <c r="G61" s="16" t="n">
        <v>3</v>
      </c>
      <c r="H61" s="16" t="s">
        <v>431</v>
      </c>
      <c r="I61" s="16" t="s">
        <v>444</v>
      </c>
      <c r="J61" s="16" t="s">
        <v>445</v>
      </c>
      <c r="K61" s="16" t="s">
        <v>446</v>
      </c>
      <c r="L61" s="16" t="s">
        <v>405</v>
      </c>
      <c r="M61" s="17" t="s">
        <v>439</v>
      </c>
    </row>
    <row r="62" customFormat="false" ht="15" hidden="false" customHeight="true" outlineLevel="0" collapsed="false">
      <c r="A62" s="39" t="n">
        <v>45779</v>
      </c>
      <c r="B62" s="16" t="s">
        <v>283</v>
      </c>
      <c r="C62" s="16" t="s">
        <v>20</v>
      </c>
      <c r="D62" s="41" t="s">
        <v>23</v>
      </c>
      <c r="E62" s="41" t="s">
        <v>24</v>
      </c>
      <c r="F62" s="16" t="s">
        <v>277</v>
      </c>
      <c r="G62" s="16" t="n">
        <v>3</v>
      </c>
      <c r="H62" s="16" t="s">
        <v>431</v>
      </c>
      <c r="I62" s="16" t="s">
        <v>441</v>
      </c>
      <c r="J62" s="16" t="s">
        <v>442</v>
      </c>
      <c r="K62" s="16" t="s">
        <v>443</v>
      </c>
      <c r="L62" s="16" t="s">
        <v>385</v>
      </c>
      <c r="M62" s="17" t="s">
        <v>435</v>
      </c>
    </row>
    <row r="63" customFormat="false" ht="15" hidden="false" customHeight="true" outlineLevel="0" collapsed="false">
      <c r="A63" s="39" t="n">
        <v>45779</v>
      </c>
      <c r="B63" s="16" t="s">
        <v>283</v>
      </c>
      <c r="C63" s="16" t="s">
        <v>20</v>
      </c>
      <c r="D63" s="41" t="s">
        <v>23</v>
      </c>
      <c r="E63" s="41" t="s">
        <v>24</v>
      </c>
      <c r="F63" s="16" t="s">
        <v>277</v>
      </c>
      <c r="G63" s="16" t="n">
        <v>2</v>
      </c>
      <c r="H63" s="16" t="s">
        <v>431</v>
      </c>
      <c r="I63" s="16" t="s">
        <v>453</v>
      </c>
      <c r="J63" s="16" t="s">
        <v>454</v>
      </c>
      <c r="K63" s="16" t="s">
        <v>455</v>
      </c>
      <c r="L63" s="16" t="s">
        <v>405</v>
      </c>
      <c r="M63" s="17" t="s">
        <v>102</v>
      </c>
    </row>
    <row r="64" customFormat="false" ht="14.25" hidden="false" customHeight="true" outlineLevel="0" collapsed="false">
      <c r="A64" s="39" t="n">
        <v>45779</v>
      </c>
      <c r="B64" s="16" t="s">
        <v>283</v>
      </c>
      <c r="C64" s="16" t="s">
        <v>20</v>
      </c>
      <c r="D64" s="41" t="s">
        <v>23</v>
      </c>
      <c r="E64" s="41" t="s">
        <v>24</v>
      </c>
      <c r="F64" s="16" t="s">
        <v>277</v>
      </c>
      <c r="G64" s="16" t="n">
        <v>2</v>
      </c>
      <c r="H64" s="16" t="s">
        <v>431</v>
      </c>
      <c r="I64" s="16" t="s">
        <v>444</v>
      </c>
      <c r="J64" s="16" t="s">
        <v>445</v>
      </c>
      <c r="K64" s="16" t="s">
        <v>446</v>
      </c>
      <c r="L64" s="16" t="s">
        <v>405</v>
      </c>
      <c r="M64" s="17" t="s">
        <v>439</v>
      </c>
    </row>
  </sheetData>
  <mergeCells count="1">
    <mergeCell ref="A1:M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BACC6"/>
    <pageSetUpPr fitToPage="false"/>
  </sheetPr>
  <dimension ref="A2:N44"/>
  <sheetViews>
    <sheetView showFormulas="false" showGridLines="true" showRowColHeaders="true" showZeros="true" rightToLeft="false" tabSelected="false" showOutlineSymbols="true" defaultGridColor="true" view="normal" topLeftCell="A19" colorId="64" zoomScale="85" zoomScaleNormal="85" zoomScalePageLayoutView="100" workbookViewId="0">
      <selection pane="topLeft" activeCell="K42" activeCellId="0" sqref="K42"/>
    </sheetView>
  </sheetViews>
  <sheetFormatPr defaultColWidth="11.5625" defaultRowHeight="14.25" zeroHeight="false" outlineLevelRow="0" outlineLevelCol="0"/>
  <cols>
    <col collapsed="false" customWidth="true" hidden="false" outlineLevel="0" max="1" min="1" style="1" width="13.56"/>
    <col collapsed="false" customWidth="true" hidden="false" outlineLevel="0" max="2" min="2" style="1" width="19.33"/>
    <col collapsed="false" customWidth="true" hidden="false" outlineLevel="0" max="7" min="3" style="1" width="13.34"/>
    <col collapsed="false" customWidth="true" hidden="false" outlineLevel="0" max="8" min="8" style="1" width="17.11"/>
    <col collapsed="false" customWidth="true" hidden="false" outlineLevel="0" max="9" min="9" style="1" width="13.34"/>
    <col collapsed="false" customWidth="true" hidden="false" outlineLevel="0" max="10" min="10" style="1" width="16"/>
    <col collapsed="false" customWidth="true" hidden="false" outlineLevel="0" max="13" min="11" style="1" width="13.34"/>
  </cols>
  <sheetData>
    <row r="2" customFormat="false" ht="14.25" hidden="false" customHeight="true" outlineLevel="0" collapsed="false">
      <c r="A2" s="15" t="s">
        <v>481</v>
      </c>
      <c r="B2" s="53" t="n">
        <v>45625</v>
      </c>
      <c r="C2" s="15"/>
    </row>
    <row r="3" customFormat="false" ht="14.25" hidden="false" customHeight="true" outlineLevel="0" collapsed="false">
      <c r="A3" s="15" t="s">
        <v>482</v>
      </c>
      <c r="B3" s="54" t="s">
        <v>181</v>
      </c>
      <c r="C3" s="15"/>
    </row>
    <row r="4" customFormat="false" ht="14.25" hidden="false" customHeight="true" outlineLevel="0" collapsed="false">
      <c r="A4" s="15"/>
      <c r="B4" s="15"/>
      <c r="C4" s="15"/>
      <c r="D4" s="15"/>
    </row>
    <row r="5" customFormat="false" ht="14.25" hidden="false" customHeight="true" outlineLevel="0" collapsed="false">
      <c r="A5" s="18" t="s">
        <v>483</v>
      </c>
      <c r="B5" s="18"/>
      <c r="C5" s="18"/>
      <c r="D5" s="18"/>
      <c r="E5" s="18"/>
      <c r="F5" s="28"/>
      <c r="G5" s="28"/>
      <c r="H5" s="18" t="s">
        <v>484</v>
      </c>
      <c r="I5" s="18"/>
      <c r="J5" s="18"/>
      <c r="K5" s="18"/>
      <c r="L5" s="18"/>
      <c r="M5" s="18"/>
    </row>
    <row r="6" customFormat="false" ht="14.25" hidden="false" customHeight="true" outlineLevel="0" collapsed="false">
      <c r="A6" s="28"/>
      <c r="B6" s="28"/>
      <c r="C6" s="28"/>
      <c r="D6" s="28"/>
      <c r="E6" s="28"/>
      <c r="F6" s="28"/>
      <c r="G6" s="28"/>
      <c r="H6" s="15"/>
      <c r="I6" s="15"/>
      <c r="J6" s="15"/>
      <c r="K6" s="15"/>
      <c r="L6" s="15"/>
      <c r="M6" s="28"/>
    </row>
    <row r="7" customFormat="false" ht="14.25" hidden="false" customHeight="true" outlineLevel="0" collapsed="false">
      <c r="A7" s="15" t="s">
        <v>485</v>
      </c>
      <c r="H7" s="27" t="s">
        <v>486</v>
      </c>
    </row>
    <row r="8" customFormat="false" ht="14.25" hidden="false" customHeight="true" outlineLevel="0" collapsed="false">
      <c r="A8" s="15"/>
      <c r="H8" s="27"/>
    </row>
    <row r="9" customFormat="false" ht="14.25" hidden="false" customHeight="true" outlineLevel="0" collapsed="false">
      <c r="A9" s="55" t="s">
        <v>487</v>
      </c>
      <c r="B9" s="56" t="s">
        <v>488</v>
      </c>
      <c r="C9" s="56"/>
      <c r="D9" s="56"/>
      <c r="E9" s="56"/>
      <c r="F9" s="28"/>
      <c r="G9" s="28"/>
      <c r="H9" s="57" t="s">
        <v>489</v>
      </c>
      <c r="I9" s="57"/>
      <c r="J9" s="57"/>
      <c r="K9" s="57"/>
      <c r="L9" s="57"/>
      <c r="M9" s="57"/>
    </row>
    <row r="10" customFormat="false" ht="14.25" hidden="false" customHeight="true" outlineLevel="0" collapsed="false">
      <c r="A10" s="55"/>
      <c r="B10" s="56" t="s">
        <v>490</v>
      </c>
      <c r="C10" s="56" t="s">
        <v>491</v>
      </c>
      <c r="D10" s="56" t="s">
        <v>492</v>
      </c>
      <c r="E10" s="56" t="s">
        <v>493</v>
      </c>
      <c r="F10" s="28"/>
      <c r="G10" s="28"/>
      <c r="H10" s="57"/>
      <c r="I10" s="57"/>
      <c r="J10" s="57"/>
      <c r="K10" s="57"/>
      <c r="L10" s="57"/>
      <c r="M10" s="57"/>
    </row>
    <row r="11" customFormat="false" ht="14.25" hidden="false" customHeight="true" outlineLevel="0" collapsed="false">
      <c r="A11" s="58" t="s">
        <v>494</v>
      </c>
      <c r="B11" s="58" t="n">
        <v>8</v>
      </c>
      <c r="C11" s="58" t="n">
        <v>10</v>
      </c>
      <c r="D11" s="58" t="n">
        <v>5</v>
      </c>
      <c r="E11" s="58" t="n">
        <v>10</v>
      </c>
      <c r="F11" s="59"/>
      <c r="G11" s="59"/>
      <c r="H11" s="57"/>
      <c r="I11" s="57"/>
      <c r="J11" s="57"/>
      <c r="K11" s="57"/>
      <c r="L11" s="57"/>
      <c r="M11" s="57"/>
    </row>
    <row r="12" customFormat="false" ht="14.25" hidden="false" customHeight="true" outlineLevel="0" collapsed="false">
      <c r="A12" s="58" t="s">
        <v>495</v>
      </c>
      <c r="B12" s="58" t="n">
        <v>6</v>
      </c>
      <c r="C12" s="58" t="n">
        <v>8</v>
      </c>
      <c r="D12" s="58" t="n">
        <v>6</v>
      </c>
      <c r="E12" s="58" t="n">
        <v>10</v>
      </c>
      <c r="F12" s="59"/>
      <c r="G12" s="59"/>
      <c r="H12" s="60"/>
      <c r="I12" s="60"/>
      <c r="J12" s="60"/>
      <c r="K12" s="60"/>
      <c r="L12" s="60"/>
      <c r="M12" s="60"/>
    </row>
    <row r="13" customFormat="false" ht="14.25" hidden="false" customHeight="true" outlineLevel="0" collapsed="false">
      <c r="A13" s="58" t="s">
        <v>496</v>
      </c>
      <c r="B13" s="58" t="n">
        <v>8</v>
      </c>
      <c r="C13" s="58" t="n">
        <v>8</v>
      </c>
      <c r="D13" s="58" t="n">
        <v>4</v>
      </c>
      <c r="E13" s="58" t="n">
        <v>10</v>
      </c>
      <c r="F13" s="59"/>
      <c r="G13" s="59"/>
      <c r="H13" s="60" t="s">
        <v>497</v>
      </c>
      <c r="I13" s="61"/>
      <c r="J13" s="61"/>
      <c r="K13" s="61"/>
      <c r="L13" s="61"/>
      <c r="M13" s="59"/>
    </row>
    <row r="14" customFormat="false" ht="14.25" hidden="false" customHeight="true" outlineLevel="0" collapsed="false">
      <c r="A14" s="58" t="s">
        <v>498</v>
      </c>
      <c r="B14" s="58" t="n">
        <v>4</v>
      </c>
      <c r="C14" s="58" t="n">
        <v>6</v>
      </c>
      <c r="D14" s="58" t="n">
        <v>5</v>
      </c>
      <c r="E14" s="58" t="n">
        <v>10</v>
      </c>
      <c r="F14" s="59"/>
      <c r="G14" s="59"/>
      <c r="H14" s="59"/>
      <c r="I14" s="59"/>
      <c r="J14" s="59"/>
      <c r="K14" s="59"/>
      <c r="L14" s="59"/>
      <c r="M14" s="59"/>
    </row>
    <row r="15" customFormat="false" ht="14.25" hidden="false" customHeight="true" outlineLevel="0" collapsed="false">
      <c r="A15" s="58" t="s">
        <v>499</v>
      </c>
      <c r="B15" s="58" t="n">
        <v>8</v>
      </c>
      <c r="C15" s="58" t="n">
        <v>6</v>
      </c>
      <c r="D15" s="58" t="n">
        <v>6</v>
      </c>
      <c r="E15" s="58" t="n">
        <v>9</v>
      </c>
      <c r="F15" s="59"/>
      <c r="G15" s="59"/>
      <c r="H15" s="55" t="s">
        <v>487</v>
      </c>
      <c r="I15" s="55" t="s">
        <v>500</v>
      </c>
      <c r="J15" s="55"/>
      <c r="K15" s="55"/>
      <c r="L15" s="59"/>
      <c r="M15" s="59"/>
    </row>
    <row r="16" customFormat="false" ht="14.25" hidden="false" customHeight="true" outlineLevel="0" collapsed="false">
      <c r="A16" s="58" t="s">
        <v>501</v>
      </c>
      <c r="B16" s="58" t="n">
        <v>5</v>
      </c>
      <c r="C16" s="58" t="n">
        <v>6</v>
      </c>
      <c r="D16" s="58" t="n">
        <v>7</v>
      </c>
      <c r="E16" s="58" t="n">
        <v>9</v>
      </c>
      <c r="F16" s="59"/>
      <c r="G16" s="59"/>
      <c r="H16" s="55"/>
      <c r="I16" s="55" t="s">
        <v>502</v>
      </c>
      <c r="J16" s="55" t="s">
        <v>440</v>
      </c>
      <c r="K16" s="55" t="s">
        <v>283</v>
      </c>
      <c r="L16" s="59"/>
      <c r="M16" s="59"/>
    </row>
    <row r="17" customFormat="false" ht="14.25" hidden="false" customHeight="true" outlineLevel="0" collapsed="false">
      <c r="A17" s="58" t="n">
        <v>4</v>
      </c>
      <c r="B17" s="58" t="n">
        <v>9</v>
      </c>
      <c r="C17" s="58" t="n">
        <v>8</v>
      </c>
      <c r="D17" s="58" t="n">
        <v>5</v>
      </c>
      <c r="E17" s="58" t="n">
        <v>9</v>
      </c>
      <c r="F17" s="59"/>
      <c r="G17" s="59"/>
      <c r="H17" s="58" t="s">
        <v>494</v>
      </c>
      <c r="I17" s="62" t="n">
        <f aca="false">+AVERAGE(B11:C11)</f>
        <v>9</v>
      </c>
      <c r="J17" s="58" t="n">
        <v>5</v>
      </c>
      <c r="K17" s="58" t="n">
        <v>10</v>
      </c>
      <c r="L17" s="59"/>
      <c r="M17" s="59"/>
    </row>
    <row r="18" customFormat="false" ht="14.25" hidden="false" customHeight="true" outlineLevel="0" collapsed="false">
      <c r="A18" s="58" t="n">
        <v>5</v>
      </c>
      <c r="B18" s="58" t="n">
        <v>6</v>
      </c>
      <c r="C18" s="58" t="n">
        <v>9</v>
      </c>
      <c r="D18" s="58" t="n">
        <v>4</v>
      </c>
      <c r="E18" s="58" t="n">
        <v>10</v>
      </c>
      <c r="F18" s="59"/>
      <c r="G18" s="59"/>
      <c r="H18" s="58" t="s">
        <v>495</v>
      </c>
      <c r="I18" s="62" t="n">
        <f aca="false">+AVERAGE(B12:C12)</f>
        <v>7</v>
      </c>
      <c r="J18" s="58" t="n">
        <v>6</v>
      </c>
      <c r="K18" s="58" t="n">
        <v>10</v>
      </c>
      <c r="L18" s="59"/>
      <c r="M18" s="59"/>
      <c r="N18" s="63"/>
    </row>
    <row r="19" customFormat="false" ht="14.25" hidden="false" customHeight="true" outlineLevel="0" collapsed="false">
      <c r="A19" s="58" t="n">
        <v>6</v>
      </c>
      <c r="B19" s="58" t="n">
        <v>6</v>
      </c>
      <c r="C19" s="58" t="n">
        <v>10</v>
      </c>
      <c r="D19" s="58" t="n">
        <v>5</v>
      </c>
      <c r="E19" s="58" t="n">
        <v>9</v>
      </c>
      <c r="F19" s="59"/>
      <c r="G19" s="59"/>
      <c r="H19" s="58" t="s">
        <v>496</v>
      </c>
      <c r="I19" s="62" t="n">
        <f aca="false">+AVERAGE(B13:C13)</f>
        <v>8</v>
      </c>
      <c r="J19" s="58" t="n">
        <v>4</v>
      </c>
      <c r="K19" s="58" t="n">
        <v>10</v>
      </c>
      <c r="L19" s="59"/>
      <c r="M19" s="59"/>
    </row>
    <row r="20" customFormat="false" ht="14.25" hidden="false" customHeight="true" outlineLevel="0" collapsed="false">
      <c r="A20" s="58" t="n">
        <v>7</v>
      </c>
      <c r="B20" s="58" t="n">
        <v>7</v>
      </c>
      <c r="C20" s="58" t="n">
        <v>9</v>
      </c>
      <c r="D20" s="58" t="n">
        <v>4</v>
      </c>
      <c r="E20" s="58" t="n">
        <v>9</v>
      </c>
      <c r="F20" s="59"/>
      <c r="G20" s="59"/>
      <c r="H20" s="58" t="s">
        <v>498</v>
      </c>
      <c r="I20" s="62" t="n">
        <f aca="false">+AVERAGE(B14:C14)</f>
        <v>5</v>
      </c>
      <c r="J20" s="58" t="n">
        <v>5</v>
      </c>
      <c r="K20" s="58" t="n">
        <v>10</v>
      </c>
      <c r="L20" s="59"/>
      <c r="M20" s="59"/>
    </row>
    <row r="21" customFormat="false" ht="14.25" hidden="false" customHeight="true" outlineLevel="0" collapsed="false">
      <c r="A21" s="64" t="s">
        <v>503</v>
      </c>
      <c r="B21" s="65" t="n">
        <f aca="false">SUM(B11:B20)</f>
        <v>67</v>
      </c>
      <c r="C21" s="65" t="n">
        <f aca="false">SUM(C11:C20)</f>
        <v>80</v>
      </c>
      <c r="D21" s="65" t="n">
        <f aca="false">SUM(D11:D20)</f>
        <v>51</v>
      </c>
      <c r="E21" s="65" t="n">
        <f aca="false">SUM(E11:E20)</f>
        <v>95</v>
      </c>
      <c r="F21" s="66"/>
      <c r="G21" s="66"/>
      <c r="H21" s="58" t="s">
        <v>499</v>
      </c>
      <c r="I21" s="62" t="n">
        <f aca="false">+AVERAGE(B15:C15)</f>
        <v>7</v>
      </c>
      <c r="J21" s="58" t="n">
        <v>6</v>
      </c>
      <c r="K21" s="58" t="n">
        <v>9</v>
      </c>
      <c r="L21" s="66"/>
      <c r="M21" s="66"/>
    </row>
    <row r="22" customFormat="false" ht="14.25" hidden="false" customHeight="true" outlineLevel="0" collapsed="false">
      <c r="A22" s="64" t="s">
        <v>504</v>
      </c>
      <c r="B22" s="65" t="s">
        <v>505</v>
      </c>
      <c r="C22" s="65" t="s">
        <v>506</v>
      </c>
      <c r="D22" s="65" t="s">
        <v>507</v>
      </c>
      <c r="E22" s="65" t="s">
        <v>508</v>
      </c>
      <c r="F22" s="66"/>
      <c r="G22" s="66"/>
      <c r="H22" s="58" t="s">
        <v>501</v>
      </c>
      <c r="I22" s="62" t="n">
        <f aca="false">+AVERAGE(B16:C16)</f>
        <v>5.5</v>
      </c>
      <c r="J22" s="58" t="n">
        <v>7</v>
      </c>
      <c r="K22" s="58" t="n">
        <v>9</v>
      </c>
      <c r="L22" s="66"/>
      <c r="M22" s="66"/>
    </row>
    <row r="23" customFormat="false" ht="14.25" hidden="false" customHeight="true" outlineLevel="0" collapsed="false">
      <c r="H23" s="58" t="n">
        <v>4</v>
      </c>
      <c r="I23" s="62" t="n">
        <f aca="false">+AVERAGE(B17:C17)</f>
        <v>8.5</v>
      </c>
      <c r="J23" s="58" t="n">
        <v>5</v>
      </c>
      <c r="K23" s="58" t="n">
        <v>9</v>
      </c>
    </row>
    <row r="24" customFormat="false" ht="14.25" hidden="false" customHeight="true" outlineLevel="0" collapsed="false">
      <c r="H24" s="58" t="n">
        <v>5</v>
      </c>
      <c r="I24" s="62" t="n">
        <f aca="false">+AVERAGE(B18:C18)</f>
        <v>7.5</v>
      </c>
      <c r="J24" s="58" t="n">
        <v>4</v>
      </c>
      <c r="K24" s="58" t="n">
        <v>10</v>
      </c>
    </row>
    <row r="25" customFormat="false" ht="14.25" hidden="false" customHeight="true" outlineLevel="0" collapsed="false">
      <c r="H25" s="58" t="n">
        <v>6</v>
      </c>
      <c r="I25" s="62" t="n">
        <f aca="false">+AVERAGE(B19:C19)</f>
        <v>8</v>
      </c>
      <c r="J25" s="58" t="n">
        <v>5</v>
      </c>
      <c r="K25" s="58" t="n">
        <v>9</v>
      </c>
    </row>
    <row r="26" customFormat="false" ht="14.25" hidden="false" customHeight="true" outlineLevel="0" collapsed="false">
      <c r="H26" s="58" t="n">
        <v>7</v>
      </c>
      <c r="I26" s="62" t="n">
        <f aca="false">+AVERAGE(B20:C20)</f>
        <v>8</v>
      </c>
      <c r="J26" s="58" t="n">
        <v>4</v>
      </c>
      <c r="K26" s="58" t="n">
        <v>9</v>
      </c>
    </row>
    <row r="27" customFormat="false" ht="14.25" hidden="false" customHeight="true" outlineLevel="0" collapsed="false">
      <c r="H27" s="64" t="s">
        <v>503</v>
      </c>
      <c r="I27" s="62" t="n">
        <f aca="false">SUM(I17:I26)</f>
        <v>73.5</v>
      </c>
      <c r="J27" s="62" t="n">
        <f aca="false">SUM(J17:J26)</f>
        <v>51</v>
      </c>
      <c r="K27" s="62" t="n">
        <f aca="false">SUM(K17:K26)</f>
        <v>95</v>
      </c>
    </row>
    <row r="28" customFormat="false" ht="14.25" hidden="false" customHeight="true" outlineLevel="0" collapsed="false">
      <c r="H28" s="64" t="s">
        <v>504</v>
      </c>
      <c r="I28" s="65" t="s">
        <v>509</v>
      </c>
      <c r="J28" s="65" t="s">
        <v>510</v>
      </c>
      <c r="K28" s="65" t="s">
        <v>511</v>
      </c>
    </row>
    <row r="30" customFormat="false" ht="14.25" hidden="false" customHeight="true" outlineLevel="0" collapsed="false">
      <c r="H30" s="1" t="s">
        <v>512</v>
      </c>
    </row>
    <row r="32" customFormat="false" ht="14.25" hidden="false" customHeight="true" outlineLevel="0" collapsed="false">
      <c r="H32" s="57" t="s">
        <v>513</v>
      </c>
      <c r="I32" s="57"/>
      <c r="J32" s="57"/>
      <c r="K32" s="57"/>
      <c r="L32" s="57"/>
      <c r="M32" s="57"/>
    </row>
    <row r="33" customFormat="false" ht="14.25" hidden="false" customHeight="true" outlineLevel="0" collapsed="false">
      <c r="H33" s="57"/>
      <c r="I33" s="57"/>
      <c r="J33" s="57"/>
      <c r="K33" s="57"/>
      <c r="L33" s="57"/>
      <c r="M33" s="57"/>
    </row>
    <row r="34" customFormat="false" ht="14.25" hidden="false" customHeight="true" outlineLevel="0" collapsed="false">
      <c r="H34" s="57"/>
      <c r="I34" s="57"/>
      <c r="J34" s="57"/>
      <c r="K34" s="57"/>
      <c r="L34" s="57"/>
      <c r="M34" s="57"/>
    </row>
    <row r="35" customFormat="false" ht="14.25" hidden="false" customHeight="true" outlineLevel="0" collapsed="false">
      <c r="H35" s="57"/>
      <c r="I35" s="57"/>
      <c r="J35" s="57"/>
      <c r="K35" s="57"/>
      <c r="L35" s="57"/>
      <c r="M35" s="57"/>
    </row>
    <row r="36" customFormat="false" ht="14.25" hidden="false" customHeight="true" outlineLevel="0" collapsed="false">
      <c r="H36" s="57"/>
      <c r="I36" s="57"/>
      <c r="J36" s="57"/>
      <c r="K36" s="57"/>
      <c r="L36" s="57"/>
      <c r="M36" s="57"/>
    </row>
    <row r="38" customFormat="false" ht="14.25" hidden="false" customHeight="true" outlineLevel="0" collapsed="false">
      <c r="H38" s="15" t="s">
        <v>514</v>
      </c>
      <c r="I38" s="1" t="n">
        <v>10</v>
      </c>
    </row>
    <row r="39" customFormat="false" ht="14.25" hidden="false" customHeight="true" outlineLevel="0" collapsed="false">
      <c r="H39" s="15" t="s">
        <v>515</v>
      </c>
      <c r="I39" s="1" t="n">
        <v>120</v>
      </c>
    </row>
    <row r="41" customFormat="false" ht="14.25" hidden="false" customHeight="true" outlineLevel="0" collapsed="false">
      <c r="H41" s="55" t="s">
        <v>174</v>
      </c>
      <c r="I41" s="55" t="s">
        <v>516</v>
      </c>
      <c r="J41" s="55" t="s">
        <v>517</v>
      </c>
      <c r="K41" s="55"/>
    </row>
    <row r="42" customFormat="false" ht="14.25" hidden="false" customHeight="true" outlineLevel="0" collapsed="false">
      <c r="H42" s="16" t="s">
        <v>311</v>
      </c>
      <c r="I42" s="67" t="n">
        <f aca="false">(I27-$I$38)/($I$39-$I$38)</f>
        <v>0.577272727272727</v>
      </c>
      <c r="J42" s="58" t="s">
        <v>518</v>
      </c>
      <c r="K42" s="23"/>
    </row>
    <row r="43" customFormat="false" ht="14.25" hidden="false" customHeight="true" outlineLevel="0" collapsed="false">
      <c r="H43" s="16" t="s">
        <v>440</v>
      </c>
      <c r="I43" s="67" t="n">
        <f aca="false">(J27-$I$38)/($I$39-$I$38)</f>
        <v>0.372727272727273</v>
      </c>
      <c r="J43" s="58" t="s">
        <v>510</v>
      </c>
      <c r="K43" s="22"/>
    </row>
    <row r="44" customFormat="false" ht="14.25" hidden="false" customHeight="true" outlineLevel="0" collapsed="false">
      <c r="H44" s="16" t="s">
        <v>283</v>
      </c>
      <c r="I44" s="67" t="n">
        <f aca="false">(K27-$I$38)/($I$39-$I$38)</f>
        <v>0.772727272727273</v>
      </c>
      <c r="J44" s="58" t="s">
        <v>511</v>
      </c>
      <c r="K44" s="24"/>
    </row>
  </sheetData>
  <mergeCells count="9">
    <mergeCell ref="A5:E5"/>
    <mergeCell ref="H5:M5"/>
    <mergeCell ref="A9:A10"/>
    <mergeCell ref="B9:E9"/>
    <mergeCell ref="H9:M11"/>
    <mergeCell ref="H15:H16"/>
    <mergeCell ref="I15:K15"/>
    <mergeCell ref="H32:M36"/>
    <mergeCell ref="J41:K4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2:AA32"/>
  <sheetViews>
    <sheetView showFormulas="false" showGridLines="true" showRowColHeaders="true" showZeros="true" rightToLeft="false" tabSelected="false" showOutlineSymbols="true" defaultGridColor="true" view="normal" topLeftCell="A26" colorId="64" zoomScale="100" zoomScaleNormal="100" zoomScalePageLayoutView="100" workbookViewId="0">
      <selection pane="topLeft" activeCell="G44" activeCellId="0" sqref="G44"/>
    </sheetView>
  </sheetViews>
  <sheetFormatPr defaultColWidth="11.5625" defaultRowHeight="14.25" zeroHeight="false" outlineLevelRow="0" outlineLevelCol="0"/>
  <cols>
    <col collapsed="false" customWidth="true" hidden="false" outlineLevel="0" max="1" min="1" style="1" width="16.11"/>
    <col collapsed="false" customWidth="true" hidden="false" outlineLevel="0" max="2" min="2" style="1" width="11.11"/>
    <col collapsed="false" customWidth="true" hidden="false" outlineLevel="0" max="3" min="3" style="1" width="14.21"/>
    <col collapsed="false" customWidth="true" hidden="false" outlineLevel="0" max="4" min="4" style="1" width="21.22"/>
    <col collapsed="false" customWidth="true" hidden="false" outlineLevel="0" max="5" min="5" style="1" width="12.22"/>
    <col collapsed="false" customWidth="true" hidden="false" outlineLevel="0" max="6" min="6" style="1" width="11.89"/>
    <col collapsed="false" customWidth="true" hidden="false" outlineLevel="0" max="7" min="7" style="1" width="14.44"/>
    <col collapsed="false" customWidth="true" hidden="false" outlineLevel="0" max="8" min="8" style="1" width="13.75"/>
    <col collapsed="false" customWidth="true" hidden="false" outlineLevel="0" max="9" min="9" style="1" width="10.11"/>
    <col collapsed="false" customWidth="true" hidden="false" outlineLevel="0" max="10" min="10" style="1" width="9.88"/>
    <col collapsed="false" customWidth="true" hidden="false" outlineLevel="0" max="12" min="11" style="1" width="10"/>
    <col collapsed="false" customWidth="true" hidden="false" outlineLevel="0" max="13" min="13" style="1" width="9.79"/>
    <col collapsed="false" customWidth="true" hidden="false" outlineLevel="0" max="14" min="14" style="1" width="11.67"/>
    <col collapsed="false" customWidth="true" hidden="false" outlineLevel="0" max="15" min="15" style="1" width="11"/>
    <col collapsed="false" customWidth="true" hidden="false" outlineLevel="0" max="16" min="16" style="1" width="9.44"/>
    <col collapsed="false" customWidth="true" hidden="false" outlineLevel="0" max="17" min="17" style="1" width="7.22"/>
    <col collapsed="false" customWidth="true" hidden="false" outlineLevel="0" max="18" min="18" style="1" width="11"/>
    <col collapsed="false" customWidth="true" hidden="false" outlineLevel="0" max="19" min="19" style="1" width="8"/>
    <col collapsed="false" customWidth="true" hidden="false" outlineLevel="0" max="20" min="20" style="1" width="9.21"/>
    <col collapsed="false" customWidth="true" hidden="false" outlineLevel="0" max="21" min="21" style="1" width="7.33"/>
    <col collapsed="false" customWidth="true" hidden="false" outlineLevel="0" max="22" min="22" style="1" width="10.88"/>
    <col collapsed="false" customWidth="true" hidden="false" outlineLevel="0" max="23" min="23" style="1" width="8.76"/>
    <col collapsed="false" customWidth="true" hidden="false" outlineLevel="0" max="24" min="24" style="1" width="8.56"/>
    <col collapsed="false" customWidth="true" hidden="false" outlineLevel="0" max="25" min="25" style="1" width="9.56"/>
    <col collapsed="false" customWidth="true" hidden="false" outlineLevel="0" max="27" min="26" style="1" width="11.22"/>
  </cols>
  <sheetData>
    <row r="2" customFormat="false" ht="14.25" hidden="false" customHeight="true" outlineLevel="0" collapsed="false">
      <c r="C2" s="15" t="s">
        <v>482</v>
      </c>
      <c r="D2" s="1" t="s">
        <v>519</v>
      </c>
      <c r="E2" s="53"/>
      <c r="G2" s="15" t="s">
        <v>520</v>
      </c>
      <c r="H2" s="1" t="s">
        <v>521</v>
      </c>
      <c r="J2" s="15"/>
    </row>
    <row r="3" customFormat="false" ht="14.25" hidden="false" customHeight="true" outlineLevel="0" collapsed="false">
      <c r="C3" s="15"/>
      <c r="E3" s="53"/>
      <c r="G3" s="15"/>
      <c r="J3" s="15"/>
    </row>
    <row r="4" customFormat="false" ht="14.25" hidden="false" customHeight="true" outlineLevel="0" collapsed="false">
      <c r="A4" s="1" t="s">
        <v>522</v>
      </c>
    </row>
    <row r="6" customFormat="false" ht="28.5" hidden="false" customHeight="true" outlineLevel="0" collapsed="false">
      <c r="A6" s="68" t="s">
        <v>523</v>
      </c>
      <c r="B6" s="68" t="s">
        <v>174</v>
      </c>
      <c r="C6" s="69" t="s">
        <v>369</v>
      </c>
      <c r="D6" s="69" t="s">
        <v>524</v>
      </c>
      <c r="E6" s="69" t="s">
        <v>525</v>
      </c>
      <c r="F6" s="68" t="s">
        <v>526</v>
      </c>
      <c r="G6" s="68" t="s">
        <v>527</v>
      </c>
      <c r="H6" s="68" t="s">
        <v>528</v>
      </c>
      <c r="I6" s="68" t="s">
        <v>529</v>
      </c>
      <c r="J6" s="68" t="s">
        <v>530</v>
      </c>
      <c r="K6" s="68" t="s">
        <v>531</v>
      </c>
      <c r="L6" s="68" t="s">
        <v>532</v>
      </c>
      <c r="M6" s="68" t="s">
        <v>533</v>
      </c>
      <c r="N6" s="68" t="s">
        <v>534</v>
      </c>
      <c r="O6" s="68" t="s">
        <v>535</v>
      </c>
      <c r="P6" s="68" t="s">
        <v>536</v>
      </c>
      <c r="Q6" s="68" t="s">
        <v>537</v>
      </c>
      <c r="R6" s="68" t="s">
        <v>538</v>
      </c>
      <c r="S6" s="68" t="s">
        <v>539</v>
      </c>
      <c r="T6" s="68" t="s">
        <v>540</v>
      </c>
      <c r="U6" s="68" t="s">
        <v>541</v>
      </c>
      <c r="V6" s="68" t="s">
        <v>542</v>
      </c>
      <c r="W6" s="68" t="s">
        <v>543</v>
      </c>
      <c r="X6" s="68" t="s">
        <v>544</v>
      </c>
      <c r="Y6" s="68" t="s">
        <v>545</v>
      </c>
      <c r="Z6" s="68" t="s">
        <v>546</v>
      </c>
      <c r="AA6" s="70" t="s">
        <v>547</v>
      </c>
    </row>
    <row r="7" customFormat="false" ht="14.25" hidden="false" customHeight="true" outlineLevel="0" collapsed="false">
      <c r="A7" s="68"/>
      <c r="B7" s="68"/>
      <c r="C7" s="68"/>
      <c r="D7" s="68"/>
      <c r="E7" s="68"/>
      <c r="F7" s="71" t="s">
        <v>548</v>
      </c>
      <c r="G7" s="71" t="s">
        <v>549</v>
      </c>
      <c r="H7" s="71" t="s">
        <v>550</v>
      </c>
      <c r="I7" s="71" t="s">
        <v>551</v>
      </c>
      <c r="J7" s="71" t="s">
        <v>552</v>
      </c>
      <c r="K7" s="71" t="s">
        <v>553</v>
      </c>
      <c r="L7" s="71" t="s">
        <v>554</v>
      </c>
      <c r="M7" s="71" t="s">
        <v>555</v>
      </c>
      <c r="N7" s="71"/>
      <c r="O7" s="69" t="s">
        <v>556</v>
      </c>
      <c r="P7" s="69" t="s">
        <v>557</v>
      </c>
      <c r="Q7" s="69" t="s">
        <v>558</v>
      </c>
      <c r="R7" s="69" t="s">
        <v>559</v>
      </c>
      <c r="S7" s="69" t="s">
        <v>560</v>
      </c>
      <c r="T7" s="69" t="s">
        <v>561</v>
      </c>
      <c r="U7" s="69" t="s">
        <v>562</v>
      </c>
      <c r="V7" s="69" t="s">
        <v>563</v>
      </c>
      <c r="W7" s="69" t="s">
        <v>564</v>
      </c>
      <c r="X7" s="69" t="s">
        <v>565</v>
      </c>
      <c r="Y7" s="69" t="s">
        <v>566</v>
      </c>
      <c r="Z7" s="69" t="s">
        <v>567</v>
      </c>
      <c r="AA7" s="69" t="s">
        <v>567</v>
      </c>
    </row>
    <row r="8" s="59" customFormat="true" ht="14.25" hidden="false" customHeight="true" outlineLevel="0" collapsed="false">
      <c r="A8" s="72" t="n">
        <v>45625</v>
      </c>
      <c r="B8" s="72" t="s">
        <v>440</v>
      </c>
      <c r="C8" s="17" t="s">
        <v>15</v>
      </c>
      <c r="D8" s="17" t="s">
        <v>568</v>
      </c>
      <c r="E8" s="58" t="n">
        <v>1</v>
      </c>
      <c r="F8" s="65"/>
      <c r="G8" s="65"/>
      <c r="H8" s="65"/>
      <c r="I8" s="65"/>
      <c r="J8" s="65" t="s">
        <v>569</v>
      </c>
      <c r="K8" s="65" t="n">
        <v>0.034</v>
      </c>
      <c r="L8" s="65" t="n">
        <v>0.055</v>
      </c>
      <c r="M8" s="65" t="n">
        <v>0.103</v>
      </c>
      <c r="N8" s="65"/>
      <c r="O8" s="65" t="n">
        <v>68.5</v>
      </c>
      <c r="P8" s="65" t="n">
        <v>7</v>
      </c>
      <c r="Q8" s="65" t="n">
        <v>13.64</v>
      </c>
      <c r="R8" s="65" t="n">
        <v>88</v>
      </c>
      <c r="S8" s="65" t="n">
        <v>14.82</v>
      </c>
      <c r="T8" s="65" t="n">
        <v>12.39</v>
      </c>
      <c r="U8" s="65" t="n">
        <v>0.074</v>
      </c>
      <c r="V8" s="65" t="s">
        <v>570</v>
      </c>
      <c r="W8" s="65" t="n">
        <v>14.91</v>
      </c>
      <c r="X8" s="65" t="n">
        <v>14.41</v>
      </c>
      <c r="Y8" s="65" t="n">
        <v>3.33</v>
      </c>
      <c r="Z8" s="65" t="n">
        <v>1300</v>
      </c>
      <c r="AA8" s="65" t="n">
        <v>190</v>
      </c>
    </row>
    <row r="9" s="59" customFormat="true" ht="14.25" hidden="false" customHeight="true" outlineLevel="0" collapsed="false">
      <c r="A9" s="72" t="n">
        <v>45625</v>
      </c>
      <c r="B9" s="72" t="s">
        <v>440</v>
      </c>
      <c r="C9" s="17" t="s">
        <v>15</v>
      </c>
      <c r="D9" s="17" t="s">
        <v>571</v>
      </c>
      <c r="E9" s="58" t="n">
        <v>2</v>
      </c>
      <c r="F9" s="65"/>
      <c r="G9" s="65"/>
      <c r="H9" s="65"/>
      <c r="I9" s="65"/>
      <c r="J9" s="65" t="s">
        <v>569</v>
      </c>
      <c r="K9" s="65" t="n">
        <v>0.033</v>
      </c>
      <c r="L9" s="65" t="n">
        <v>0.072</v>
      </c>
      <c r="M9" s="65" t="n">
        <v>0.043</v>
      </c>
      <c r="N9" s="65"/>
      <c r="O9" s="65" t="n">
        <v>59.5</v>
      </c>
      <c r="P9" s="65" t="n">
        <v>6</v>
      </c>
      <c r="Q9" s="65" t="n">
        <v>14.89</v>
      </c>
      <c r="R9" s="65" t="n">
        <v>49.5</v>
      </c>
      <c r="S9" s="65" t="n">
        <v>9.42</v>
      </c>
      <c r="T9" s="65" t="n">
        <v>6.34</v>
      </c>
      <c r="U9" s="65" t="n">
        <v>0.038</v>
      </c>
      <c r="V9" s="65" t="s">
        <v>570</v>
      </c>
      <c r="W9" s="65" t="n">
        <v>12.92</v>
      </c>
      <c r="X9" s="65" t="n">
        <v>13.83</v>
      </c>
      <c r="Y9" s="65" t="n">
        <v>1.57</v>
      </c>
      <c r="Z9" s="65" t="n">
        <v>1800</v>
      </c>
      <c r="AA9" s="65" t="n">
        <v>170</v>
      </c>
    </row>
    <row r="10" customFormat="false" ht="14.25" hidden="false" customHeight="true" outlineLevel="0" collapsed="false">
      <c r="A10" s="72" t="n">
        <v>45625</v>
      </c>
      <c r="B10" s="72" t="s">
        <v>572</v>
      </c>
      <c r="C10" s="17" t="s">
        <v>20</v>
      </c>
      <c r="D10" s="17" t="s">
        <v>573</v>
      </c>
      <c r="E10" s="58" t="n">
        <v>1</v>
      </c>
      <c r="F10" s="65"/>
      <c r="G10" s="65"/>
      <c r="H10" s="65"/>
      <c r="I10" s="65"/>
      <c r="J10" s="65" t="s">
        <v>569</v>
      </c>
      <c r="K10" s="65" t="n">
        <v>0.035</v>
      </c>
      <c r="L10" s="65" t="n">
        <v>0.062</v>
      </c>
      <c r="M10" s="65" t="n">
        <v>0.031</v>
      </c>
      <c r="N10" s="65"/>
      <c r="O10" s="65" t="n">
        <v>55</v>
      </c>
      <c r="P10" s="65" t="n">
        <v>7</v>
      </c>
      <c r="Q10" s="65" t="n">
        <v>12.4</v>
      </c>
      <c r="R10" s="65" t="n">
        <v>49.1</v>
      </c>
      <c r="S10" s="65" t="n">
        <v>7.01</v>
      </c>
      <c r="T10" s="65" t="n">
        <v>5.77</v>
      </c>
      <c r="U10" s="65" t="n">
        <v>0.028</v>
      </c>
      <c r="V10" s="65" t="s">
        <v>570</v>
      </c>
      <c r="W10" s="65" t="n">
        <v>10.2</v>
      </c>
      <c r="X10" s="65" t="n">
        <v>11.5</v>
      </c>
      <c r="Y10" s="65" t="n">
        <v>3.29</v>
      </c>
      <c r="Z10" s="65" t="n">
        <v>1500</v>
      </c>
      <c r="AA10" s="65" t="n">
        <v>150</v>
      </c>
    </row>
    <row r="11" customFormat="false" ht="14.25" hidden="false" customHeight="true" outlineLevel="0" collapsed="false">
      <c r="A11" s="72" t="n">
        <v>45625</v>
      </c>
      <c r="B11" s="72" t="s">
        <v>502</v>
      </c>
      <c r="C11" s="17" t="s">
        <v>312</v>
      </c>
      <c r="D11" s="17" t="s">
        <v>574</v>
      </c>
      <c r="E11" s="58" t="n">
        <v>1</v>
      </c>
      <c r="F11" s="65"/>
      <c r="G11" s="65"/>
      <c r="H11" s="65"/>
      <c r="I11" s="65"/>
      <c r="J11" s="65" t="s">
        <v>569</v>
      </c>
      <c r="K11" s="65" t="n">
        <v>0.037</v>
      </c>
      <c r="L11" s="65" t="n">
        <v>0.069</v>
      </c>
      <c r="M11" s="65" t="n">
        <v>0.129</v>
      </c>
      <c r="N11" s="65"/>
      <c r="O11" s="65" t="n">
        <v>71</v>
      </c>
      <c r="P11" s="65" t="n">
        <v>8</v>
      </c>
      <c r="Q11" s="65" t="n">
        <v>21.09</v>
      </c>
      <c r="R11" s="65" t="n">
        <v>55</v>
      </c>
      <c r="S11" s="65" t="n">
        <v>8.62</v>
      </c>
      <c r="T11" s="65" t="n">
        <v>8.14</v>
      </c>
      <c r="U11" s="65" t="n">
        <v>0.187</v>
      </c>
      <c r="V11" s="65" t="s">
        <v>570</v>
      </c>
      <c r="W11" s="65" t="n">
        <v>11.63</v>
      </c>
      <c r="X11" s="65" t="n">
        <v>15.08</v>
      </c>
      <c r="Y11" s="65" t="n">
        <v>6.88</v>
      </c>
      <c r="Z11" s="65" t="n">
        <v>2100</v>
      </c>
      <c r="AA11" s="65" t="n">
        <v>310</v>
      </c>
    </row>
    <row r="12" customFormat="false" ht="14.25" hidden="false" customHeight="true" outlineLevel="0" collapsed="false">
      <c r="A12" s="73" t="n">
        <v>45625</v>
      </c>
      <c r="B12" s="73" t="s">
        <v>502</v>
      </c>
      <c r="C12" s="74" t="s">
        <v>575</v>
      </c>
      <c r="D12" s="74" t="s">
        <v>576</v>
      </c>
      <c r="E12" s="75" t="n">
        <v>2</v>
      </c>
      <c r="F12" s="76"/>
      <c r="G12" s="76"/>
      <c r="H12" s="76"/>
      <c r="I12" s="76"/>
      <c r="J12" s="76" t="s">
        <v>569</v>
      </c>
      <c r="K12" s="77" t="n">
        <v>0.04</v>
      </c>
      <c r="L12" s="76" t="n">
        <v>0.072</v>
      </c>
      <c r="M12" s="76" t="n">
        <v>0.124</v>
      </c>
      <c r="N12" s="76"/>
      <c r="O12" s="76" t="n">
        <v>71.3</v>
      </c>
      <c r="P12" s="76" t="n">
        <v>7</v>
      </c>
      <c r="Q12" s="76" t="n">
        <v>23.33</v>
      </c>
      <c r="R12" s="76" t="n">
        <v>57.7</v>
      </c>
      <c r="S12" s="76" t="n">
        <v>9.02</v>
      </c>
      <c r="T12" s="76" t="n">
        <v>8.57</v>
      </c>
      <c r="U12" s="76" t="n">
        <v>0.172</v>
      </c>
      <c r="V12" s="76" t="s">
        <v>570</v>
      </c>
      <c r="W12" s="76" t="n">
        <v>11.46</v>
      </c>
      <c r="X12" s="76" t="n">
        <v>14.45</v>
      </c>
      <c r="Y12" s="76" t="n">
        <v>8.54</v>
      </c>
      <c r="Z12" s="76" t="n">
        <v>2400</v>
      </c>
      <c r="AA12" s="76" t="n">
        <v>370</v>
      </c>
    </row>
    <row r="13" customFormat="false" ht="14.25" hidden="false" customHeight="true" outlineLevel="0" collapsed="false">
      <c r="A13" s="72" t="n">
        <v>45625</v>
      </c>
      <c r="B13" s="72" t="s">
        <v>502</v>
      </c>
      <c r="C13" s="17" t="s">
        <v>312</v>
      </c>
      <c r="D13" s="17" t="s">
        <v>577</v>
      </c>
      <c r="E13" s="58" t="n">
        <v>3</v>
      </c>
      <c r="F13" s="65"/>
      <c r="G13" s="65"/>
      <c r="H13" s="65"/>
      <c r="I13" s="65"/>
      <c r="J13" s="65" t="s">
        <v>569</v>
      </c>
      <c r="K13" s="65" t="n">
        <v>0.035</v>
      </c>
      <c r="L13" s="65" t="n">
        <v>0.084</v>
      </c>
      <c r="M13" s="65" t="n">
        <v>0.111</v>
      </c>
      <c r="N13" s="65"/>
      <c r="O13" s="65" t="n">
        <v>77.5</v>
      </c>
      <c r="P13" s="65" t="n">
        <v>6</v>
      </c>
      <c r="Q13" s="65" t="n">
        <v>24.81</v>
      </c>
      <c r="R13" s="65" t="n">
        <v>52.5</v>
      </c>
      <c r="S13" s="65" t="n">
        <v>9.04</v>
      </c>
      <c r="T13" s="65" t="n">
        <v>7.23</v>
      </c>
      <c r="U13" s="65" t="n">
        <v>0.203</v>
      </c>
      <c r="V13" s="65" t="s">
        <v>570</v>
      </c>
      <c r="W13" s="65" t="n">
        <v>11.63</v>
      </c>
      <c r="X13" s="65" t="n">
        <v>14.93</v>
      </c>
      <c r="Y13" s="65" t="n">
        <v>16.3</v>
      </c>
      <c r="Z13" s="65" t="n">
        <v>2700</v>
      </c>
      <c r="AA13" s="65" t="n">
        <v>410</v>
      </c>
    </row>
    <row r="14" customFormat="false" ht="14.25" hidden="false" customHeight="true" outlineLevel="0" collapsed="false">
      <c r="A14" s="72" t="n">
        <v>45779</v>
      </c>
      <c r="B14" s="72" t="s">
        <v>572</v>
      </c>
      <c r="C14" s="17" t="s">
        <v>578</v>
      </c>
      <c r="D14" s="17" t="s">
        <v>578</v>
      </c>
      <c r="E14" s="58" t="n">
        <v>1</v>
      </c>
      <c r="F14" s="65"/>
      <c r="G14" s="65" t="n">
        <v>89.5</v>
      </c>
      <c r="H14" s="65"/>
      <c r="I14" s="65" t="n">
        <v>7.2</v>
      </c>
      <c r="J14" s="65" t="n">
        <v>0.0002</v>
      </c>
      <c r="K14" s="65" t="n">
        <v>0.0383</v>
      </c>
      <c r="L14" s="65" t="n">
        <v>0.0716</v>
      </c>
      <c r="M14" s="65" t="n">
        <v>0.0214</v>
      </c>
      <c r="N14" s="65"/>
      <c r="O14" s="65" t="n">
        <v>55</v>
      </c>
      <c r="P14" s="65" t="n">
        <v>6</v>
      </c>
      <c r="Q14" s="65" t="n">
        <v>39.7</v>
      </c>
      <c r="R14" s="65" t="n">
        <v>46.75</v>
      </c>
      <c r="S14" s="65" t="n">
        <v>9.62</v>
      </c>
      <c r="T14" s="65" t="n">
        <v>5.53</v>
      </c>
      <c r="U14" s="65" t="n">
        <v>0.0946</v>
      </c>
      <c r="V14" s="65" t="s">
        <v>570</v>
      </c>
      <c r="W14" s="65" t="n">
        <v>2.64</v>
      </c>
      <c r="X14" s="65" t="n">
        <v>12.19</v>
      </c>
      <c r="Y14" s="65" t="n">
        <v>5.45</v>
      </c>
      <c r="Z14" s="65" t="n">
        <v>1450</v>
      </c>
      <c r="AA14" s="65" t="n">
        <v>250</v>
      </c>
    </row>
    <row r="15" customFormat="false" ht="14.25" hidden="false" customHeight="true" outlineLevel="0" collapsed="false">
      <c r="A15" s="72" t="n">
        <v>45780</v>
      </c>
      <c r="B15" s="72" t="s">
        <v>572</v>
      </c>
      <c r="C15" s="17" t="s">
        <v>25</v>
      </c>
      <c r="D15" s="17" t="s">
        <v>579</v>
      </c>
      <c r="E15" s="58" t="n">
        <v>1</v>
      </c>
      <c r="F15" s="65" t="n">
        <v>23.97</v>
      </c>
      <c r="G15" s="65" t="n">
        <v>63.2</v>
      </c>
      <c r="H15" s="65" t="n">
        <v>13.37</v>
      </c>
      <c r="I15" s="65" t="n">
        <v>6.77</v>
      </c>
      <c r="J15" s="65" t="n">
        <v>0.0001</v>
      </c>
      <c r="K15" s="65" t="n">
        <v>0.0302</v>
      </c>
      <c r="L15" s="65" t="n">
        <v>0.0716</v>
      </c>
      <c r="M15" s="65" t="s">
        <v>580</v>
      </c>
      <c r="N15" s="65"/>
      <c r="O15" s="65" t="n">
        <v>33</v>
      </c>
      <c r="P15" s="65" t="n">
        <v>5</v>
      </c>
      <c r="Q15" s="65" t="n">
        <v>35.98</v>
      </c>
      <c r="R15" s="65" t="n">
        <v>30.25</v>
      </c>
      <c r="S15" s="65" t="n">
        <v>6.41</v>
      </c>
      <c r="T15" s="65" t="n">
        <v>3.46</v>
      </c>
      <c r="U15" s="65" t="n">
        <v>0.0432</v>
      </c>
      <c r="V15" s="65" t="s">
        <v>570</v>
      </c>
      <c r="W15" s="65" t="n">
        <v>2.18</v>
      </c>
      <c r="X15" s="65" t="n">
        <v>10.77</v>
      </c>
      <c r="Y15" s="65" t="n">
        <v>1.38</v>
      </c>
      <c r="Z15" s="65" t="n">
        <v>990</v>
      </c>
      <c r="AA15" s="65" t="n">
        <v>140</v>
      </c>
    </row>
    <row r="16" customFormat="false" ht="14.25" hidden="false" customHeight="true" outlineLevel="0" collapsed="false">
      <c r="A16" s="78"/>
      <c r="B16" s="78"/>
      <c r="C16" s="79"/>
      <c r="D16" s="79"/>
      <c r="E16" s="59"/>
      <c r="F16" s="66"/>
      <c r="G16" s="66"/>
      <c r="H16" s="66"/>
      <c r="I16" s="66"/>
      <c r="J16" s="66"/>
      <c r="K16" s="66"/>
      <c r="L16" s="66"/>
      <c r="M16" s="66"/>
      <c r="N16" s="66"/>
      <c r="O16" s="66"/>
      <c r="P16" s="66"/>
      <c r="Q16" s="66"/>
      <c r="R16" s="66"/>
      <c r="S16" s="66"/>
      <c r="T16" s="66"/>
      <c r="U16" s="66"/>
      <c r="V16" s="66"/>
      <c r="W16" s="66"/>
      <c r="X16" s="66"/>
      <c r="Y16" s="66"/>
      <c r="Z16" s="66"/>
      <c r="AA16" s="66"/>
    </row>
    <row r="17" customFormat="false" ht="14.25" hidden="false" customHeight="true" outlineLevel="0" collapsed="false">
      <c r="A17" s="78"/>
      <c r="B17" s="78"/>
      <c r="C17" s="79"/>
      <c r="D17" s="79"/>
      <c r="E17" s="59"/>
      <c r="F17" s="66"/>
      <c r="G17" s="66"/>
      <c r="H17" s="66"/>
      <c r="I17" s="66"/>
    </row>
    <row r="18" customFormat="false" ht="14.25" hidden="false" customHeight="true" outlineLevel="0" collapsed="false">
      <c r="A18" s="15" t="s">
        <v>581</v>
      </c>
    </row>
    <row r="19" customFormat="false" ht="14.25" hidden="false" customHeight="true" outlineLevel="0" collapsed="false">
      <c r="A19" s="15"/>
    </row>
    <row r="20" customFormat="false" ht="28.5" hidden="false" customHeight="true" outlineLevel="0" collapsed="false">
      <c r="A20" s="68" t="s">
        <v>582</v>
      </c>
      <c r="B20" s="68" t="s">
        <v>531</v>
      </c>
      <c r="C20" s="68" t="s">
        <v>532</v>
      </c>
      <c r="D20" s="68" t="s">
        <v>533</v>
      </c>
      <c r="E20" s="68" t="s">
        <v>535</v>
      </c>
      <c r="F20" s="68" t="s">
        <v>537</v>
      </c>
      <c r="G20" s="68" t="s">
        <v>538</v>
      </c>
      <c r="H20" s="68" t="s">
        <v>539</v>
      </c>
      <c r="I20" s="68" t="s">
        <v>540</v>
      </c>
      <c r="J20" s="68" t="s">
        <v>541</v>
      </c>
      <c r="K20" s="68" t="s">
        <v>543</v>
      </c>
      <c r="L20" s="68" t="s">
        <v>544</v>
      </c>
      <c r="M20" s="68" t="s">
        <v>545</v>
      </c>
      <c r="N20" s="68" t="s">
        <v>546</v>
      </c>
      <c r="O20" s="70" t="s">
        <v>547</v>
      </c>
    </row>
    <row r="21" customFormat="false" ht="14.25" hidden="false" customHeight="true" outlineLevel="0" collapsed="false">
      <c r="A21" s="68"/>
      <c r="B21" s="71" t="s">
        <v>553</v>
      </c>
      <c r="C21" s="71" t="s">
        <v>554</v>
      </c>
      <c r="D21" s="71" t="s">
        <v>555</v>
      </c>
      <c r="E21" s="69" t="s">
        <v>556</v>
      </c>
      <c r="F21" s="69" t="s">
        <v>558</v>
      </c>
      <c r="G21" s="69" t="s">
        <v>559</v>
      </c>
      <c r="H21" s="69" t="s">
        <v>560</v>
      </c>
      <c r="I21" s="69" t="s">
        <v>561</v>
      </c>
      <c r="J21" s="69" t="s">
        <v>562</v>
      </c>
      <c r="K21" s="69" t="s">
        <v>564</v>
      </c>
      <c r="L21" s="69" t="s">
        <v>565</v>
      </c>
      <c r="M21" s="69" t="s">
        <v>566</v>
      </c>
      <c r="N21" s="69" t="s">
        <v>567</v>
      </c>
      <c r="O21" s="69" t="s">
        <v>567</v>
      </c>
    </row>
    <row r="22" customFormat="false" ht="14.25" hidden="false" customHeight="true" outlineLevel="0" collapsed="false">
      <c r="A22" s="16" t="s">
        <v>311</v>
      </c>
      <c r="B22" s="80" t="n">
        <f aca="false">+AVERAGE($K$11:$K$13)</f>
        <v>0.0373333333333333</v>
      </c>
      <c r="C22" s="81" t="n">
        <f aca="false">+AVERAGE($L$11:$L$13)</f>
        <v>0.075</v>
      </c>
      <c r="D22" s="81" t="n">
        <f aca="false">+AVERAGE($M$11:$M$13)</f>
        <v>0.121333333333333</v>
      </c>
      <c r="E22" s="81" t="n">
        <f aca="false">+AVERAGE($O$11:$O$13)</f>
        <v>73.2666666666667</v>
      </c>
      <c r="F22" s="81" t="n">
        <f aca="false">+AVERAGE($Q$11:$Q$13)</f>
        <v>23.0766666666667</v>
      </c>
      <c r="G22" s="81" t="n">
        <f aca="false">+AVERAGE($R$11:$R$13)</f>
        <v>55.0666666666667</v>
      </c>
      <c r="H22" s="81" t="n">
        <f aca="false">+AVERAGE($S$11:$S$13)</f>
        <v>8.89333333333333</v>
      </c>
      <c r="I22" s="81" t="n">
        <f aca="false">+AVERAGE($T$11:$T$13)</f>
        <v>7.98</v>
      </c>
      <c r="J22" s="81" t="n">
        <f aca="false">+AVERAGE($U$11:$U$13)</f>
        <v>0.187333333333333</v>
      </c>
      <c r="K22" s="81" t="n">
        <f aca="false">+AVERAGE($W$11:$W$13)</f>
        <v>11.5733333333333</v>
      </c>
      <c r="L22" s="81" t="n">
        <f aca="false">+AVERAGE($X$11:$X$13)</f>
        <v>14.82</v>
      </c>
      <c r="M22" s="81" t="n">
        <f aca="false">+AVERAGE($Y$11:$Y$13)</f>
        <v>10.5733333333333</v>
      </c>
      <c r="N22" s="43" t="n">
        <f aca="false">+AVERAGE($Z$11:$Z$13)</f>
        <v>2400</v>
      </c>
      <c r="O22" s="43" t="n">
        <f aca="false">+AVERAGE($AA$11:$AA$13)</f>
        <v>363.333333333333</v>
      </c>
    </row>
    <row r="23" customFormat="false" ht="14.25" hidden="false" customHeight="true" outlineLevel="0" collapsed="false">
      <c r="A23" s="16" t="s">
        <v>440</v>
      </c>
      <c r="B23" s="80" t="n">
        <f aca="false">+AVERAGE($K$8:$K$9)</f>
        <v>0.0335</v>
      </c>
      <c r="C23" s="81" t="n">
        <f aca="false">+AVERAGE($L$8:$L$9)</f>
        <v>0.0635</v>
      </c>
      <c r="D23" s="81" t="n">
        <f aca="false">+AVERAGE($M$8:$M$9)</f>
        <v>0.073</v>
      </c>
      <c r="E23" s="81" t="n">
        <f aca="false">+AVERAGE($O$8:$O$9)</f>
        <v>64</v>
      </c>
      <c r="F23" s="81" t="n">
        <f aca="false">+AVERAGE($Q$8:$Q$9)</f>
        <v>14.265</v>
      </c>
      <c r="G23" s="81" t="n">
        <f aca="false">+AVERAGE($R$8:$R$9)</f>
        <v>68.75</v>
      </c>
      <c r="H23" s="81" t="n">
        <f aca="false">+AVERAGE($S$8:$S$9)</f>
        <v>12.12</v>
      </c>
      <c r="I23" s="81" t="n">
        <f aca="false">+AVERAGE($T$8:$T$9)</f>
        <v>9.365</v>
      </c>
      <c r="J23" s="81" t="n">
        <f aca="false">+AVERAGE($U$8:$U$9)</f>
        <v>0.056</v>
      </c>
      <c r="K23" s="81" t="n">
        <f aca="false">+AVERAGE($W$8:$W$9)</f>
        <v>13.915</v>
      </c>
      <c r="L23" s="81" t="n">
        <f aca="false">+AVERAGE($X$8:$X$9)</f>
        <v>14.12</v>
      </c>
      <c r="M23" s="81" t="n">
        <f aca="false">+AVERAGE($Y$8:$Y$9)</f>
        <v>2.45</v>
      </c>
      <c r="N23" s="43" t="n">
        <f aca="false">+AVERAGE($Z$8:$Z$9)</f>
        <v>1550</v>
      </c>
      <c r="O23" s="43" t="n">
        <f aca="false">+AVERAGE($AA$8:$AA$9)</f>
        <v>180</v>
      </c>
    </row>
    <row r="24" customFormat="false" ht="14.25" hidden="false" customHeight="true" outlineLevel="0" collapsed="false">
      <c r="A24" s="16" t="s">
        <v>283</v>
      </c>
      <c r="B24" s="80" t="n">
        <f aca="false">+AVERAGE($K$14:$K$15,$K$10)</f>
        <v>0.0345</v>
      </c>
      <c r="C24" s="81" t="n">
        <f aca="false">+AVERAGE($L$14:$L$15,$L$10)</f>
        <v>0.0684</v>
      </c>
      <c r="D24" s="81" t="n">
        <f aca="false">+AVERAGE($M$14:$M$15,$M$10)</f>
        <v>0.0262</v>
      </c>
      <c r="E24" s="81" t="n">
        <f aca="false">+AVERAGE($O$14:$O$15,$O$10)</f>
        <v>47.6666666666667</v>
      </c>
      <c r="F24" s="81" t="n">
        <f aca="false">+AVERAGE($Q$14:$Q$15,$Q$10)</f>
        <v>29.36</v>
      </c>
      <c r="G24" s="81" t="n">
        <f aca="false">+AVERAGE($R$14:$R$15,$R$10)</f>
        <v>42.0333333333333</v>
      </c>
      <c r="H24" s="81" t="n">
        <f aca="false">+AVERAGE($S$14:$S$15,$S$10)</f>
        <v>7.68</v>
      </c>
      <c r="I24" s="81" t="n">
        <f aca="false">+AVERAGE($T$14:$T$15,$T$10)</f>
        <v>4.92</v>
      </c>
      <c r="J24" s="81" t="n">
        <f aca="false">+AVERAGE($U$14:$U$15,$U$10)</f>
        <v>0.0552666666666667</v>
      </c>
      <c r="K24" s="81" t="n">
        <f aca="false">+AVERAGE($W$14:$W$15,$W$10)</f>
        <v>5.00666666666667</v>
      </c>
      <c r="L24" s="81" t="n">
        <f aca="false">+AVERAGE($X$14:$X$15,$X$10)</f>
        <v>11.4866666666667</v>
      </c>
      <c r="M24" s="81" t="n">
        <f aca="false">+AVERAGE($Y$14:$Y$15,$Y$10)</f>
        <v>3.37333333333333</v>
      </c>
      <c r="N24" s="43" t="n">
        <f aca="false">+AVERAGE($Z$14:$Z$15,$Z$10)</f>
        <v>1313.33333333333</v>
      </c>
      <c r="O24" s="43" t="n">
        <f aca="false">+AVERAGE($AA$14:$AA$15,$AA$10)</f>
        <v>180</v>
      </c>
    </row>
    <row r="25" customFormat="false" ht="14.25" hidden="false" customHeight="true" outlineLevel="0" collapsed="false">
      <c r="B25" s="82"/>
      <c r="C25" s="63"/>
      <c r="D25" s="63"/>
      <c r="E25" s="63"/>
      <c r="F25" s="63"/>
      <c r="G25" s="63"/>
      <c r="H25" s="63"/>
      <c r="I25" s="63"/>
      <c r="J25" s="63"/>
      <c r="K25" s="63"/>
      <c r="L25" s="63"/>
      <c r="M25" s="63"/>
      <c r="N25" s="83"/>
      <c r="O25" s="83"/>
    </row>
    <row r="26" customFormat="false" ht="28.5" hidden="false" customHeight="true" outlineLevel="0" collapsed="false">
      <c r="A26" s="68" t="s">
        <v>582</v>
      </c>
      <c r="B26" s="68" t="s">
        <v>531</v>
      </c>
      <c r="C26" s="68" t="s">
        <v>532</v>
      </c>
      <c r="D26" s="68" t="s">
        <v>533</v>
      </c>
      <c r="E26" s="68" t="s">
        <v>535</v>
      </c>
      <c r="F26" s="68" t="s">
        <v>537</v>
      </c>
      <c r="G26" s="68" t="s">
        <v>538</v>
      </c>
      <c r="H26" s="68" t="s">
        <v>539</v>
      </c>
      <c r="I26" s="68" t="s">
        <v>540</v>
      </c>
      <c r="J26" s="68" t="s">
        <v>541</v>
      </c>
      <c r="K26" s="68" t="s">
        <v>543</v>
      </c>
      <c r="L26" s="68" t="s">
        <v>544</v>
      </c>
      <c r="M26" s="68" t="s">
        <v>545</v>
      </c>
      <c r="N26" s="68" t="s">
        <v>546</v>
      </c>
      <c r="O26" s="70" t="s">
        <v>547</v>
      </c>
    </row>
    <row r="27" customFormat="false" ht="14.25" hidden="false" customHeight="true" outlineLevel="0" collapsed="false">
      <c r="A27" s="68"/>
      <c r="B27" s="71" t="s">
        <v>553</v>
      </c>
      <c r="C27" s="71" t="s">
        <v>554</v>
      </c>
      <c r="D27" s="71" t="s">
        <v>555</v>
      </c>
      <c r="E27" s="69" t="s">
        <v>556</v>
      </c>
      <c r="F27" s="69" t="s">
        <v>558</v>
      </c>
      <c r="G27" s="69" t="s">
        <v>559</v>
      </c>
      <c r="H27" s="69" t="s">
        <v>560</v>
      </c>
      <c r="I27" s="69" t="s">
        <v>561</v>
      </c>
      <c r="J27" s="69" t="s">
        <v>562</v>
      </c>
      <c r="K27" s="69" t="s">
        <v>564</v>
      </c>
      <c r="L27" s="69" t="s">
        <v>565</v>
      </c>
      <c r="M27" s="69" t="s">
        <v>566</v>
      </c>
      <c r="N27" s="69" t="s">
        <v>567</v>
      </c>
      <c r="O27" s="69" t="s">
        <v>567</v>
      </c>
    </row>
    <row r="28" customFormat="false" ht="14.25" hidden="false" customHeight="true" outlineLevel="0" collapsed="false">
      <c r="A28" s="16" t="s">
        <v>575</v>
      </c>
      <c r="B28" s="80" t="n">
        <f aca="false">$K$12</f>
        <v>0.04</v>
      </c>
      <c r="C28" s="40" t="n">
        <f aca="false">$L$12</f>
        <v>0.072</v>
      </c>
      <c r="D28" s="40" t="n">
        <f aca="false">$M$12</f>
        <v>0.124</v>
      </c>
      <c r="E28" s="40" t="n">
        <f aca="false">$O$12</f>
        <v>71.3</v>
      </c>
      <c r="F28" s="40" t="n">
        <f aca="false">$Q$12</f>
        <v>23.33</v>
      </c>
      <c r="G28" s="40" t="n">
        <f aca="false">$R$12</f>
        <v>57.7</v>
      </c>
      <c r="H28" s="40" t="n">
        <f aca="false">$S$12</f>
        <v>9.02</v>
      </c>
      <c r="I28" s="40" t="n">
        <f aca="false">$T$12</f>
        <v>8.57</v>
      </c>
      <c r="J28" s="40" t="n">
        <f aca="false">$U$12</f>
        <v>0.172</v>
      </c>
      <c r="K28" s="40" t="n">
        <f aca="false">$W$12</f>
        <v>11.46</v>
      </c>
      <c r="L28" s="40" t="n">
        <f aca="false">$X$12</f>
        <v>14.45</v>
      </c>
      <c r="M28" s="40" t="n">
        <f aca="false">$Y$12</f>
        <v>8.54</v>
      </c>
      <c r="N28" s="43" t="n">
        <f aca="false">$Z$12</f>
        <v>2400</v>
      </c>
      <c r="O28" s="43" t="n">
        <f aca="false">$AA$12</f>
        <v>370</v>
      </c>
    </row>
    <row r="29" customFormat="false" ht="14.25" hidden="false" customHeight="true" outlineLevel="0" collapsed="false">
      <c r="A29" s="16" t="s">
        <v>312</v>
      </c>
      <c r="B29" s="80" t="n">
        <f aca="false">+AVERAGE($K$13,$K$11)</f>
        <v>0.036</v>
      </c>
      <c r="C29" s="16" t="n">
        <f aca="false">+AVERAGE($L$13,$L$11)</f>
        <v>0.0765</v>
      </c>
      <c r="D29" s="16" t="n">
        <f aca="false">+AVERAGE($M$13,$M$11)</f>
        <v>0.12</v>
      </c>
      <c r="E29" s="16" t="n">
        <f aca="false">+AVERAGE($O$13,$O$11)</f>
        <v>74.25</v>
      </c>
      <c r="F29" s="16" t="n">
        <f aca="false">+AVERAGE($Q$13,$Q$11)</f>
        <v>22.95</v>
      </c>
      <c r="G29" s="16" t="n">
        <f aca="false">+AVERAGE($R$13,$R$11)</f>
        <v>53.75</v>
      </c>
      <c r="H29" s="16" t="n">
        <f aca="false">+AVERAGE($S$13,$S$11)</f>
        <v>8.83</v>
      </c>
      <c r="I29" s="16" t="n">
        <f aca="false">+AVERAGE($T$13,$T$11)</f>
        <v>7.685</v>
      </c>
      <c r="J29" s="16" t="n">
        <f aca="false">+AVERAGE($U$13,$U$11)</f>
        <v>0.195</v>
      </c>
      <c r="K29" s="16" t="n">
        <f aca="false">+AVERAGE($W$13,$W$11)</f>
        <v>11.63</v>
      </c>
      <c r="L29" s="16" t="n">
        <f aca="false">+AVERAGE($X$13,$X$11)</f>
        <v>15.005</v>
      </c>
      <c r="M29" s="16" t="n">
        <f aca="false">+AVERAGE($Y$13,$Y$11)</f>
        <v>11.59</v>
      </c>
      <c r="N29" s="43" t="n">
        <f aca="false">+AVERAGE($Z$13,$Z$11)</f>
        <v>2400</v>
      </c>
      <c r="O29" s="43" t="n">
        <f aca="false">+AVERAGE($AA$13,$AA$11)</f>
        <v>360</v>
      </c>
    </row>
    <row r="30" customFormat="false" ht="14.25" hidden="false" customHeight="true" outlineLevel="0" collapsed="false">
      <c r="A30" s="16" t="s">
        <v>15</v>
      </c>
      <c r="B30" s="80" t="n">
        <f aca="false">+AVERAGE($K$8:$K$9)</f>
        <v>0.0335</v>
      </c>
      <c r="C30" s="16" t="n">
        <f aca="false">+AVERAGE($L$8:$L$9)</f>
        <v>0.0635</v>
      </c>
      <c r="D30" s="16" t="n">
        <f aca="false">+AVERAGE($M$8:$M$9)</f>
        <v>0.073</v>
      </c>
      <c r="E30" s="16" t="n">
        <f aca="false">+AVERAGE($O$8:$O$9)</f>
        <v>64</v>
      </c>
      <c r="F30" s="16" t="n">
        <f aca="false">+AVERAGE($Q$8:$Q$9)</f>
        <v>14.265</v>
      </c>
      <c r="G30" s="16" t="n">
        <f aca="false">+AVERAGE($R$8:$R$9)</f>
        <v>68.75</v>
      </c>
      <c r="H30" s="16" t="n">
        <f aca="false">+AVERAGE($S$8:$S$9)</f>
        <v>12.12</v>
      </c>
      <c r="I30" s="16" t="n">
        <f aca="false">+AVERAGE($T$8:$T$9)</f>
        <v>9.365</v>
      </c>
      <c r="J30" s="16" t="n">
        <f aca="false">+AVERAGE($U$8:$U$9)</f>
        <v>0.056</v>
      </c>
      <c r="K30" s="16" t="n">
        <f aca="false">+AVERAGE($W$8:$W$9)</f>
        <v>13.915</v>
      </c>
      <c r="L30" s="16" t="n">
        <f aca="false">+AVERAGE($X$8:$X$9)</f>
        <v>14.12</v>
      </c>
      <c r="M30" s="16" t="n">
        <f aca="false">+AVERAGE($Y$8:$Y$9)</f>
        <v>2.45</v>
      </c>
      <c r="N30" s="43" t="n">
        <f aca="false">+AVERAGE($Z$8:$Z$9)</f>
        <v>1550</v>
      </c>
      <c r="O30" s="43" t="n">
        <f aca="false">+AVERAGE($AA$8:$AA$9)</f>
        <v>180</v>
      </c>
    </row>
    <row r="31" customFormat="false" ht="14.25" hidden="false" customHeight="true" outlineLevel="0" collapsed="false">
      <c r="A31" s="16" t="s">
        <v>20</v>
      </c>
      <c r="B31" s="80" t="n">
        <f aca="false">+AVERAGE($K$10,$K$14)</f>
        <v>0.03665</v>
      </c>
      <c r="C31" s="16" t="n">
        <f aca="false">+AVERAGE($L$10,$L$14)</f>
        <v>0.0668</v>
      </c>
      <c r="D31" s="16" t="n">
        <f aca="false">+AVERAGE($M$10,$M$14)</f>
        <v>0.0262</v>
      </c>
      <c r="E31" s="16" t="n">
        <f aca="false">+AVERAGE($O$10,$O$14)</f>
        <v>55</v>
      </c>
      <c r="F31" s="16" t="n">
        <f aca="false">+AVERAGE($Q$10,$Q$14)</f>
        <v>26.05</v>
      </c>
      <c r="G31" s="16" t="n">
        <f aca="false">+AVERAGE($R$10,$R$14)</f>
        <v>47.925</v>
      </c>
      <c r="H31" s="16" t="n">
        <f aca="false">+AVERAGE($S$10,$S$14)</f>
        <v>8.315</v>
      </c>
      <c r="I31" s="16" t="n">
        <f aca="false">+AVERAGE($T$10,$T$14)</f>
        <v>5.65</v>
      </c>
      <c r="J31" s="16" t="n">
        <f aca="false">+AVERAGE($U$10,$U$14)</f>
        <v>0.0613</v>
      </c>
      <c r="K31" s="16" t="n">
        <f aca="false">+AVERAGE($W$10,$W$14)</f>
        <v>6.42</v>
      </c>
      <c r="L31" s="16" t="n">
        <f aca="false">+AVERAGE($X$10,$X$14)</f>
        <v>11.845</v>
      </c>
      <c r="M31" s="16" t="n">
        <f aca="false">+AVERAGE($Y$10,$Y$14)</f>
        <v>4.37</v>
      </c>
      <c r="N31" s="43" t="n">
        <f aca="false">+AVERAGE($Z$10,$Z$14)</f>
        <v>1475</v>
      </c>
      <c r="O31" s="43" t="n">
        <f aca="false">+AVERAGE($AA$10,$AA$14)</f>
        <v>200</v>
      </c>
    </row>
    <row r="32" customFormat="false" ht="14.25" hidden="false" customHeight="true" outlineLevel="0" collapsed="false">
      <c r="A32" s="16" t="s">
        <v>25</v>
      </c>
      <c r="B32" s="80" t="n">
        <f aca="false">+$J$15</f>
        <v>0.0001</v>
      </c>
      <c r="C32" s="16" t="n">
        <f aca="false">+$K$15</f>
        <v>0.0302</v>
      </c>
      <c r="D32" s="16" t="n">
        <v>0.004</v>
      </c>
      <c r="E32" s="16" t="n">
        <f aca="false">+$O$15</f>
        <v>33</v>
      </c>
      <c r="F32" s="16" t="n">
        <f aca="false">+$Q$15</f>
        <v>35.98</v>
      </c>
      <c r="G32" s="16" t="n">
        <f aca="false">+$R$15</f>
        <v>30.25</v>
      </c>
      <c r="H32" s="16" t="n">
        <f aca="false">+$S$15</f>
        <v>6.41</v>
      </c>
      <c r="I32" s="16" t="n">
        <f aca="false">+$T$15</f>
        <v>3.46</v>
      </c>
      <c r="J32" s="16" t="n">
        <f aca="false">+$U$15</f>
        <v>0.0432</v>
      </c>
      <c r="K32" s="16" t="n">
        <f aca="false">+$W$15</f>
        <v>2.18</v>
      </c>
      <c r="L32" s="16" t="n">
        <f aca="false">+$X$15</f>
        <v>10.77</v>
      </c>
      <c r="M32" s="16" t="n">
        <f aca="false">+$Y$15</f>
        <v>1.38</v>
      </c>
      <c r="N32" s="43" t="n">
        <f aca="false">+$Z$15</f>
        <v>990</v>
      </c>
      <c r="O32" s="43" t="n">
        <f aca="false">+$AA$15</f>
        <v>140</v>
      </c>
    </row>
  </sheetData>
  <mergeCells count="7">
    <mergeCell ref="A6:A7"/>
    <mergeCell ref="B6:B7"/>
    <mergeCell ref="C6:C7"/>
    <mergeCell ref="D6:D7"/>
    <mergeCell ref="E6:E7"/>
    <mergeCell ref="A20:A21"/>
    <mergeCell ref="A26:A27"/>
  </mergeCells>
  <printOptions headings="false" gridLines="false" gridLinesSet="true" horizontalCentered="false" verticalCentered="false"/>
  <pageMargins left="0.511805555555556" right="0.511805555555556" top="0.747916666666667" bottom="0.747916666666667" header="0.511811023622047" footer="0.511811023622047"/>
  <pageSetup paperSize="1" scale="8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R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453125" defaultRowHeight="14.25" zeroHeight="false" outlineLevelRow="0" outlineLevelCol="0"/>
  <cols>
    <col collapsed="false" customWidth="true" hidden="false" outlineLevel="0" max="3" min="3" style="1" width="19.88"/>
    <col collapsed="false" customWidth="true" hidden="false" outlineLevel="0" max="7" min="7" style="1" width="16.11"/>
    <col collapsed="false" customWidth="true" hidden="false" outlineLevel="0" max="8" min="8" style="1" width="15"/>
    <col collapsed="false" customWidth="true" hidden="false" outlineLevel="0" max="9" min="9" style="1" width="15.11"/>
    <col collapsed="false" customWidth="true" hidden="false" outlineLevel="0" max="12" min="12" style="1" width="19.56"/>
    <col collapsed="false" customWidth="true" hidden="false" outlineLevel="0" max="13" min="13" style="1" width="10.33"/>
    <col collapsed="false" customWidth="true" hidden="false" outlineLevel="0" max="14" min="14" style="1" width="7.67"/>
    <col collapsed="false" customWidth="true" hidden="false" outlineLevel="0" max="15" min="15" style="1" width="8.88"/>
    <col collapsed="false" customWidth="true" hidden="false" outlineLevel="0" max="16" min="16" style="1" width="17.88"/>
    <col collapsed="false" customWidth="true" hidden="false" outlineLevel="0" max="17" min="17" style="1" width="23.33"/>
    <col collapsed="false" customWidth="true" hidden="false" outlineLevel="0" max="18" min="18" style="1" width="21"/>
  </cols>
  <sheetData>
    <row r="1" customFormat="false" ht="14.25" hidden="false" customHeight="true" outlineLevel="0" collapsed="false">
      <c r="A1" s="15" t="s">
        <v>583</v>
      </c>
    </row>
    <row r="3" customFormat="false" ht="14.25" hidden="false" customHeight="true" outlineLevel="0" collapsed="false">
      <c r="A3" s="55" t="s">
        <v>368</v>
      </c>
      <c r="B3" s="55" t="s">
        <v>584</v>
      </c>
      <c r="C3" s="55" t="s">
        <v>370</v>
      </c>
      <c r="D3" s="55" t="s">
        <v>585</v>
      </c>
      <c r="E3" s="55" t="s">
        <v>525</v>
      </c>
      <c r="F3" s="84" t="s">
        <v>586</v>
      </c>
      <c r="G3" s="55" t="s">
        <v>587</v>
      </c>
      <c r="H3" s="55" t="s">
        <v>588</v>
      </c>
      <c r="I3" s="55" t="s">
        <v>589</v>
      </c>
      <c r="J3" s="85"/>
      <c r="L3" s="55" t="s">
        <v>370</v>
      </c>
      <c r="M3" s="55" t="s">
        <v>585</v>
      </c>
      <c r="N3" s="55" t="s">
        <v>525</v>
      </c>
      <c r="O3" s="55" t="s">
        <v>590</v>
      </c>
      <c r="P3" s="55" t="s">
        <v>591</v>
      </c>
      <c r="Q3" s="55" t="s">
        <v>592</v>
      </c>
      <c r="R3" s="55" t="s">
        <v>593</v>
      </c>
    </row>
    <row r="4" customFormat="false" ht="14.25" hidden="false" customHeight="true" outlineLevel="0" collapsed="false">
      <c r="A4" s="39" t="n">
        <v>45629</v>
      </c>
      <c r="B4" s="16" t="s">
        <v>594</v>
      </c>
      <c r="C4" s="16" t="s">
        <v>595</v>
      </c>
      <c r="D4" s="16" t="s">
        <v>474</v>
      </c>
      <c r="E4" s="16" t="n">
        <v>1</v>
      </c>
      <c r="F4" s="16" t="n">
        <v>430</v>
      </c>
      <c r="G4" s="40" t="n">
        <v>0.052</v>
      </c>
      <c r="H4" s="16" t="n">
        <v>10</v>
      </c>
      <c r="I4" s="16" t="n">
        <v>1</v>
      </c>
      <c r="L4" s="86" t="s">
        <v>596</v>
      </c>
      <c r="M4" s="86" t="s">
        <v>193</v>
      </c>
      <c r="N4" s="86" t="s">
        <v>597</v>
      </c>
      <c r="O4" s="87" t="n">
        <v>3.876</v>
      </c>
      <c r="P4" s="88" t="n">
        <v>1.85315757559901</v>
      </c>
      <c r="Q4" s="88" t="n">
        <v>1.1115</v>
      </c>
      <c r="R4" s="88" t="n">
        <f aca="false">+ AVERAGE(O4:O15)</f>
        <v>1.463</v>
      </c>
    </row>
    <row r="5" customFormat="false" ht="14.25" hidden="false" customHeight="true" outlineLevel="0" collapsed="false">
      <c r="A5" s="39" t="n">
        <v>45629</v>
      </c>
      <c r="B5" s="16" t="s">
        <v>594</v>
      </c>
      <c r="C5" s="16" t="s">
        <v>595</v>
      </c>
      <c r="D5" s="16" t="s">
        <v>474</v>
      </c>
      <c r="E5" s="16" t="n">
        <v>1</v>
      </c>
      <c r="F5" s="16" t="n">
        <v>665</v>
      </c>
      <c r="G5" s="40" t="n">
        <v>0.039</v>
      </c>
      <c r="H5" s="16" t="n">
        <v>10</v>
      </c>
      <c r="I5" s="16" t="n">
        <v>1</v>
      </c>
      <c r="L5" s="86" t="s">
        <v>596</v>
      </c>
      <c r="M5" s="86" t="s">
        <v>193</v>
      </c>
      <c r="N5" s="86" t="s">
        <v>598</v>
      </c>
      <c r="O5" s="87" t="n">
        <v>0.456</v>
      </c>
      <c r="P5" s="88"/>
      <c r="Q5" s="88"/>
      <c r="R5" s="88"/>
    </row>
    <row r="6" customFormat="false" ht="14.25" hidden="false" customHeight="true" outlineLevel="0" collapsed="false">
      <c r="A6" s="39" t="n">
        <v>45629</v>
      </c>
      <c r="B6" s="16" t="s">
        <v>594</v>
      </c>
      <c r="C6" s="16" t="s">
        <v>595</v>
      </c>
      <c r="D6" s="16" t="s">
        <v>474</v>
      </c>
      <c r="E6" s="16" t="n">
        <v>1</v>
      </c>
      <c r="F6" s="16" t="n">
        <v>750</v>
      </c>
      <c r="G6" s="40" t="n">
        <v>0.034</v>
      </c>
      <c r="H6" s="16" t="n">
        <v>10</v>
      </c>
      <c r="I6" s="16" t="n">
        <v>1</v>
      </c>
      <c r="L6" s="86" t="s">
        <v>596</v>
      </c>
      <c r="M6" s="86" t="s">
        <v>193</v>
      </c>
      <c r="N6" s="86" t="s">
        <v>599</v>
      </c>
      <c r="O6" s="87" t="n">
        <v>0.114</v>
      </c>
      <c r="P6" s="88"/>
      <c r="Q6" s="88"/>
      <c r="R6" s="88"/>
    </row>
    <row r="7" customFormat="false" ht="14.25" hidden="false" customHeight="true" outlineLevel="0" collapsed="false">
      <c r="A7" s="39" t="n">
        <v>45629</v>
      </c>
      <c r="B7" s="16" t="s">
        <v>594</v>
      </c>
      <c r="C7" s="16" t="s">
        <v>595</v>
      </c>
      <c r="D7" s="16" t="s">
        <v>474</v>
      </c>
      <c r="E7" s="16" t="n">
        <v>2</v>
      </c>
      <c r="F7" s="16" t="n">
        <v>430</v>
      </c>
      <c r="G7" s="40" t="n">
        <v>0.051</v>
      </c>
      <c r="H7" s="16" t="n">
        <v>10</v>
      </c>
      <c r="I7" s="16" t="n">
        <v>1</v>
      </c>
      <c r="L7" s="86" t="s">
        <v>596</v>
      </c>
      <c r="M7" s="86" t="s">
        <v>193</v>
      </c>
      <c r="N7" s="86" t="s">
        <v>600</v>
      </c>
      <c r="O7" s="87" t="n">
        <v>0</v>
      </c>
      <c r="P7" s="88"/>
      <c r="Q7" s="88"/>
      <c r="R7" s="88"/>
    </row>
    <row r="8" customFormat="false" ht="14.25" hidden="false" customHeight="true" outlineLevel="0" collapsed="false">
      <c r="A8" s="39" t="n">
        <v>45629</v>
      </c>
      <c r="B8" s="16" t="s">
        <v>594</v>
      </c>
      <c r="C8" s="16" t="s">
        <v>595</v>
      </c>
      <c r="D8" s="16" t="s">
        <v>474</v>
      </c>
      <c r="E8" s="16" t="n">
        <v>2</v>
      </c>
      <c r="F8" s="16" t="n">
        <v>665</v>
      </c>
      <c r="G8" s="40" t="n">
        <v>0.039</v>
      </c>
      <c r="H8" s="16" t="n">
        <v>10</v>
      </c>
      <c r="I8" s="16" t="n">
        <v>1</v>
      </c>
      <c r="L8" s="86" t="s">
        <v>596</v>
      </c>
      <c r="M8" s="86" t="s">
        <v>277</v>
      </c>
      <c r="N8" s="86" t="s">
        <v>597</v>
      </c>
      <c r="O8" s="87" t="n">
        <v>0.114</v>
      </c>
      <c r="P8" s="88" t="n">
        <v>0.409713314404109</v>
      </c>
      <c r="Q8" s="88" t="n">
        <v>0.4845</v>
      </c>
      <c r="R8" s="88"/>
    </row>
    <row r="9" customFormat="false" ht="14.25" hidden="false" customHeight="true" outlineLevel="0" collapsed="false">
      <c r="A9" s="39" t="n">
        <v>45629</v>
      </c>
      <c r="B9" s="16" t="s">
        <v>594</v>
      </c>
      <c r="C9" s="16" t="s">
        <v>595</v>
      </c>
      <c r="D9" s="16" t="s">
        <v>474</v>
      </c>
      <c r="E9" s="16" t="n">
        <v>2</v>
      </c>
      <c r="F9" s="16" t="n">
        <v>750</v>
      </c>
      <c r="G9" s="40" t="n">
        <v>0.035</v>
      </c>
      <c r="H9" s="16" t="n">
        <v>10</v>
      </c>
      <c r="I9" s="16" t="n">
        <v>1</v>
      </c>
      <c r="L9" s="86" t="s">
        <v>596</v>
      </c>
      <c r="M9" s="86" t="s">
        <v>277</v>
      </c>
      <c r="N9" s="86" t="s">
        <v>598</v>
      </c>
      <c r="O9" s="87" t="n">
        <v>1.026</v>
      </c>
      <c r="P9" s="88"/>
      <c r="Q9" s="88"/>
      <c r="R9" s="88"/>
    </row>
    <row r="10" customFormat="false" ht="14.25" hidden="false" customHeight="true" outlineLevel="0" collapsed="false">
      <c r="A10" s="39" t="n">
        <v>45629</v>
      </c>
      <c r="B10" s="16" t="s">
        <v>594</v>
      </c>
      <c r="C10" s="16" t="s">
        <v>595</v>
      </c>
      <c r="D10" s="16" t="s">
        <v>474</v>
      </c>
      <c r="E10" s="16" t="n">
        <v>3</v>
      </c>
      <c r="F10" s="16" t="n">
        <v>430</v>
      </c>
      <c r="G10" s="40" t="n">
        <v>0.067</v>
      </c>
      <c r="H10" s="16" t="n">
        <v>10</v>
      </c>
      <c r="I10" s="16" t="n">
        <v>1</v>
      </c>
      <c r="L10" s="86" t="s">
        <v>596</v>
      </c>
      <c r="M10" s="86" t="s">
        <v>277</v>
      </c>
      <c r="N10" s="86" t="s">
        <v>599</v>
      </c>
      <c r="O10" s="87" t="n">
        <v>0.57</v>
      </c>
      <c r="P10" s="88"/>
      <c r="Q10" s="88"/>
      <c r="R10" s="88"/>
    </row>
    <row r="11" customFormat="false" ht="14.25" hidden="false" customHeight="true" outlineLevel="0" collapsed="false">
      <c r="A11" s="39" t="n">
        <v>45629</v>
      </c>
      <c r="B11" s="16" t="s">
        <v>594</v>
      </c>
      <c r="C11" s="16" t="s">
        <v>595</v>
      </c>
      <c r="D11" s="16" t="s">
        <v>474</v>
      </c>
      <c r="E11" s="16" t="n">
        <v>3</v>
      </c>
      <c r="F11" s="16" t="n">
        <v>665</v>
      </c>
      <c r="G11" s="40" t="n">
        <v>0.047</v>
      </c>
      <c r="H11" s="16" t="n">
        <v>10</v>
      </c>
      <c r="I11" s="16" t="n">
        <v>1</v>
      </c>
      <c r="L11" s="86" t="s">
        <v>596</v>
      </c>
      <c r="M11" s="86" t="s">
        <v>277</v>
      </c>
      <c r="N11" s="86" t="s">
        <v>600</v>
      </c>
      <c r="O11" s="87" t="n">
        <v>0.228</v>
      </c>
      <c r="P11" s="88"/>
      <c r="Q11" s="88"/>
      <c r="R11" s="88"/>
    </row>
    <row r="12" customFormat="false" ht="14.25" hidden="false" customHeight="true" outlineLevel="0" collapsed="false">
      <c r="A12" s="39" t="n">
        <v>45629</v>
      </c>
      <c r="B12" s="16" t="s">
        <v>594</v>
      </c>
      <c r="C12" s="16" t="s">
        <v>595</v>
      </c>
      <c r="D12" s="16" t="s">
        <v>474</v>
      </c>
      <c r="E12" s="16" t="n">
        <v>3</v>
      </c>
      <c r="F12" s="16" t="n">
        <v>750</v>
      </c>
      <c r="G12" s="40" t="n">
        <v>0.034</v>
      </c>
      <c r="H12" s="16" t="n">
        <v>10</v>
      </c>
      <c r="I12" s="16" t="n">
        <v>1</v>
      </c>
      <c r="L12" s="86" t="s">
        <v>596</v>
      </c>
      <c r="M12" s="86" t="s">
        <v>461</v>
      </c>
      <c r="N12" s="86" t="s">
        <v>597</v>
      </c>
      <c r="O12" s="87" t="n">
        <v>2.394</v>
      </c>
      <c r="P12" s="88" t="n">
        <v>0.747547991770427</v>
      </c>
      <c r="Q12" s="88" t="n">
        <v>2.793</v>
      </c>
      <c r="R12" s="88"/>
    </row>
    <row r="13" customFormat="false" ht="14.25" hidden="false" customHeight="true" outlineLevel="0" collapsed="false">
      <c r="A13" s="39" t="n">
        <v>45629</v>
      </c>
      <c r="B13" s="16" t="s">
        <v>594</v>
      </c>
      <c r="C13" s="16" t="s">
        <v>595</v>
      </c>
      <c r="D13" s="16" t="s">
        <v>473</v>
      </c>
      <c r="E13" s="16" t="n">
        <v>1</v>
      </c>
      <c r="F13" s="16" t="n">
        <v>430</v>
      </c>
      <c r="G13" s="40" t="n">
        <v>0.137</v>
      </c>
      <c r="H13" s="16" t="n">
        <v>10</v>
      </c>
      <c r="I13" s="16" t="n">
        <v>1</v>
      </c>
      <c r="L13" s="86" t="s">
        <v>596</v>
      </c>
      <c r="M13" s="86" t="s">
        <v>461</v>
      </c>
      <c r="N13" s="86" t="s">
        <v>598</v>
      </c>
      <c r="O13" s="87" t="n">
        <v>3.42</v>
      </c>
      <c r="P13" s="88"/>
      <c r="Q13" s="88"/>
      <c r="R13" s="88"/>
    </row>
    <row r="14" customFormat="false" ht="14.25" hidden="false" customHeight="true" outlineLevel="0" collapsed="false">
      <c r="A14" s="39" t="n">
        <v>45629</v>
      </c>
      <c r="B14" s="16" t="s">
        <v>594</v>
      </c>
      <c r="C14" s="16" t="s">
        <v>595</v>
      </c>
      <c r="D14" s="16" t="s">
        <v>473</v>
      </c>
      <c r="E14" s="16" t="n">
        <v>1</v>
      </c>
      <c r="F14" s="16" t="n">
        <v>665</v>
      </c>
      <c r="G14" s="40" t="n">
        <v>0.064</v>
      </c>
      <c r="H14" s="16" t="n">
        <v>10</v>
      </c>
      <c r="I14" s="16" t="n">
        <v>1</v>
      </c>
      <c r="L14" s="86" t="s">
        <v>596</v>
      </c>
      <c r="M14" s="86" t="s">
        <v>461</v>
      </c>
      <c r="N14" s="86" t="s">
        <v>599</v>
      </c>
      <c r="O14" s="87" t="n">
        <v>3.42</v>
      </c>
      <c r="P14" s="88"/>
      <c r="Q14" s="88"/>
      <c r="R14" s="88"/>
    </row>
    <row r="15" customFormat="false" ht="14.25" hidden="false" customHeight="true" outlineLevel="0" collapsed="false">
      <c r="A15" s="39" t="n">
        <v>45629</v>
      </c>
      <c r="B15" s="16" t="s">
        <v>594</v>
      </c>
      <c r="C15" s="16" t="s">
        <v>595</v>
      </c>
      <c r="D15" s="16" t="s">
        <v>473</v>
      </c>
      <c r="E15" s="16" t="n">
        <v>1</v>
      </c>
      <c r="F15" s="16" t="n">
        <v>750</v>
      </c>
      <c r="G15" s="40" t="n">
        <v>0.037</v>
      </c>
      <c r="H15" s="16" t="n">
        <v>10</v>
      </c>
      <c r="I15" s="16" t="n">
        <v>1</v>
      </c>
      <c r="L15" s="86" t="s">
        <v>596</v>
      </c>
      <c r="M15" s="86" t="s">
        <v>461</v>
      </c>
      <c r="N15" s="86" t="s">
        <v>600</v>
      </c>
      <c r="O15" s="87" t="n">
        <v>1.938</v>
      </c>
      <c r="P15" s="88"/>
      <c r="Q15" s="88"/>
      <c r="R15" s="88"/>
    </row>
    <row r="16" customFormat="false" ht="14.25" hidden="false" customHeight="true" outlineLevel="0" collapsed="false">
      <c r="A16" s="39" t="n">
        <v>45629</v>
      </c>
      <c r="B16" s="16" t="s">
        <v>594</v>
      </c>
      <c r="C16" s="16" t="s">
        <v>595</v>
      </c>
      <c r="D16" s="16" t="s">
        <v>473</v>
      </c>
      <c r="E16" s="16" t="n">
        <v>2</v>
      </c>
      <c r="F16" s="16" t="n">
        <v>430</v>
      </c>
      <c r="G16" s="40" t="n">
        <v>0.087</v>
      </c>
      <c r="H16" s="16" t="n">
        <v>10</v>
      </c>
      <c r="I16" s="16" t="n">
        <v>1</v>
      </c>
      <c r="L16" s="86" t="s">
        <v>601</v>
      </c>
      <c r="M16" s="86" t="s">
        <v>461</v>
      </c>
      <c r="N16" s="86" t="s">
        <v>597</v>
      </c>
      <c r="O16" s="87" t="n">
        <v>0.912</v>
      </c>
      <c r="P16" s="88" t="n">
        <v>0.301615649461364</v>
      </c>
      <c r="Q16" s="88" t="n">
        <v>0.513</v>
      </c>
      <c r="R16" s="88" t="n">
        <f aca="false">+ AVERAGE(O16:O27)</f>
        <v>0.513</v>
      </c>
    </row>
    <row r="17" customFormat="false" ht="14.25" hidden="false" customHeight="true" outlineLevel="0" collapsed="false">
      <c r="A17" s="39" t="n">
        <v>45629</v>
      </c>
      <c r="B17" s="16" t="s">
        <v>594</v>
      </c>
      <c r="C17" s="16" t="s">
        <v>595</v>
      </c>
      <c r="D17" s="16" t="s">
        <v>473</v>
      </c>
      <c r="E17" s="16" t="n">
        <v>2</v>
      </c>
      <c r="F17" s="16" t="n">
        <v>665</v>
      </c>
      <c r="G17" s="40" t="n">
        <v>0.05</v>
      </c>
      <c r="H17" s="16" t="n">
        <v>10</v>
      </c>
      <c r="I17" s="16" t="n">
        <v>1</v>
      </c>
      <c r="L17" s="86" t="s">
        <v>601</v>
      </c>
      <c r="M17" s="86" t="s">
        <v>461</v>
      </c>
      <c r="N17" s="86" t="s">
        <v>598</v>
      </c>
      <c r="O17" s="87" t="n">
        <v>0.227999999999999</v>
      </c>
      <c r="P17" s="88"/>
      <c r="Q17" s="88"/>
      <c r="R17" s="88"/>
    </row>
    <row r="18" customFormat="false" ht="14.25" hidden="false" customHeight="true" outlineLevel="0" collapsed="false">
      <c r="A18" s="39" t="n">
        <v>45629</v>
      </c>
      <c r="B18" s="16" t="s">
        <v>594</v>
      </c>
      <c r="C18" s="16" t="s">
        <v>595</v>
      </c>
      <c r="D18" s="16" t="s">
        <v>473</v>
      </c>
      <c r="E18" s="16" t="n">
        <v>2</v>
      </c>
      <c r="F18" s="16" t="n">
        <v>750</v>
      </c>
      <c r="G18" s="40" t="n">
        <v>0.038</v>
      </c>
      <c r="H18" s="16" t="n">
        <v>10</v>
      </c>
      <c r="I18" s="16" t="n">
        <v>1</v>
      </c>
      <c r="L18" s="86" t="s">
        <v>601</v>
      </c>
      <c r="M18" s="86" t="s">
        <v>461</v>
      </c>
      <c r="N18" s="86" t="s">
        <v>599</v>
      </c>
      <c r="O18" s="87" t="n">
        <v>0.570000000000001</v>
      </c>
      <c r="P18" s="88"/>
      <c r="Q18" s="88"/>
      <c r="R18" s="88"/>
    </row>
    <row r="19" customFormat="false" ht="14.25" hidden="false" customHeight="true" outlineLevel="0" collapsed="false">
      <c r="A19" s="39" t="n">
        <v>45629</v>
      </c>
      <c r="B19" s="16" t="s">
        <v>594</v>
      </c>
      <c r="C19" s="16" t="s">
        <v>595</v>
      </c>
      <c r="D19" s="16" t="s">
        <v>473</v>
      </c>
      <c r="E19" s="16" t="n">
        <v>3</v>
      </c>
      <c r="F19" s="16" t="n">
        <v>430</v>
      </c>
      <c r="G19" s="40" t="n">
        <v>0.09</v>
      </c>
      <c r="H19" s="16" t="n">
        <v>10</v>
      </c>
      <c r="I19" s="16" t="n">
        <v>1</v>
      </c>
      <c r="L19" s="86" t="s">
        <v>601</v>
      </c>
      <c r="M19" s="86" t="s">
        <v>461</v>
      </c>
      <c r="N19" s="86" t="s">
        <v>600</v>
      </c>
      <c r="O19" s="87" t="n">
        <v>0.342</v>
      </c>
      <c r="P19" s="88"/>
      <c r="Q19" s="88"/>
      <c r="R19" s="88"/>
    </row>
    <row r="20" customFormat="false" ht="14.25" hidden="false" customHeight="true" outlineLevel="0" collapsed="false">
      <c r="A20" s="39" t="n">
        <v>45629</v>
      </c>
      <c r="B20" s="16" t="s">
        <v>594</v>
      </c>
      <c r="C20" s="16" t="s">
        <v>595</v>
      </c>
      <c r="D20" s="16" t="s">
        <v>473</v>
      </c>
      <c r="E20" s="16" t="n">
        <v>3</v>
      </c>
      <c r="F20" s="16" t="n">
        <v>665</v>
      </c>
      <c r="G20" s="40" t="n">
        <v>0.05</v>
      </c>
      <c r="H20" s="16" t="n">
        <v>10</v>
      </c>
      <c r="I20" s="16" t="n">
        <v>1</v>
      </c>
      <c r="L20" s="86" t="s">
        <v>601</v>
      </c>
      <c r="M20" s="86" t="s">
        <v>277</v>
      </c>
      <c r="N20" s="86" t="s">
        <v>597</v>
      </c>
      <c r="O20" s="87" t="n">
        <v>0.114</v>
      </c>
      <c r="P20" s="88" t="n">
        <v>0.70505106198062</v>
      </c>
      <c r="Q20" s="88" t="n">
        <v>0.5415</v>
      </c>
      <c r="R20" s="88"/>
    </row>
    <row r="21" customFormat="false" ht="14.25" hidden="false" customHeight="true" outlineLevel="0" collapsed="false">
      <c r="A21" s="39" t="n">
        <v>45629</v>
      </c>
      <c r="B21" s="16" t="s">
        <v>594</v>
      </c>
      <c r="C21" s="16" t="s">
        <v>595</v>
      </c>
      <c r="D21" s="16" t="s">
        <v>473</v>
      </c>
      <c r="E21" s="16" t="n">
        <v>3</v>
      </c>
      <c r="F21" s="16" t="n">
        <v>750</v>
      </c>
      <c r="G21" s="40" t="n">
        <v>0.036</v>
      </c>
      <c r="H21" s="16" t="n">
        <v>10</v>
      </c>
      <c r="I21" s="16" t="n">
        <v>1</v>
      </c>
      <c r="L21" s="86" t="s">
        <v>601</v>
      </c>
      <c r="M21" s="86" t="s">
        <v>277</v>
      </c>
      <c r="N21" s="86" t="s">
        <v>598</v>
      </c>
      <c r="O21" s="87" t="n">
        <v>1.596</v>
      </c>
      <c r="P21" s="88"/>
      <c r="Q21" s="88"/>
      <c r="R21" s="88"/>
    </row>
    <row r="22" customFormat="false" ht="14.25" hidden="false" customHeight="true" outlineLevel="0" collapsed="false">
      <c r="A22" s="39" t="n">
        <v>45625</v>
      </c>
      <c r="B22" s="16" t="s">
        <v>594</v>
      </c>
      <c r="C22" s="16" t="s">
        <v>602</v>
      </c>
      <c r="D22" s="16" t="s">
        <v>474</v>
      </c>
      <c r="E22" s="16" t="n">
        <v>1</v>
      </c>
      <c r="F22" s="16" t="n">
        <v>430</v>
      </c>
      <c r="G22" s="40" t="n">
        <v>0.059</v>
      </c>
      <c r="H22" s="16" t="n">
        <v>10</v>
      </c>
      <c r="I22" s="16" t="n">
        <v>1</v>
      </c>
      <c r="L22" s="86" t="s">
        <v>601</v>
      </c>
      <c r="M22" s="86" t="s">
        <v>277</v>
      </c>
      <c r="N22" s="86" t="s">
        <v>599</v>
      </c>
      <c r="O22" s="87" t="n">
        <v>0.228</v>
      </c>
      <c r="P22" s="88"/>
      <c r="Q22" s="88"/>
      <c r="R22" s="88"/>
    </row>
    <row r="23" customFormat="false" ht="14.25" hidden="false" customHeight="true" outlineLevel="0" collapsed="false">
      <c r="A23" s="39" t="n">
        <v>45625</v>
      </c>
      <c r="B23" s="16" t="s">
        <v>594</v>
      </c>
      <c r="C23" s="16" t="s">
        <v>602</v>
      </c>
      <c r="D23" s="16" t="s">
        <v>474</v>
      </c>
      <c r="E23" s="16" t="n">
        <v>1</v>
      </c>
      <c r="F23" s="16" t="n">
        <v>665</v>
      </c>
      <c r="G23" s="40" t="n">
        <v>0.043</v>
      </c>
      <c r="H23" s="16" t="n">
        <v>10</v>
      </c>
      <c r="I23" s="16" t="n">
        <v>1</v>
      </c>
      <c r="L23" s="86" t="s">
        <v>601</v>
      </c>
      <c r="M23" s="86" t="s">
        <v>277</v>
      </c>
      <c r="N23" s="86" t="s">
        <v>600</v>
      </c>
      <c r="O23" s="87" t="n">
        <v>0.227999999999999</v>
      </c>
      <c r="P23" s="88"/>
      <c r="Q23" s="88"/>
      <c r="R23" s="88"/>
    </row>
    <row r="24" customFormat="false" ht="14.25" hidden="false" customHeight="true" outlineLevel="0" collapsed="false">
      <c r="A24" s="39" t="n">
        <v>45625</v>
      </c>
      <c r="B24" s="16" t="s">
        <v>594</v>
      </c>
      <c r="C24" s="16" t="s">
        <v>602</v>
      </c>
      <c r="D24" s="16" t="s">
        <v>474</v>
      </c>
      <c r="E24" s="16" t="n">
        <v>1</v>
      </c>
      <c r="F24" s="16" t="n">
        <v>750</v>
      </c>
      <c r="G24" s="40" t="n">
        <v>0.033</v>
      </c>
      <c r="H24" s="16" t="n">
        <v>10</v>
      </c>
      <c r="I24" s="16" t="n">
        <v>1</v>
      </c>
      <c r="L24" s="86" t="s">
        <v>601</v>
      </c>
      <c r="M24" s="86" t="s">
        <v>193</v>
      </c>
      <c r="N24" s="86" t="s">
        <v>597</v>
      </c>
      <c r="O24" s="87" t="n">
        <v>0.114</v>
      </c>
      <c r="P24" s="88" t="n">
        <v>0.340412984476209</v>
      </c>
      <c r="Q24" s="88" t="n">
        <v>0.4845</v>
      </c>
      <c r="R24" s="88"/>
    </row>
    <row r="25" customFormat="false" ht="14.25" hidden="false" customHeight="true" outlineLevel="0" collapsed="false">
      <c r="A25" s="39" t="n">
        <v>45625</v>
      </c>
      <c r="B25" s="16" t="s">
        <v>594</v>
      </c>
      <c r="C25" s="16" t="s">
        <v>602</v>
      </c>
      <c r="D25" s="16" t="s">
        <v>474</v>
      </c>
      <c r="E25" s="16" t="n">
        <v>2</v>
      </c>
      <c r="F25" s="16" t="n">
        <v>430</v>
      </c>
      <c r="G25" s="40" t="n">
        <v>0.116</v>
      </c>
      <c r="H25" s="16" t="n">
        <v>10</v>
      </c>
      <c r="I25" s="16" t="n">
        <v>1</v>
      </c>
      <c r="L25" s="86" t="s">
        <v>601</v>
      </c>
      <c r="M25" s="86" t="s">
        <v>193</v>
      </c>
      <c r="N25" s="86" t="s">
        <v>598</v>
      </c>
      <c r="O25" s="87" t="n">
        <v>0.911999999999999</v>
      </c>
      <c r="P25" s="88"/>
      <c r="Q25" s="88"/>
      <c r="R25" s="88"/>
    </row>
    <row r="26" customFormat="false" ht="14.25" hidden="false" customHeight="true" outlineLevel="0" collapsed="false">
      <c r="A26" s="39" t="n">
        <v>45625</v>
      </c>
      <c r="B26" s="16" t="s">
        <v>594</v>
      </c>
      <c r="C26" s="16" t="s">
        <v>602</v>
      </c>
      <c r="D26" s="16" t="s">
        <v>474</v>
      </c>
      <c r="E26" s="16" t="n">
        <v>2</v>
      </c>
      <c r="F26" s="16" t="n">
        <v>665</v>
      </c>
      <c r="G26" s="40" t="n">
        <v>0.068</v>
      </c>
      <c r="H26" s="16" t="n">
        <v>10</v>
      </c>
      <c r="I26" s="16" t="n">
        <v>1</v>
      </c>
      <c r="L26" s="86" t="s">
        <v>601</v>
      </c>
      <c r="M26" s="86" t="s">
        <v>193</v>
      </c>
      <c r="N26" s="86" t="s">
        <v>599</v>
      </c>
      <c r="O26" s="87" t="n">
        <v>0.342</v>
      </c>
      <c r="P26" s="88"/>
      <c r="Q26" s="88"/>
      <c r="R26" s="88"/>
    </row>
    <row r="27" customFormat="false" ht="14.25" hidden="false" customHeight="true" outlineLevel="0" collapsed="false">
      <c r="A27" s="39" t="n">
        <v>45625</v>
      </c>
      <c r="B27" s="16" t="s">
        <v>594</v>
      </c>
      <c r="C27" s="16" t="s">
        <v>602</v>
      </c>
      <c r="D27" s="16" t="s">
        <v>474</v>
      </c>
      <c r="E27" s="16" t="n">
        <v>2</v>
      </c>
      <c r="F27" s="16" t="n">
        <v>750</v>
      </c>
      <c r="G27" s="40" t="n">
        <v>0.033</v>
      </c>
      <c r="H27" s="16" t="n">
        <v>10</v>
      </c>
      <c r="I27" s="16" t="n">
        <v>1</v>
      </c>
      <c r="L27" s="86" t="s">
        <v>601</v>
      </c>
      <c r="M27" s="86" t="s">
        <v>193</v>
      </c>
      <c r="N27" s="86" t="s">
        <v>600</v>
      </c>
      <c r="O27" s="87" t="n">
        <v>0.570000000000001</v>
      </c>
      <c r="P27" s="88"/>
      <c r="Q27" s="88"/>
      <c r="R27" s="88"/>
    </row>
    <row r="28" customFormat="false" ht="14.25" hidden="false" customHeight="true" outlineLevel="0" collapsed="false">
      <c r="A28" s="39" t="n">
        <v>45625</v>
      </c>
      <c r="B28" s="16" t="s">
        <v>594</v>
      </c>
      <c r="C28" s="16" t="s">
        <v>602</v>
      </c>
      <c r="D28" s="16" t="s">
        <v>474</v>
      </c>
      <c r="E28" s="16" t="n">
        <v>3</v>
      </c>
      <c r="F28" s="16" t="n">
        <v>430</v>
      </c>
      <c r="G28" s="40" t="n">
        <v>0.08</v>
      </c>
      <c r="H28" s="16" t="n">
        <v>10</v>
      </c>
      <c r="I28" s="16" t="n">
        <v>1</v>
      </c>
      <c r="L28" s="86" t="s">
        <v>603</v>
      </c>
      <c r="M28" s="86" t="s">
        <v>193</v>
      </c>
      <c r="N28" s="86" t="s">
        <v>597</v>
      </c>
      <c r="O28" s="87" t="n">
        <v>0.114</v>
      </c>
      <c r="P28" s="88" t="n">
        <v>0.147173367155882</v>
      </c>
      <c r="Q28" s="88" t="n">
        <v>0.171</v>
      </c>
      <c r="R28" s="88" t="n">
        <f aca="false">+AVERAGE(O28:O39)</f>
        <v>0.1615</v>
      </c>
    </row>
    <row r="29" customFormat="false" ht="14.25" hidden="false" customHeight="true" outlineLevel="0" collapsed="false">
      <c r="A29" s="39" t="n">
        <v>45625</v>
      </c>
      <c r="B29" s="16" t="s">
        <v>594</v>
      </c>
      <c r="C29" s="16" t="s">
        <v>602</v>
      </c>
      <c r="D29" s="16" t="s">
        <v>474</v>
      </c>
      <c r="E29" s="16" t="n">
        <v>3</v>
      </c>
      <c r="F29" s="16" t="n">
        <v>665</v>
      </c>
      <c r="G29" s="40" t="n">
        <v>0.052</v>
      </c>
      <c r="H29" s="16" t="n">
        <v>10</v>
      </c>
      <c r="I29" s="16" t="n">
        <v>1</v>
      </c>
      <c r="L29" s="86" t="s">
        <v>603</v>
      </c>
      <c r="M29" s="86" t="s">
        <v>193</v>
      </c>
      <c r="N29" s="86" t="s">
        <v>598</v>
      </c>
      <c r="O29" s="87" t="n">
        <v>0</v>
      </c>
      <c r="P29" s="88"/>
      <c r="Q29" s="88"/>
      <c r="R29" s="88"/>
    </row>
    <row r="30" customFormat="false" ht="14.25" hidden="false" customHeight="true" outlineLevel="0" collapsed="false">
      <c r="A30" s="39" t="n">
        <v>45625</v>
      </c>
      <c r="B30" s="16" t="s">
        <v>594</v>
      </c>
      <c r="C30" s="16" t="s">
        <v>602</v>
      </c>
      <c r="D30" s="16" t="s">
        <v>474</v>
      </c>
      <c r="E30" s="16" t="n">
        <v>3</v>
      </c>
      <c r="F30" s="16" t="n">
        <v>750</v>
      </c>
      <c r="G30" s="40" t="n">
        <v>0.034</v>
      </c>
      <c r="H30" s="16" t="n">
        <v>10</v>
      </c>
      <c r="I30" s="16" t="n">
        <v>1</v>
      </c>
      <c r="L30" s="86" t="s">
        <v>603</v>
      </c>
      <c r="M30" s="86" t="s">
        <v>193</v>
      </c>
      <c r="N30" s="86" t="s">
        <v>599</v>
      </c>
      <c r="O30" s="87" t="n">
        <v>0.342</v>
      </c>
      <c r="P30" s="88"/>
      <c r="Q30" s="88"/>
      <c r="R30" s="88"/>
    </row>
    <row r="31" customFormat="false" ht="14.25" hidden="false" customHeight="true" outlineLevel="0" collapsed="false">
      <c r="A31" s="39" t="n">
        <v>45625</v>
      </c>
      <c r="B31" s="16" t="s">
        <v>594</v>
      </c>
      <c r="C31" s="16" t="s">
        <v>602</v>
      </c>
      <c r="D31" s="16" t="s">
        <v>277</v>
      </c>
      <c r="E31" s="16" t="n">
        <v>1</v>
      </c>
      <c r="F31" s="16" t="n">
        <v>430</v>
      </c>
      <c r="G31" s="40" t="n">
        <v>0.049</v>
      </c>
      <c r="H31" s="16" t="n">
        <v>10</v>
      </c>
      <c r="I31" s="16" t="n">
        <v>1</v>
      </c>
      <c r="L31" s="86" t="s">
        <v>603</v>
      </c>
      <c r="M31" s="86" t="s">
        <v>193</v>
      </c>
      <c r="N31" s="86" t="s">
        <v>600</v>
      </c>
      <c r="O31" s="87" t="n">
        <v>0.228</v>
      </c>
      <c r="P31" s="88"/>
      <c r="Q31" s="88"/>
      <c r="R31" s="88"/>
    </row>
    <row r="32" customFormat="false" ht="14.25" hidden="false" customHeight="true" outlineLevel="0" collapsed="false">
      <c r="A32" s="39" t="n">
        <v>45625</v>
      </c>
      <c r="B32" s="16" t="s">
        <v>594</v>
      </c>
      <c r="C32" s="16" t="s">
        <v>602</v>
      </c>
      <c r="D32" s="16" t="s">
        <v>277</v>
      </c>
      <c r="E32" s="16" t="n">
        <v>1</v>
      </c>
      <c r="F32" s="16" t="n">
        <v>665</v>
      </c>
      <c r="G32" s="40" t="n">
        <v>0.037</v>
      </c>
      <c r="H32" s="16" t="n">
        <v>10</v>
      </c>
      <c r="I32" s="16" t="n">
        <v>1</v>
      </c>
      <c r="L32" s="86" t="s">
        <v>603</v>
      </c>
      <c r="M32" s="86" t="s">
        <v>461</v>
      </c>
      <c r="N32" s="86" t="s">
        <v>597</v>
      </c>
      <c r="O32" s="87" t="n">
        <v>0</v>
      </c>
      <c r="P32" s="88" t="n">
        <v>0.0570000000000001</v>
      </c>
      <c r="Q32" s="88" t="n">
        <v>0.0855000000000001</v>
      </c>
      <c r="R32" s="88"/>
    </row>
    <row r="33" customFormat="false" ht="14.25" hidden="false" customHeight="true" outlineLevel="0" collapsed="false">
      <c r="A33" s="39" t="n">
        <v>45625</v>
      </c>
      <c r="B33" s="16" t="s">
        <v>594</v>
      </c>
      <c r="C33" s="16" t="s">
        <v>602</v>
      </c>
      <c r="D33" s="16" t="s">
        <v>277</v>
      </c>
      <c r="E33" s="16" t="n">
        <v>1</v>
      </c>
      <c r="F33" s="16" t="n">
        <v>750</v>
      </c>
      <c r="G33" s="40" t="n">
        <v>0.033</v>
      </c>
      <c r="H33" s="16" t="n">
        <v>10</v>
      </c>
      <c r="I33" s="16" t="n">
        <v>1</v>
      </c>
      <c r="L33" s="86" t="s">
        <v>603</v>
      </c>
      <c r="M33" s="86" t="s">
        <v>461</v>
      </c>
      <c r="N33" s="86" t="s">
        <v>598</v>
      </c>
      <c r="O33" s="87" t="n">
        <v>0.114</v>
      </c>
      <c r="P33" s="88"/>
      <c r="Q33" s="88"/>
      <c r="R33" s="88"/>
    </row>
    <row r="34" customFormat="false" ht="14.25" hidden="false" customHeight="true" outlineLevel="0" collapsed="false">
      <c r="A34" s="39" t="n">
        <v>45625</v>
      </c>
      <c r="B34" s="16" t="s">
        <v>594</v>
      </c>
      <c r="C34" s="16" t="s">
        <v>602</v>
      </c>
      <c r="D34" s="16" t="s">
        <v>277</v>
      </c>
      <c r="E34" s="16" t="n">
        <v>2</v>
      </c>
      <c r="F34" s="16" t="n">
        <v>430</v>
      </c>
      <c r="G34" s="40" t="n">
        <v>0.048</v>
      </c>
      <c r="H34" s="16" t="n">
        <v>10</v>
      </c>
      <c r="I34" s="16" t="n">
        <v>1</v>
      </c>
      <c r="L34" s="86" t="s">
        <v>603</v>
      </c>
      <c r="M34" s="86" t="s">
        <v>461</v>
      </c>
      <c r="N34" s="86" t="s">
        <v>599</v>
      </c>
      <c r="O34" s="87" t="n">
        <v>0.114</v>
      </c>
      <c r="P34" s="88"/>
      <c r="Q34" s="88"/>
      <c r="R34" s="88"/>
    </row>
    <row r="35" customFormat="false" ht="14.25" hidden="false" customHeight="true" outlineLevel="0" collapsed="false">
      <c r="A35" s="39" t="n">
        <v>45625</v>
      </c>
      <c r="B35" s="16" t="s">
        <v>594</v>
      </c>
      <c r="C35" s="16" t="s">
        <v>602</v>
      </c>
      <c r="D35" s="16" t="s">
        <v>277</v>
      </c>
      <c r="E35" s="16" t="n">
        <v>2</v>
      </c>
      <c r="F35" s="16" t="n">
        <v>665</v>
      </c>
      <c r="G35" s="40" t="n">
        <v>0.038</v>
      </c>
      <c r="H35" s="16" t="n">
        <v>10</v>
      </c>
      <c r="I35" s="16" t="n">
        <v>1</v>
      </c>
      <c r="L35" s="86" t="s">
        <v>603</v>
      </c>
      <c r="M35" s="86" t="s">
        <v>461</v>
      </c>
      <c r="N35" s="86" t="s">
        <v>600</v>
      </c>
      <c r="O35" s="87" t="n">
        <v>0.114</v>
      </c>
      <c r="P35" s="88"/>
      <c r="Q35" s="88"/>
      <c r="R35" s="88"/>
    </row>
    <row r="36" customFormat="false" ht="14.25" hidden="false" customHeight="true" outlineLevel="0" collapsed="false">
      <c r="A36" s="39" t="n">
        <v>45625</v>
      </c>
      <c r="B36" s="16" t="s">
        <v>594</v>
      </c>
      <c r="C36" s="16" t="s">
        <v>602</v>
      </c>
      <c r="D36" s="16" t="s">
        <v>277</v>
      </c>
      <c r="E36" s="16" t="n">
        <v>2</v>
      </c>
      <c r="F36" s="16" t="n">
        <v>750</v>
      </c>
      <c r="G36" s="40" t="n">
        <v>0.033</v>
      </c>
      <c r="H36" s="16" t="n">
        <v>10</v>
      </c>
      <c r="I36" s="16" t="n">
        <v>1</v>
      </c>
      <c r="L36" s="86" t="s">
        <v>603</v>
      </c>
      <c r="M36" s="86" t="s">
        <v>277</v>
      </c>
      <c r="N36" s="86" t="s">
        <v>597</v>
      </c>
      <c r="O36" s="87" t="n">
        <v>0.342</v>
      </c>
      <c r="P36" s="88" t="n">
        <v>0.0930806102257608</v>
      </c>
      <c r="Q36" s="88" t="n">
        <v>0.228</v>
      </c>
      <c r="R36" s="88"/>
    </row>
    <row r="37" customFormat="false" ht="14.25" hidden="false" customHeight="true" outlineLevel="0" collapsed="false">
      <c r="A37" s="39" t="n">
        <v>45625</v>
      </c>
      <c r="B37" s="16" t="s">
        <v>594</v>
      </c>
      <c r="C37" s="16" t="s">
        <v>602</v>
      </c>
      <c r="D37" s="16" t="s">
        <v>277</v>
      </c>
      <c r="E37" s="16" t="n">
        <v>3</v>
      </c>
      <c r="F37" s="16" t="n">
        <v>430</v>
      </c>
      <c r="G37" s="40" t="n">
        <v>0.037</v>
      </c>
      <c r="H37" s="16" t="n">
        <v>10</v>
      </c>
      <c r="I37" s="16" t="n">
        <v>1</v>
      </c>
      <c r="L37" s="86" t="s">
        <v>603</v>
      </c>
      <c r="M37" s="86" t="s">
        <v>277</v>
      </c>
      <c r="N37" s="86" t="s">
        <v>598</v>
      </c>
      <c r="O37" s="87" t="n">
        <v>0.228</v>
      </c>
      <c r="P37" s="88"/>
      <c r="Q37" s="88"/>
      <c r="R37" s="88"/>
    </row>
    <row r="38" customFormat="false" ht="14.25" hidden="false" customHeight="true" outlineLevel="0" collapsed="false">
      <c r="A38" s="39" t="n">
        <v>45625</v>
      </c>
      <c r="B38" s="16" t="s">
        <v>594</v>
      </c>
      <c r="C38" s="16" t="s">
        <v>602</v>
      </c>
      <c r="D38" s="16" t="s">
        <v>277</v>
      </c>
      <c r="E38" s="16" t="n">
        <v>3</v>
      </c>
      <c r="F38" s="16" t="n">
        <v>665</v>
      </c>
      <c r="G38" s="40" t="n">
        <v>0.033</v>
      </c>
      <c r="H38" s="16" t="n">
        <v>10</v>
      </c>
      <c r="I38" s="16" t="n">
        <v>1</v>
      </c>
      <c r="L38" s="86" t="s">
        <v>603</v>
      </c>
      <c r="M38" s="86" t="s">
        <v>277</v>
      </c>
      <c r="N38" s="86" t="s">
        <v>599</v>
      </c>
      <c r="O38" s="87" t="n">
        <v>0.114</v>
      </c>
      <c r="P38" s="88"/>
      <c r="Q38" s="88"/>
      <c r="R38" s="88"/>
    </row>
    <row r="39" customFormat="false" ht="14.25" hidden="false" customHeight="true" outlineLevel="0" collapsed="false">
      <c r="A39" s="39" t="n">
        <v>45625</v>
      </c>
      <c r="B39" s="16" t="s">
        <v>594</v>
      </c>
      <c r="C39" s="16" t="s">
        <v>602</v>
      </c>
      <c r="D39" s="16" t="s">
        <v>277</v>
      </c>
      <c r="E39" s="16" t="n">
        <v>3</v>
      </c>
      <c r="F39" s="16" t="n">
        <v>750</v>
      </c>
      <c r="G39" s="40" t="n">
        <v>0.032</v>
      </c>
      <c r="H39" s="16" t="n">
        <v>10</v>
      </c>
      <c r="I39" s="16" t="n">
        <v>1</v>
      </c>
      <c r="L39" s="86" t="s">
        <v>603</v>
      </c>
      <c r="M39" s="86" t="s">
        <v>277</v>
      </c>
      <c r="N39" s="86" t="s">
        <v>600</v>
      </c>
      <c r="O39" s="87" t="n">
        <v>0.228</v>
      </c>
      <c r="P39" s="88"/>
      <c r="Q39" s="88"/>
      <c r="R39" s="88"/>
    </row>
    <row r="40" customFormat="false" ht="14.25" hidden="false" customHeight="true" outlineLevel="0" collapsed="false">
      <c r="A40" s="39" t="n">
        <v>45625</v>
      </c>
      <c r="B40" s="16" t="s">
        <v>594</v>
      </c>
      <c r="C40" s="16" t="s">
        <v>602</v>
      </c>
      <c r="D40" s="16" t="s">
        <v>193</v>
      </c>
      <c r="E40" s="16" t="n">
        <v>1</v>
      </c>
      <c r="F40" s="16" t="n">
        <v>430</v>
      </c>
      <c r="G40" s="40" t="n">
        <v>0.196</v>
      </c>
      <c r="H40" s="16" t="n">
        <v>10</v>
      </c>
      <c r="I40" s="16" t="n">
        <v>1</v>
      </c>
      <c r="L40" s="16" t="s">
        <v>596</v>
      </c>
      <c r="M40" s="16" t="s">
        <v>461</v>
      </c>
      <c r="N40" s="16" t="s">
        <v>597</v>
      </c>
      <c r="O40" s="16" t="n">
        <v>0.57</v>
      </c>
      <c r="P40" s="88" t="n">
        <v>0.562348646304052</v>
      </c>
      <c r="Q40" s="88" t="n">
        <v>0.836</v>
      </c>
      <c r="R40" s="88" t="n">
        <f aca="false">+AVERAGE(O40:O45)</f>
        <v>1.425</v>
      </c>
    </row>
    <row r="41" customFormat="false" ht="14.25" hidden="false" customHeight="true" outlineLevel="0" collapsed="false">
      <c r="A41" s="39" t="n">
        <v>45625</v>
      </c>
      <c r="B41" s="16" t="s">
        <v>594</v>
      </c>
      <c r="C41" s="16" t="s">
        <v>602</v>
      </c>
      <c r="D41" s="16" t="s">
        <v>193</v>
      </c>
      <c r="E41" s="16" t="n">
        <v>1</v>
      </c>
      <c r="F41" s="16" t="n">
        <v>665</v>
      </c>
      <c r="G41" s="40" t="n">
        <v>0.1</v>
      </c>
      <c r="H41" s="16" t="n">
        <v>10</v>
      </c>
      <c r="I41" s="16" t="n">
        <v>1</v>
      </c>
      <c r="L41" s="16" t="s">
        <v>596</v>
      </c>
      <c r="M41" s="16" t="s">
        <v>461</v>
      </c>
      <c r="N41" s="16" t="s">
        <v>598</v>
      </c>
      <c r="O41" s="16" t="n">
        <v>0.456</v>
      </c>
      <c r="P41" s="88"/>
      <c r="Q41" s="88"/>
      <c r="R41" s="88"/>
    </row>
    <row r="42" customFormat="false" ht="14.25" hidden="false" customHeight="true" outlineLevel="0" collapsed="false">
      <c r="A42" s="39" t="n">
        <v>45625</v>
      </c>
      <c r="B42" s="16" t="s">
        <v>594</v>
      </c>
      <c r="C42" s="16" t="s">
        <v>602</v>
      </c>
      <c r="D42" s="16" t="s">
        <v>193</v>
      </c>
      <c r="E42" s="16" t="n">
        <v>1</v>
      </c>
      <c r="F42" s="16" t="n">
        <v>750</v>
      </c>
      <c r="G42" s="40" t="n">
        <v>0.034</v>
      </c>
      <c r="H42" s="16" t="n">
        <v>10</v>
      </c>
      <c r="I42" s="16" t="n">
        <v>1</v>
      </c>
      <c r="L42" s="16" t="s">
        <v>596</v>
      </c>
      <c r="M42" s="16" t="s">
        <v>461</v>
      </c>
      <c r="N42" s="16" t="s">
        <v>599</v>
      </c>
      <c r="O42" s="16" t="n">
        <v>1.482</v>
      </c>
      <c r="P42" s="88"/>
      <c r="Q42" s="88"/>
      <c r="R42" s="88"/>
    </row>
    <row r="43" customFormat="false" ht="14.25" hidden="false" customHeight="true" outlineLevel="0" collapsed="false">
      <c r="A43" s="39" t="n">
        <v>45625</v>
      </c>
      <c r="B43" s="16" t="s">
        <v>594</v>
      </c>
      <c r="C43" s="16" t="s">
        <v>602</v>
      </c>
      <c r="D43" s="16" t="s">
        <v>193</v>
      </c>
      <c r="E43" s="16" t="n">
        <v>2</v>
      </c>
      <c r="F43" s="16" t="n">
        <v>430</v>
      </c>
      <c r="G43" s="40" t="n">
        <v>0.36</v>
      </c>
      <c r="H43" s="16" t="n">
        <v>10</v>
      </c>
      <c r="I43" s="16" t="n">
        <v>1</v>
      </c>
      <c r="L43" s="16" t="s">
        <v>596</v>
      </c>
      <c r="M43" s="16" t="s">
        <v>193</v>
      </c>
      <c r="N43" s="16" t="s">
        <v>597</v>
      </c>
      <c r="O43" s="16" t="n">
        <v>3.078</v>
      </c>
      <c r="P43" s="88" t="n">
        <v>0.928476170938166</v>
      </c>
      <c r="Q43" s="88" t="n">
        <v>2.014</v>
      </c>
      <c r="R43" s="88"/>
    </row>
    <row r="44" customFormat="false" ht="14.25" hidden="false" customHeight="true" outlineLevel="0" collapsed="false">
      <c r="A44" s="39" t="n">
        <v>45625</v>
      </c>
      <c r="B44" s="16" t="s">
        <v>594</v>
      </c>
      <c r="C44" s="16" t="s">
        <v>602</v>
      </c>
      <c r="D44" s="16" t="s">
        <v>193</v>
      </c>
      <c r="E44" s="16" t="n">
        <v>2</v>
      </c>
      <c r="F44" s="16" t="n">
        <v>665</v>
      </c>
      <c r="G44" s="40" t="n">
        <v>0.177</v>
      </c>
      <c r="H44" s="16" t="n">
        <v>10</v>
      </c>
      <c r="I44" s="16" t="n">
        <v>1</v>
      </c>
      <c r="L44" s="16" t="s">
        <v>596</v>
      </c>
      <c r="M44" s="16" t="s">
        <v>193</v>
      </c>
      <c r="N44" s="16" t="s">
        <v>598</v>
      </c>
      <c r="O44" s="16" t="n">
        <v>1.368</v>
      </c>
      <c r="P44" s="88"/>
      <c r="Q44" s="88"/>
      <c r="R44" s="88"/>
    </row>
    <row r="45" customFormat="false" ht="14.25" hidden="false" customHeight="true" outlineLevel="0" collapsed="false">
      <c r="A45" s="39" t="n">
        <v>45625</v>
      </c>
      <c r="B45" s="16" t="s">
        <v>594</v>
      </c>
      <c r="C45" s="16" t="s">
        <v>602</v>
      </c>
      <c r="D45" s="16" t="s">
        <v>193</v>
      </c>
      <c r="E45" s="16" t="n">
        <v>2</v>
      </c>
      <c r="F45" s="16" t="n">
        <v>750</v>
      </c>
      <c r="G45" s="40" t="n">
        <v>0.036</v>
      </c>
      <c r="H45" s="16" t="n">
        <v>10</v>
      </c>
      <c r="I45" s="16" t="n">
        <v>1</v>
      </c>
      <c r="L45" s="16" t="s">
        <v>596</v>
      </c>
      <c r="M45" s="16" t="s">
        <v>193</v>
      </c>
      <c r="N45" s="16" t="s">
        <v>599</v>
      </c>
      <c r="O45" s="16" t="n">
        <v>1.596</v>
      </c>
      <c r="P45" s="88"/>
      <c r="Q45" s="88"/>
      <c r="R45" s="88"/>
    </row>
    <row r="46" customFormat="false" ht="14.25" hidden="false" customHeight="true" outlineLevel="0" collapsed="false">
      <c r="A46" s="39" t="n">
        <v>45625</v>
      </c>
      <c r="B46" s="16" t="s">
        <v>594</v>
      </c>
      <c r="C46" s="16" t="s">
        <v>602</v>
      </c>
      <c r="D46" s="16" t="s">
        <v>193</v>
      </c>
      <c r="E46" s="16" t="n">
        <v>3</v>
      </c>
      <c r="F46" s="16" t="n">
        <v>430</v>
      </c>
      <c r="G46" s="40" t="n">
        <v>0.477</v>
      </c>
      <c r="H46" s="16" t="n">
        <v>10</v>
      </c>
      <c r="I46" s="16" t="n">
        <v>1</v>
      </c>
      <c r="L46" s="16" t="s">
        <v>596</v>
      </c>
      <c r="M46" s="16" t="s">
        <v>277</v>
      </c>
      <c r="N46" s="16" t="s">
        <v>597</v>
      </c>
      <c r="O46" s="89" t="s">
        <v>604</v>
      </c>
      <c r="P46" s="89"/>
      <c r="Q46" s="89"/>
      <c r="R46" s="88"/>
    </row>
    <row r="47" customFormat="false" ht="14.25" hidden="false" customHeight="true" outlineLevel="0" collapsed="false">
      <c r="A47" s="39" t="n">
        <v>45625</v>
      </c>
      <c r="B47" s="16" t="s">
        <v>594</v>
      </c>
      <c r="C47" s="16" t="s">
        <v>602</v>
      </c>
      <c r="D47" s="16" t="s">
        <v>193</v>
      </c>
      <c r="E47" s="16" t="n">
        <v>3</v>
      </c>
      <c r="F47" s="16" t="n">
        <v>665</v>
      </c>
      <c r="G47" s="40" t="n">
        <v>0.226</v>
      </c>
      <c r="H47" s="16" t="n">
        <v>10</v>
      </c>
      <c r="I47" s="16" t="n">
        <v>1</v>
      </c>
      <c r="L47" s="16" t="s">
        <v>596</v>
      </c>
      <c r="M47" s="16" t="s">
        <v>277</v>
      </c>
      <c r="N47" s="16" t="s">
        <v>598</v>
      </c>
      <c r="O47" s="89"/>
      <c r="P47" s="89"/>
      <c r="Q47" s="89"/>
      <c r="R47" s="88"/>
    </row>
    <row r="48" customFormat="false" ht="14.25" hidden="false" customHeight="true" outlineLevel="0" collapsed="false">
      <c r="A48" s="39" t="n">
        <v>45625</v>
      </c>
      <c r="B48" s="16" t="s">
        <v>594</v>
      </c>
      <c r="C48" s="16" t="s">
        <v>602</v>
      </c>
      <c r="D48" s="16" t="s">
        <v>193</v>
      </c>
      <c r="E48" s="16" t="n">
        <v>3</v>
      </c>
      <c r="F48" s="16" t="n">
        <v>750</v>
      </c>
      <c r="G48" s="40" t="n">
        <v>0.035</v>
      </c>
      <c r="H48" s="16" t="n">
        <v>10</v>
      </c>
      <c r="I48" s="16" t="n">
        <v>1</v>
      </c>
      <c r="L48" s="16" t="s">
        <v>596</v>
      </c>
      <c r="M48" s="16" t="s">
        <v>277</v>
      </c>
      <c r="N48" s="16" t="s">
        <v>599</v>
      </c>
      <c r="O48" s="89"/>
      <c r="P48" s="89"/>
      <c r="Q48" s="89"/>
      <c r="R48" s="88"/>
    </row>
    <row r="49" customFormat="false" ht="14.25" hidden="false" customHeight="true" outlineLevel="0" collapsed="false">
      <c r="A49" s="39" t="n">
        <v>45779</v>
      </c>
      <c r="B49" s="39" t="s">
        <v>519</v>
      </c>
      <c r="C49" s="16" t="s">
        <v>596</v>
      </c>
      <c r="D49" s="16" t="s">
        <v>193</v>
      </c>
      <c r="E49" s="16" t="n">
        <v>1</v>
      </c>
      <c r="F49" s="16" t="n">
        <v>430</v>
      </c>
      <c r="G49" s="16" t="n">
        <v>0.124</v>
      </c>
      <c r="H49" s="16" t="n">
        <v>10</v>
      </c>
      <c r="I49" s="16" t="n">
        <v>1</v>
      </c>
      <c r="L49" s="16" t="s">
        <v>605</v>
      </c>
      <c r="M49" s="16" t="s">
        <v>461</v>
      </c>
      <c r="N49" s="16" t="s">
        <v>597</v>
      </c>
      <c r="O49" s="16" t="n">
        <v>1.14</v>
      </c>
      <c r="P49" s="88" t="n">
        <v>1.45545456816762</v>
      </c>
      <c r="Q49" s="88" t="n">
        <v>2.394</v>
      </c>
      <c r="R49" s="88" t="n">
        <f aca="false">+AVERAGE(O49:O57)</f>
        <v>5.966</v>
      </c>
    </row>
    <row r="50" customFormat="false" ht="14.25" hidden="false" customHeight="true" outlineLevel="0" collapsed="false">
      <c r="A50" s="39" t="n">
        <v>45779</v>
      </c>
      <c r="B50" s="39" t="s">
        <v>519</v>
      </c>
      <c r="C50" s="16" t="s">
        <v>596</v>
      </c>
      <c r="D50" s="16" t="s">
        <v>193</v>
      </c>
      <c r="E50" s="16" t="n">
        <v>1</v>
      </c>
      <c r="F50" s="16" t="n">
        <v>630</v>
      </c>
      <c r="G50" s="16" t="n">
        <v>0.047</v>
      </c>
      <c r="H50" s="16" t="n">
        <v>10</v>
      </c>
      <c r="I50" s="16" t="n">
        <v>1</v>
      </c>
      <c r="L50" s="16" t="s">
        <v>605</v>
      </c>
      <c r="M50" s="16" t="s">
        <v>461</v>
      </c>
      <c r="N50" s="16" t="s">
        <v>598</v>
      </c>
      <c r="O50" s="16" t="n">
        <v>3.99</v>
      </c>
      <c r="P50" s="88"/>
      <c r="Q50" s="88"/>
      <c r="R50" s="88"/>
    </row>
    <row r="51" customFormat="false" ht="14.25" hidden="false" customHeight="true" outlineLevel="0" collapsed="false">
      <c r="A51" s="39" t="n">
        <v>45779</v>
      </c>
      <c r="B51" s="39" t="s">
        <v>519</v>
      </c>
      <c r="C51" s="16" t="s">
        <v>596</v>
      </c>
      <c r="D51" s="16" t="s">
        <v>193</v>
      </c>
      <c r="E51" s="16" t="n">
        <v>1</v>
      </c>
      <c r="F51" s="16" t="n">
        <v>645</v>
      </c>
      <c r="G51" s="16" t="n">
        <v>0.054</v>
      </c>
      <c r="H51" s="16" t="n">
        <v>10</v>
      </c>
      <c r="I51" s="16" t="n">
        <v>1</v>
      </c>
      <c r="L51" s="16" t="s">
        <v>605</v>
      </c>
      <c r="M51" s="16" t="s">
        <v>461</v>
      </c>
      <c r="N51" s="16" t="s">
        <v>599</v>
      </c>
      <c r="O51" s="16" t="n">
        <v>2.052</v>
      </c>
      <c r="P51" s="88"/>
      <c r="Q51" s="88"/>
      <c r="R51" s="88"/>
    </row>
    <row r="52" customFormat="false" ht="14.25" hidden="false" customHeight="true" outlineLevel="0" collapsed="false">
      <c r="A52" s="39" t="n">
        <v>45779</v>
      </c>
      <c r="B52" s="39" t="s">
        <v>519</v>
      </c>
      <c r="C52" s="16" t="s">
        <v>596</v>
      </c>
      <c r="D52" s="16" t="s">
        <v>193</v>
      </c>
      <c r="E52" s="16" t="n">
        <v>1</v>
      </c>
      <c r="F52" s="16" t="n">
        <v>665</v>
      </c>
      <c r="G52" s="16" t="n">
        <v>0.072</v>
      </c>
      <c r="H52" s="16" t="n">
        <v>10</v>
      </c>
      <c r="I52" s="16" t="n">
        <v>1</v>
      </c>
      <c r="L52" s="16" t="s">
        <v>605</v>
      </c>
      <c r="M52" s="16" t="s">
        <v>277</v>
      </c>
      <c r="N52" s="16" t="s">
        <v>597</v>
      </c>
      <c r="O52" s="16" t="n">
        <v>0.456</v>
      </c>
      <c r="P52" s="88" t="n">
        <v>0.237309923939139</v>
      </c>
      <c r="Q52" s="88" t="n">
        <v>0.38</v>
      </c>
      <c r="R52" s="88"/>
    </row>
    <row r="53" customFormat="false" ht="14.25" hidden="false" customHeight="true" outlineLevel="0" collapsed="false">
      <c r="A53" s="39" t="n">
        <v>45779</v>
      </c>
      <c r="B53" s="39" t="s">
        <v>519</v>
      </c>
      <c r="C53" s="16" t="s">
        <v>596</v>
      </c>
      <c r="D53" s="16" t="s">
        <v>193</v>
      </c>
      <c r="E53" s="16" t="n">
        <v>1</v>
      </c>
      <c r="F53" s="16" t="n">
        <v>750</v>
      </c>
      <c r="G53" s="16" t="n">
        <v>0.038</v>
      </c>
      <c r="H53" s="16" t="n">
        <v>10</v>
      </c>
      <c r="I53" s="16" t="n">
        <v>1</v>
      </c>
      <c r="L53" s="16" t="s">
        <v>605</v>
      </c>
      <c r="M53" s="16" t="s">
        <v>277</v>
      </c>
      <c r="N53" s="16" t="s">
        <v>598</v>
      </c>
      <c r="O53" s="16" t="n">
        <v>0.57</v>
      </c>
      <c r="P53" s="88"/>
      <c r="Q53" s="88"/>
      <c r="R53" s="88"/>
    </row>
    <row r="54" customFormat="false" ht="14.25" hidden="false" customHeight="true" outlineLevel="0" collapsed="false">
      <c r="A54" s="39" t="n">
        <v>45779</v>
      </c>
      <c r="B54" s="39" t="s">
        <v>519</v>
      </c>
      <c r="C54" s="16" t="s">
        <v>596</v>
      </c>
      <c r="D54" s="16" t="s">
        <v>193</v>
      </c>
      <c r="E54" s="16" t="n">
        <v>2</v>
      </c>
      <c r="F54" s="16" t="n">
        <v>430</v>
      </c>
      <c r="G54" s="16" t="n">
        <v>0.064</v>
      </c>
      <c r="H54" s="16" t="n">
        <v>10</v>
      </c>
      <c r="I54" s="16" t="n">
        <v>1</v>
      </c>
      <c r="L54" s="16" t="s">
        <v>605</v>
      </c>
      <c r="M54" s="16" t="s">
        <v>277</v>
      </c>
      <c r="N54" s="16" t="s">
        <v>599</v>
      </c>
      <c r="O54" s="16" t="n">
        <v>0.114</v>
      </c>
      <c r="P54" s="88"/>
      <c r="Q54" s="88"/>
      <c r="R54" s="88"/>
    </row>
    <row r="55" customFormat="false" ht="14.25" hidden="false" customHeight="true" outlineLevel="0" collapsed="false">
      <c r="A55" s="39" t="n">
        <v>45779</v>
      </c>
      <c r="B55" s="39" t="s">
        <v>519</v>
      </c>
      <c r="C55" s="16" t="s">
        <v>596</v>
      </c>
      <c r="D55" s="16" t="s">
        <v>193</v>
      </c>
      <c r="E55" s="16" t="n">
        <v>2</v>
      </c>
      <c r="F55" s="16" t="n">
        <v>630</v>
      </c>
      <c r="G55" s="16" t="n">
        <v>0.037</v>
      </c>
      <c r="H55" s="16" t="n">
        <v>10</v>
      </c>
      <c r="I55" s="16" t="n">
        <v>1</v>
      </c>
      <c r="L55" s="16" t="s">
        <v>605</v>
      </c>
      <c r="M55" s="16" t="s">
        <v>193</v>
      </c>
      <c r="N55" s="16" t="s">
        <v>597</v>
      </c>
      <c r="O55" s="16" t="n">
        <v>7.524</v>
      </c>
      <c r="P55" s="88" t="n">
        <v>7.17234271350722</v>
      </c>
      <c r="Q55" s="88" t="n">
        <v>15.124</v>
      </c>
      <c r="R55" s="88"/>
    </row>
    <row r="56" customFormat="false" ht="14.25" hidden="false" customHeight="true" outlineLevel="0" collapsed="false">
      <c r="A56" s="39" t="n">
        <v>45779</v>
      </c>
      <c r="B56" s="39" t="s">
        <v>519</v>
      </c>
      <c r="C56" s="16" t="s">
        <v>596</v>
      </c>
      <c r="D56" s="16" t="s">
        <v>193</v>
      </c>
      <c r="E56" s="16" t="n">
        <v>2</v>
      </c>
      <c r="F56" s="16" t="n">
        <v>645</v>
      </c>
      <c r="G56" s="16" t="n">
        <v>0.037</v>
      </c>
      <c r="H56" s="16" t="n">
        <v>10</v>
      </c>
      <c r="I56" s="16" t="n">
        <v>1</v>
      </c>
      <c r="L56" s="16" t="s">
        <v>605</v>
      </c>
      <c r="M56" s="16" t="s">
        <v>193</v>
      </c>
      <c r="N56" s="16" t="s">
        <v>598</v>
      </c>
      <c r="O56" s="16" t="n">
        <v>16.074</v>
      </c>
      <c r="P56" s="88"/>
      <c r="Q56" s="88"/>
      <c r="R56" s="88"/>
    </row>
    <row r="57" customFormat="false" ht="14.25" hidden="false" customHeight="true" outlineLevel="0" collapsed="false">
      <c r="A57" s="39" t="n">
        <v>45779</v>
      </c>
      <c r="B57" s="39" t="s">
        <v>519</v>
      </c>
      <c r="C57" s="16" t="s">
        <v>596</v>
      </c>
      <c r="D57" s="16" t="s">
        <v>193</v>
      </c>
      <c r="E57" s="16" t="n">
        <v>2</v>
      </c>
      <c r="F57" s="16" t="n">
        <v>665</v>
      </c>
      <c r="G57" s="16" t="n">
        <v>0.041</v>
      </c>
      <c r="H57" s="16" t="n">
        <v>10</v>
      </c>
      <c r="I57" s="16" t="n">
        <v>1</v>
      </c>
      <c r="L57" s="16" t="s">
        <v>605</v>
      </c>
      <c r="M57" s="16" t="s">
        <v>193</v>
      </c>
      <c r="N57" s="16" t="s">
        <v>599</v>
      </c>
      <c r="O57" s="16" t="n">
        <v>21.774</v>
      </c>
      <c r="P57" s="88"/>
      <c r="Q57" s="88"/>
      <c r="R57" s="88"/>
    </row>
    <row r="58" customFormat="false" ht="14.25" hidden="false" customHeight="true" outlineLevel="0" collapsed="false">
      <c r="A58" s="39" t="n">
        <v>45779</v>
      </c>
      <c r="B58" s="39" t="s">
        <v>519</v>
      </c>
      <c r="C58" s="16" t="s">
        <v>596</v>
      </c>
      <c r="D58" s="16" t="s">
        <v>193</v>
      </c>
      <c r="E58" s="16" t="n">
        <v>2</v>
      </c>
      <c r="F58" s="16" t="n">
        <v>750</v>
      </c>
      <c r="G58" s="16" t="n">
        <v>0.037</v>
      </c>
      <c r="H58" s="16" t="n">
        <v>10</v>
      </c>
      <c r="I58" s="16" t="n">
        <v>1</v>
      </c>
    </row>
    <row r="59" customFormat="false" ht="14.25" hidden="false" customHeight="true" outlineLevel="0" collapsed="false">
      <c r="A59" s="39" t="n">
        <v>45779</v>
      </c>
      <c r="B59" s="39" t="s">
        <v>519</v>
      </c>
      <c r="C59" s="16" t="s">
        <v>596</v>
      </c>
      <c r="D59" s="16" t="s">
        <v>193</v>
      </c>
      <c r="E59" s="16" t="n">
        <v>3</v>
      </c>
      <c r="F59" s="16" t="n">
        <v>430</v>
      </c>
      <c r="G59" s="16" t="n">
        <v>0.041</v>
      </c>
      <c r="H59" s="16" t="n">
        <v>10</v>
      </c>
      <c r="I59" s="16" t="n">
        <v>1</v>
      </c>
    </row>
    <row r="60" customFormat="false" ht="14.25" hidden="false" customHeight="true" outlineLevel="0" collapsed="false">
      <c r="A60" s="39" t="n">
        <v>45779</v>
      </c>
      <c r="B60" s="39" t="s">
        <v>519</v>
      </c>
      <c r="C60" s="16" t="s">
        <v>596</v>
      </c>
      <c r="D60" s="16" t="s">
        <v>193</v>
      </c>
      <c r="E60" s="16" t="n">
        <v>3</v>
      </c>
      <c r="F60" s="16" t="n">
        <v>630</v>
      </c>
      <c r="G60" s="16" t="n">
        <v>0.034</v>
      </c>
      <c r="H60" s="16" t="n">
        <v>10</v>
      </c>
      <c r="I60" s="16" t="n">
        <v>1</v>
      </c>
    </row>
    <row r="61" customFormat="false" ht="14.25" hidden="false" customHeight="true" outlineLevel="0" collapsed="false">
      <c r="A61" s="39" t="n">
        <v>45779</v>
      </c>
      <c r="B61" s="39" t="s">
        <v>519</v>
      </c>
      <c r="C61" s="16" t="s">
        <v>596</v>
      </c>
      <c r="D61" s="16" t="s">
        <v>193</v>
      </c>
      <c r="E61" s="16" t="n">
        <v>3</v>
      </c>
      <c r="F61" s="16" t="n">
        <v>645</v>
      </c>
      <c r="G61" s="16" t="n">
        <v>0.033</v>
      </c>
      <c r="H61" s="16" t="n">
        <v>10</v>
      </c>
      <c r="I61" s="16" t="n">
        <v>1</v>
      </c>
    </row>
    <row r="62" customFormat="false" ht="14.25" hidden="false" customHeight="true" outlineLevel="0" collapsed="false">
      <c r="A62" s="39" t="n">
        <v>45779</v>
      </c>
      <c r="B62" s="39" t="s">
        <v>519</v>
      </c>
      <c r="C62" s="16" t="s">
        <v>596</v>
      </c>
      <c r="D62" s="16" t="s">
        <v>193</v>
      </c>
      <c r="E62" s="16" t="n">
        <v>3</v>
      </c>
      <c r="F62" s="16" t="n">
        <v>665</v>
      </c>
      <c r="G62" s="16" t="n">
        <v>0.035</v>
      </c>
      <c r="H62" s="16" t="n">
        <v>10</v>
      </c>
      <c r="I62" s="16" t="n">
        <v>1</v>
      </c>
    </row>
    <row r="63" customFormat="false" ht="14.25" hidden="false" customHeight="true" outlineLevel="0" collapsed="false">
      <c r="A63" s="39" t="n">
        <v>45779</v>
      </c>
      <c r="B63" s="39" t="s">
        <v>519</v>
      </c>
      <c r="C63" s="16" t="s">
        <v>596</v>
      </c>
      <c r="D63" s="16" t="s">
        <v>193</v>
      </c>
      <c r="E63" s="16" t="n">
        <v>3</v>
      </c>
      <c r="F63" s="16" t="n">
        <v>750</v>
      </c>
      <c r="G63" s="16" t="n">
        <v>0.034</v>
      </c>
      <c r="H63" s="16" t="n">
        <v>10</v>
      </c>
      <c r="I63" s="16" t="n">
        <v>1</v>
      </c>
    </row>
    <row r="64" customFormat="false" ht="14.25" hidden="false" customHeight="true" outlineLevel="0" collapsed="false">
      <c r="A64" s="39" t="n">
        <v>45779</v>
      </c>
      <c r="B64" s="39" t="s">
        <v>519</v>
      </c>
      <c r="C64" s="16" t="s">
        <v>596</v>
      </c>
      <c r="D64" s="16" t="s">
        <v>193</v>
      </c>
      <c r="E64" s="16" t="n">
        <v>4</v>
      </c>
      <c r="F64" s="16" t="n">
        <v>430</v>
      </c>
      <c r="G64" s="16" t="n">
        <v>0.058</v>
      </c>
      <c r="H64" s="16" t="n">
        <v>10</v>
      </c>
      <c r="I64" s="16" t="n">
        <v>1</v>
      </c>
    </row>
    <row r="65" customFormat="false" ht="14.25" hidden="false" customHeight="true" outlineLevel="0" collapsed="false">
      <c r="A65" s="39" t="n">
        <v>45779</v>
      </c>
      <c r="B65" s="39" t="s">
        <v>519</v>
      </c>
      <c r="C65" s="16" t="s">
        <v>596</v>
      </c>
      <c r="D65" s="16" t="s">
        <v>193</v>
      </c>
      <c r="E65" s="16" t="n">
        <v>4</v>
      </c>
      <c r="F65" s="16" t="n">
        <v>630</v>
      </c>
      <c r="G65" s="16" t="n">
        <v>0.041</v>
      </c>
      <c r="H65" s="16" t="n">
        <v>10</v>
      </c>
      <c r="I65" s="16" t="n">
        <v>1</v>
      </c>
    </row>
    <row r="66" customFormat="false" ht="14.25" hidden="false" customHeight="true" outlineLevel="0" collapsed="false">
      <c r="A66" s="39" t="n">
        <v>45779</v>
      </c>
      <c r="B66" s="39" t="s">
        <v>519</v>
      </c>
      <c r="C66" s="16" t="s">
        <v>596</v>
      </c>
      <c r="D66" s="16" t="s">
        <v>193</v>
      </c>
      <c r="E66" s="16" t="n">
        <v>4</v>
      </c>
      <c r="F66" s="16" t="n">
        <v>645</v>
      </c>
      <c r="G66" s="16" t="n">
        <v>0.04</v>
      </c>
      <c r="H66" s="16" t="n">
        <v>10</v>
      </c>
      <c r="I66" s="16" t="n">
        <v>1</v>
      </c>
    </row>
    <row r="67" customFormat="false" ht="14.25" hidden="false" customHeight="true" outlineLevel="0" collapsed="false">
      <c r="A67" s="39" t="n">
        <v>45779</v>
      </c>
      <c r="B67" s="39" t="s">
        <v>519</v>
      </c>
      <c r="C67" s="16" t="s">
        <v>596</v>
      </c>
      <c r="D67" s="16" t="s">
        <v>193</v>
      </c>
      <c r="E67" s="16" t="n">
        <v>4</v>
      </c>
      <c r="F67" s="16" t="n">
        <v>665</v>
      </c>
      <c r="G67" s="16" t="n">
        <v>0.042</v>
      </c>
      <c r="H67" s="16" t="n">
        <v>10</v>
      </c>
      <c r="I67" s="16" t="n">
        <v>1</v>
      </c>
    </row>
    <row r="68" customFormat="false" ht="14.25" hidden="false" customHeight="true" outlineLevel="0" collapsed="false">
      <c r="A68" s="39" t="n">
        <v>45779</v>
      </c>
      <c r="B68" s="39" t="s">
        <v>519</v>
      </c>
      <c r="C68" s="16" t="s">
        <v>596</v>
      </c>
      <c r="D68" s="16" t="s">
        <v>193</v>
      </c>
      <c r="E68" s="16" t="n">
        <v>4</v>
      </c>
      <c r="F68" s="16" t="n">
        <v>750</v>
      </c>
      <c r="G68" s="16" t="n">
        <v>0.042</v>
      </c>
      <c r="H68" s="16" t="n">
        <v>10</v>
      </c>
      <c r="I68" s="16" t="n">
        <v>1</v>
      </c>
    </row>
    <row r="69" customFormat="false" ht="14.25" hidden="false" customHeight="true" outlineLevel="0" collapsed="false">
      <c r="A69" s="39" t="n">
        <v>45779</v>
      </c>
      <c r="B69" s="39" t="s">
        <v>519</v>
      </c>
      <c r="C69" s="16" t="s">
        <v>596</v>
      </c>
      <c r="D69" s="16" t="s">
        <v>277</v>
      </c>
      <c r="E69" s="16" t="n">
        <v>1</v>
      </c>
      <c r="F69" s="16" t="n">
        <v>430</v>
      </c>
      <c r="G69" s="16" t="n">
        <v>0.04</v>
      </c>
      <c r="H69" s="16" t="n">
        <v>10</v>
      </c>
      <c r="I69" s="16" t="n">
        <v>1</v>
      </c>
    </row>
    <row r="70" customFormat="false" ht="14.25" hidden="false" customHeight="true" outlineLevel="0" collapsed="false">
      <c r="A70" s="39" t="n">
        <v>45779</v>
      </c>
      <c r="B70" s="39" t="s">
        <v>519</v>
      </c>
      <c r="C70" s="16" t="s">
        <v>596</v>
      </c>
      <c r="D70" s="16" t="s">
        <v>277</v>
      </c>
      <c r="E70" s="16" t="n">
        <v>1</v>
      </c>
      <c r="F70" s="16" t="n">
        <v>630</v>
      </c>
      <c r="G70" s="16" t="n">
        <v>0.033</v>
      </c>
      <c r="H70" s="16" t="n">
        <v>10</v>
      </c>
      <c r="I70" s="16" t="n">
        <v>1</v>
      </c>
    </row>
    <row r="71" customFormat="false" ht="14.25" hidden="false" customHeight="true" outlineLevel="0" collapsed="false">
      <c r="A71" s="39" t="n">
        <v>45779</v>
      </c>
      <c r="B71" s="39" t="s">
        <v>519</v>
      </c>
      <c r="C71" s="16" t="s">
        <v>596</v>
      </c>
      <c r="D71" s="16" t="s">
        <v>277</v>
      </c>
      <c r="E71" s="16" t="n">
        <v>1</v>
      </c>
      <c r="F71" s="16" t="n">
        <v>645</v>
      </c>
      <c r="G71" s="16" t="n">
        <v>0.033</v>
      </c>
      <c r="H71" s="16" t="n">
        <v>10</v>
      </c>
      <c r="I71" s="16" t="n">
        <v>1</v>
      </c>
    </row>
    <row r="72" customFormat="false" ht="14.25" hidden="false" customHeight="true" outlineLevel="0" collapsed="false">
      <c r="A72" s="39" t="n">
        <v>45779</v>
      </c>
      <c r="B72" s="39" t="s">
        <v>519</v>
      </c>
      <c r="C72" s="16" t="s">
        <v>596</v>
      </c>
      <c r="D72" s="16" t="s">
        <v>277</v>
      </c>
      <c r="E72" s="16" t="n">
        <v>1</v>
      </c>
      <c r="F72" s="16" t="n">
        <v>665</v>
      </c>
      <c r="G72" s="16" t="n">
        <v>0.034</v>
      </c>
      <c r="H72" s="16" t="n">
        <v>10</v>
      </c>
      <c r="I72" s="16" t="n">
        <v>1</v>
      </c>
    </row>
    <row r="73" customFormat="false" ht="14.25" hidden="false" customHeight="true" outlineLevel="0" collapsed="false">
      <c r="A73" s="39" t="n">
        <v>45779</v>
      </c>
      <c r="B73" s="39" t="s">
        <v>519</v>
      </c>
      <c r="C73" s="16" t="s">
        <v>596</v>
      </c>
      <c r="D73" s="16" t="s">
        <v>277</v>
      </c>
      <c r="E73" s="16" t="n">
        <v>1</v>
      </c>
      <c r="F73" s="16" t="n">
        <v>750</v>
      </c>
      <c r="G73" s="16" t="n">
        <v>0.035</v>
      </c>
      <c r="H73" s="16" t="n">
        <v>10</v>
      </c>
      <c r="I73" s="16" t="n">
        <v>1</v>
      </c>
    </row>
    <row r="74" customFormat="false" ht="14.25" hidden="false" customHeight="true" outlineLevel="0" collapsed="false">
      <c r="A74" s="39" t="n">
        <v>45779</v>
      </c>
      <c r="B74" s="39" t="s">
        <v>519</v>
      </c>
      <c r="C74" s="16" t="s">
        <v>596</v>
      </c>
      <c r="D74" s="16" t="s">
        <v>277</v>
      </c>
      <c r="E74" s="16" t="n">
        <v>2</v>
      </c>
      <c r="F74" s="16" t="n">
        <v>430</v>
      </c>
      <c r="G74" s="16" t="n">
        <v>0.063</v>
      </c>
      <c r="H74" s="16" t="n">
        <v>10</v>
      </c>
      <c r="I74" s="16" t="n">
        <v>1</v>
      </c>
    </row>
    <row r="75" customFormat="false" ht="14.25" hidden="false" customHeight="true" outlineLevel="0" collapsed="false">
      <c r="A75" s="39" t="n">
        <v>45779</v>
      </c>
      <c r="B75" s="39" t="s">
        <v>519</v>
      </c>
      <c r="C75" s="16" t="s">
        <v>596</v>
      </c>
      <c r="D75" s="16" t="s">
        <v>277</v>
      </c>
      <c r="E75" s="16" t="n">
        <v>2</v>
      </c>
      <c r="F75" s="16" t="n">
        <v>630</v>
      </c>
      <c r="G75" s="16" t="n">
        <v>0.038</v>
      </c>
      <c r="H75" s="16" t="n">
        <v>10</v>
      </c>
      <c r="I75" s="16" t="n">
        <v>1</v>
      </c>
    </row>
    <row r="76" customFormat="false" ht="14.25" hidden="false" customHeight="true" outlineLevel="0" collapsed="false">
      <c r="A76" s="39" t="n">
        <v>45779</v>
      </c>
      <c r="B76" s="39" t="s">
        <v>519</v>
      </c>
      <c r="C76" s="16" t="s">
        <v>596</v>
      </c>
      <c r="D76" s="16" t="s">
        <v>277</v>
      </c>
      <c r="E76" s="16" t="n">
        <v>2</v>
      </c>
      <c r="F76" s="16" t="n">
        <v>645</v>
      </c>
      <c r="G76" s="16" t="n">
        <v>0.039</v>
      </c>
      <c r="H76" s="16" t="n">
        <v>10</v>
      </c>
      <c r="I76" s="16" t="n">
        <v>1</v>
      </c>
    </row>
    <row r="77" customFormat="false" ht="14.25" hidden="false" customHeight="true" outlineLevel="0" collapsed="false">
      <c r="A77" s="39" t="n">
        <v>45779</v>
      </c>
      <c r="B77" s="39" t="s">
        <v>519</v>
      </c>
      <c r="C77" s="16" t="s">
        <v>596</v>
      </c>
      <c r="D77" s="16" t="s">
        <v>277</v>
      </c>
      <c r="E77" s="16" t="n">
        <v>2</v>
      </c>
      <c r="F77" s="16" t="n">
        <v>665</v>
      </c>
      <c r="G77" s="16" t="n">
        <v>0.046</v>
      </c>
      <c r="H77" s="16" t="n">
        <v>10</v>
      </c>
      <c r="I77" s="16" t="n">
        <v>1</v>
      </c>
    </row>
    <row r="78" customFormat="false" ht="14.25" hidden="false" customHeight="true" outlineLevel="0" collapsed="false">
      <c r="A78" s="39" t="n">
        <v>45779</v>
      </c>
      <c r="B78" s="39" t="s">
        <v>519</v>
      </c>
      <c r="C78" s="16" t="s">
        <v>596</v>
      </c>
      <c r="D78" s="16" t="s">
        <v>277</v>
      </c>
      <c r="E78" s="16" t="n">
        <v>2</v>
      </c>
      <c r="F78" s="16" t="n">
        <v>750</v>
      </c>
      <c r="G78" s="16" t="n">
        <v>0.037</v>
      </c>
      <c r="H78" s="16" t="n">
        <v>10</v>
      </c>
      <c r="I78" s="16" t="n">
        <v>1</v>
      </c>
    </row>
    <row r="79" customFormat="false" ht="14.25" hidden="false" customHeight="true" outlineLevel="0" collapsed="false">
      <c r="A79" s="39" t="n">
        <v>45779</v>
      </c>
      <c r="B79" s="39" t="s">
        <v>519</v>
      </c>
      <c r="C79" s="16" t="s">
        <v>596</v>
      </c>
      <c r="D79" s="16" t="s">
        <v>277</v>
      </c>
      <c r="E79" s="16" t="n">
        <v>3</v>
      </c>
      <c r="F79" s="16" t="n">
        <v>430</v>
      </c>
      <c r="G79" s="16" t="n">
        <v>0.075</v>
      </c>
      <c r="H79" s="16" t="n">
        <v>10</v>
      </c>
      <c r="I79" s="16" t="n">
        <v>1</v>
      </c>
    </row>
    <row r="80" customFormat="false" ht="14.25" hidden="false" customHeight="true" outlineLevel="0" collapsed="false">
      <c r="A80" s="39" t="n">
        <v>45779</v>
      </c>
      <c r="B80" s="39" t="s">
        <v>519</v>
      </c>
      <c r="C80" s="16" t="s">
        <v>596</v>
      </c>
      <c r="D80" s="16" t="s">
        <v>277</v>
      </c>
      <c r="E80" s="16" t="n">
        <v>3</v>
      </c>
      <c r="F80" s="16" t="n">
        <v>630</v>
      </c>
      <c r="G80" s="16" t="n">
        <v>0.043</v>
      </c>
      <c r="H80" s="16" t="n">
        <v>10</v>
      </c>
      <c r="I80" s="16" t="n">
        <v>1</v>
      </c>
    </row>
    <row r="81" customFormat="false" ht="14.25" hidden="false" customHeight="true" outlineLevel="0" collapsed="false">
      <c r="A81" s="39" t="n">
        <v>45779</v>
      </c>
      <c r="B81" s="39" t="s">
        <v>519</v>
      </c>
      <c r="C81" s="16" t="s">
        <v>596</v>
      </c>
      <c r="D81" s="16" t="s">
        <v>277</v>
      </c>
      <c r="E81" s="16" t="n">
        <v>3</v>
      </c>
      <c r="F81" s="16" t="n">
        <v>645</v>
      </c>
      <c r="G81" s="16" t="n">
        <v>0.043</v>
      </c>
      <c r="H81" s="16" t="n">
        <v>10</v>
      </c>
      <c r="I81" s="16" t="n">
        <v>1</v>
      </c>
    </row>
    <row r="82" customFormat="false" ht="14.25" hidden="false" customHeight="true" outlineLevel="0" collapsed="false">
      <c r="A82" s="39" t="n">
        <v>45779</v>
      </c>
      <c r="B82" s="39" t="s">
        <v>519</v>
      </c>
      <c r="C82" s="16" t="s">
        <v>596</v>
      </c>
      <c r="D82" s="16" t="s">
        <v>277</v>
      </c>
      <c r="E82" s="16" t="n">
        <v>3</v>
      </c>
      <c r="F82" s="16" t="n">
        <v>665</v>
      </c>
      <c r="G82" s="16" t="n">
        <v>0.047</v>
      </c>
      <c r="H82" s="16" t="n">
        <v>10</v>
      </c>
      <c r="I82" s="16" t="n">
        <v>1</v>
      </c>
    </row>
    <row r="83" customFormat="false" ht="14.25" hidden="false" customHeight="true" outlineLevel="0" collapsed="false">
      <c r="A83" s="39" t="n">
        <v>45779</v>
      </c>
      <c r="B83" s="39" t="s">
        <v>519</v>
      </c>
      <c r="C83" s="16" t="s">
        <v>596</v>
      </c>
      <c r="D83" s="16" t="s">
        <v>277</v>
      </c>
      <c r="E83" s="16" t="n">
        <v>3</v>
      </c>
      <c r="F83" s="16" t="n">
        <v>750</v>
      </c>
      <c r="G83" s="16" t="n">
        <v>0.042</v>
      </c>
      <c r="H83" s="16" t="n">
        <v>10</v>
      </c>
      <c r="I83" s="16" t="n">
        <v>1</v>
      </c>
    </row>
    <row r="84" customFormat="false" ht="14.25" hidden="false" customHeight="true" outlineLevel="0" collapsed="false">
      <c r="A84" s="39" t="n">
        <v>45779</v>
      </c>
      <c r="B84" s="39" t="s">
        <v>519</v>
      </c>
      <c r="C84" s="16" t="s">
        <v>596</v>
      </c>
      <c r="D84" s="16" t="s">
        <v>277</v>
      </c>
      <c r="E84" s="16" t="n">
        <v>4</v>
      </c>
      <c r="F84" s="16" t="n">
        <v>430</v>
      </c>
      <c r="G84" s="16" t="n">
        <v>0.058</v>
      </c>
      <c r="H84" s="16" t="n">
        <v>10</v>
      </c>
      <c r="I84" s="16" t="n">
        <v>1</v>
      </c>
    </row>
    <row r="85" customFormat="false" ht="14.25" hidden="false" customHeight="true" outlineLevel="0" collapsed="false">
      <c r="A85" s="39" t="n">
        <v>45779</v>
      </c>
      <c r="B85" s="39" t="s">
        <v>519</v>
      </c>
      <c r="C85" s="16" t="s">
        <v>596</v>
      </c>
      <c r="D85" s="16" t="s">
        <v>277</v>
      </c>
      <c r="E85" s="16" t="n">
        <v>4</v>
      </c>
      <c r="F85" s="16" t="n">
        <v>630</v>
      </c>
      <c r="G85" s="16" t="n">
        <v>0.038</v>
      </c>
      <c r="H85" s="16" t="n">
        <v>10</v>
      </c>
      <c r="I85" s="16" t="n">
        <v>1</v>
      </c>
    </row>
    <row r="86" customFormat="false" ht="14.25" hidden="false" customHeight="true" outlineLevel="0" collapsed="false">
      <c r="A86" s="39" t="n">
        <v>45779</v>
      </c>
      <c r="B86" s="39" t="s">
        <v>519</v>
      </c>
      <c r="C86" s="16" t="s">
        <v>596</v>
      </c>
      <c r="D86" s="16" t="s">
        <v>277</v>
      </c>
      <c r="E86" s="16" t="n">
        <v>4</v>
      </c>
      <c r="F86" s="16" t="n">
        <v>645</v>
      </c>
      <c r="G86" s="16" t="n">
        <v>0.038</v>
      </c>
      <c r="H86" s="16" t="n">
        <v>10</v>
      </c>
      <c r="I86" s="16" t="n">
        <v>1</v>
      </c>
    </row>
    <row r="87" customFormat="false" ht="14.25" hidden="false" customHeight="true" outlineLevel="0" collapsed="false">
      <c r="A87" s="39" t="n">
        <v>45779</v>
      </c>
      <c r="B87" s="39" t="s">
        <v>519</v>
      </c>
      <c r="C87" s="16" t="s">
        <v>596</v>
      </c>
      <c r="D87" s="16" t="s">
        <v>277</v>
      </c>
      <c r="E87" s="16" t="n">
        <v>4</v>
      </c>
      <c r="F87" s="16" t="n">
        <v>665</v>
      </c>
      <c r="G87" s="16" t="n">
        <v>0.041</v>
      </c>
      <c r="H87" s="16" t="n">
        <v>10</v>
      </c>
      <c r="I87" s="16" t="n">
        <v>1</v>
      </c>
    </row>
    <row r="88" customFormat="false" ht="14.25" hidden="false" customHeight="true" outlineLevel="0" collapsed="false">
      <c r="A88" s="39" t="n">
        <v>45779</v>
      </c>
      <c r="B88" s="39" t="s">
        <v>519</v>
      </c>
      <c r="C88" s="16" t="s">
        <v>596</v>
      </c>
      <c r="D88" s="16" t="s">
        <v>277</v>
      </c>
      <c r="E88" s="16" t="n">
        <v>4</v>
      </c>
      <c r="F88" s="16" t="n">
        <v>750</v>
      </c>
      <c r="G88" s="16" t="n">
        <v>0.039</v>
      </c>
      <c r="H88" s="16" t="n">
        <v>10</v>
      </c>
      <c r="I88" s="16" t="n">
        <v>1</v>
      </c>
    </row>
    <row r="89" customFormat="false" ht="14.25" hidden="false" customHeight="true" outlineLevel="0" collapsed="false">
      <c r="A89" s="39" t="n">
        <v>45779</v>
      </c>
      <c r="B89" s="39" t="s">
        <v>519</v>
      </c>
      <c r="C89" s="16" t="s">
        <v>596</v>
      </c>
      <c r="D89" s="16" t="s">
        <v>461</v>
      </c>
      <c r="E89" s="16" t="n">
        <v>1</v>
      </c>
      <c r="F89" s="16" t="n">
        <v>430</v>
      </c>
      <c r="G89" s="16" t="n">
        <v>0.086</v>
      </c>
      <c r="H89" s="16" t="n">
        <v>10</v>
      </c>
      <c r="I89" s="16" t="n">
        <v>1</v>
      </c>
    </row>
    <row r="90" customFormat="false" ht="14.25" hidden="false" customHeight="true" outlineLevel="0" collapsed="false">
      <c r="A90" s="39" t="n">
        <v>45779</v>
      </c>
      <c r="B90" s="39" t="s">
        <v>519</v>
      </c>
      <c r="C90" s="16" t="s">
        <v>596</v>
      </c>
      <c r="D90" s="16" t="s">
        <v>461</v>
      </c>
      <c r="E90" s="16" t="n">
        <v>1</v>
      </c>
      <c r="F90" s="16" t="n">
        <v>630</v>
      </c>
      <c r="G90" s="16" t="n">
        <v>0.04</v>
      </c>
      <c r="H90" s="16" t="n">
        <v>10</v>
      </c>
      <c r="I90" s="16" t="n">
        <v>1</v>
      </c>
    </row>
    <row r="91" customFormat="false" ht="14.25" hidden="false" customHeight="true" outlineLevel="0" collapsed="false">
      <c r="A91" s="39" t="n">
        <v>45779</v>
      </c>
      <c r="B91" s="39" t="s">
        <v>519</v>
      </c>
      <c r="C91" s="16" t="s">
        <v>596</v>
      </c>
      <c r="D91" s="16" t="s">
        <v>461</v>
      </c>
      <c r="E91" s="16" t="n">
        <v>1</v>
      </c>
      <c r="F91" s="16" t="n">
        <v>645</v>
      </c>
      <c r="G91" s="16" t="n">
        <v>0.041</v>
      </c>
      <c r="H91" s="16" t="n">
        <v>10</v>
      </c>
      <c r="I91" s="16" t="n">
        <v>1</v>
      </c>
    </row>
    <row r="92" customFormat="false" ht="14.25" hidden="false" customHeight="true" outlineLevel="0" collapsed="false">
      <c r="A92" s="39" t="n">
        <v>45779</v>
      </c>
      <c r="B92" s="39" t="s">
        <v>519</v>
      </c>
      <c r="C92" s="16" t="s">
        <v>596</v>
      </c>
      <c r="D92" s="16" t="s">
        <v>461</v>
      </c>
      <c r="E92" s="16" t="n">
        <v>1</v>
      </c>
      <c r="F92" s="16" t="n">
        <v>665</v>
      </c>
      <c r="G92" s="16" t="n">
        <v>0.056</v>
      </c>
      <c r="H92" s="16" t="n">
        <v>10</v>
      </c>
      <c r="I92" s="16" t="n">
        <v>1</v>
      </c>
    </row>
    <row r="93" customFormat="false" ht="14.25" hidden="false" customHeight="true" outlineLevel="0" collapsed="false">
      <c r="A93" s="39" t="n">
        <v>45779</v>
      </c>
      <c r="B93" s="39" t="s">
        <v>519</v>
      </c>
      <c r="C93" s="16" t="s">
        <v>596</v>
      </c>
      <c r="D93" s="16" t="s">
        <v>461</v>
      </c>
      <c r="E93" s="16" t="n">
        <v>1</v>
      </c>
      <c r="F93" s="16" t="n">
        <v>750</v>
      </c>
      <c r="G93" s="16" t="n">
        <v>0.035</v>
      </c>
      <c r="H93" s="16" t="n">
        <v>10</v>
      </c>
      <c r="I93" s="16" t="n">
        <v>1</v>
      </c>
    </row>
    <row r="94" customFormat="false" ht="14.25" hidden="false" customHeight="true" outlineLevel="0" collapsed="false">
      <c r="A94" s="39" t="n">
        <v>45779</v>
      </c>
      <c r="B94" s="39" t="s">
        <v>519</v>
      </c>
      <c r="C94" s="16" t="s">
        <v>596</v>
      </c>
      <c r="D94" s="16" t="s">
        <v>461</v>
      </c>
      <c r="E94" s="16" t="n">
        <v>2</v>
      </c>
      <c r="F94" s="16" t="n">
        <v>430</v>
      </c>
      <c r="G94" s="16" t="n">
        <v>0.102</v>
      </c>
      <c r="H94" s="16" t="n">
        <v>10</v>
      </c>
      <c r="I94" s="16" t="n">
        <v>1</v>
      </c>
    </row>
    <row r="95" customFormat="false" ht="14.25" hidden="false" customHeight="true" outlineLevel="0" collapsed="false">
      <c r="A95" s="39" t="n">
        <v>45779</v>
      </c>
      <c r="B95" s="39" t="s">
        <v>519</v>
      </c>
      <c r="C95" s="16" t="s">
        <v>596</v>
      </c>
      <c r="D95" s="16" t="s">
        <v>461</v>
      </c>
      <c r="E95" s="16" t="n">
        <v>2</v>
      </c>
      <c r="F95" s="16" t="n">
        <v>630</v>
      </c>
      <c r="G95" s="16" t="n">
        <v>0.041</v>
      </c>
      <c r="H95" s="16" t="n">
        <v>10</v>
      </c>
      <c r="I95" s="16" t="n">
        <v>1</v>
      </c>
    </row>
    <row r="96" customFormat="false" ht="14.25" hidden="false" customHeight="true" outlineLevel="0" collapsed="false">
      <c r="A96" s="39" t="n">
        <v>45779</v>
      </c>
      <c r="B96" s="39" t="s">
        <v>519</v>
      </c>
      <c r="C96" s="16" t="s">
        <v>596</v>
      </c>
      <c r="D96" s="16" t="s">
        <v>461</v>
      </c>
      <c r="E96" s="16" t="n">
        <v>2</v>
      </c>
      <c r="F96" s="16" t="n">
        <v>645</v>
      </c>
      <c r="G96" s="16" t="n">
        <v>0.044</v>
      </c>
      <c r="H96" s="16" t="n">
        <v>10</v>
      </c>
      <c r="I96" s="16" t="n">
        <v>1</v>
      </c>
    </row>
    <row r="97" customFormat="false" ht="14.25" hidden="false" customHeight="true" outlineLevel="0" collapsed="false">
      <c r="A97" s="39" t="n">
        <v>45779</v>
      </c>
      <c r="B97" s="39" t="s">
        <v>519</v>
      </c>
      <c r="C97" s="16" t="s">
        <v>596</v>
      </c>
      <c r="D97" s="16" t="s">
        <v>461</v>
      </c>
      <c r="E97" s="16" t="n">
        <v>2</v>
      </c>
      <c r="F97" s="16" t="n">
        <v>665</v>
      </c>
      <c r="G97" s="16" t="n">
        <v>0.065</v>
      </c>
      <c r="H97" s="16" t="n">
        <v>10</v>
      </c>
      <c r="I97" s="16" t="n">
        <v>1</v>
      </c>
    </row>
    <row r="98" customFormat="false" ht="14.25" hidden="false" customHeight="true" outlineLevel="0" collapsed="false">
      <c r="A98" s="39" t="n">
        <v>45779</v>
      </c>
      <c r="B98" s="39" t="s">
        <v>519</v>
      </c>
      <c r="C98" s="16" t="s">
        <v>596</v>
      </c>
      <c r="D98" s="16" t="s">
        <v>461</v>
      </c>
      <c r="E98" s="16" t="n">
        <v>2</v>
      </c>
      <c r="F98" s="16" t="n">
        <v>750</v>
      </c>
      <c r="G98" s="16" t="n">
        <v>0.035</v>
      </c>
      <c r="H98" s="16" t="n">
        <v>10</v>
      </c>
      <c r="I98" s="16" t="n">
        <v>1</v>
      </c>
    </row>
    <row r="99" customFormat="false" ht="14.25" hidden="false" customHeight="true" outlineLevel="0" collapsed="false">
      <c r="A99" s="39" t="n">
        <v>45779</v>
      </c>
      <c r="B99" s="39" t="s">
        <v>519</v>
      </c>
      <c r="C99" s="16" t="s">
        <v>596</v>
      </c>
      <c r="D99" s="16" t="s">
        <v>461</v>
      </c>
      <c r="E99" s="16" t="n">
        <v>3</v>
      </c>
      <c r="F99" s="16" t="n">
        <v>430</v>
      </c>
      <c r="G99" s="16" t="n">
        <v>0.107</v>
      </c>
      <c r="H99" s="16" t="n">
        <v>10</v>
      </c>
      <c r="I99" s="16" t="n">
        <v>1</v>
      </c>
    </row>
    <row r="100" customFormat="false" ht="14.25" hidden="false" customHeight="true" outlineLevel="0" collapsed="false">
      <c r="A100" s="39" t="n">
        <v>45779</v>
      </c>
      <c r="B100" s="39" t="s">
        <v>519</v>
      </c>
      <c r="C100" s="16" t="s">
        <v>596</v>
      </c>
      <c r="D100" s="16" t="s">
        <v>461</v>
      </c>
      <c r="E100" s="16" t="n">
        <v>3</v>
      </c>
      <c r="F100" s="16" t="n">
        <v>630</v>
      </c>
      <c r="G100" s="16" t="n">
        <v>0.043</v>
      </c>
      <c r="H100" s="16" t="n">
        <v>10</v>
      </c>
      <c r="I100" s="16" t="n">
        <v>1</v>
      </c>
    </row>
    <row r="101" customFormat="false" ht="14.25" hidden="false" customHeight="true" outlineLevel="0" collapsed="false">
      <c r="A101" s="39" t="n">
        <v>45779</v>
      </c>
      <c r="B101" s="39" t="s">
        <v>519</v>
      </c>
      <c r="C101" s="16" t="s">
        <v>596</v>
      </c>
      <c r="D101" s="16" t="s">
        <v>461</v>
      </c>
      <c r="E101" s="16" t="n">
        <v>3</v>
      </c>
      <c r="F101" s="16" t="n">
        <v>645</v>
      </c>
      <c r="G101" s="16" t="n">
        <v>0.045</v>
      </c>
      <c r="H101" s="16" t="n">
        <v>10</v>
      </c>
      <c r="I101" s="16" t="n">
        <v>1</v>
      </c>
    </row>
    <row r="102" customFormat="false" ht="14.25" hidden="false" customHeight="true" outlineLevel="0" collapsed="false">
      <c r="A102" s="39" t="n">
        <v>45779</v>
      </c>
      <c r="B102" s="39" t="s">
        <v>519</v>
      </c>
      <c r="C102" s="16" t="s">
        <v>596</v>
      </c>
      <c r="D102" s="16" t="s">
        <v>461</v>
      </c>
      <c r="E102" s="16" t="n">
        <v>3</v>
      </c>
      <c r="F102" s="16" t="n">
        <v>665</v>
      </c>
      <c r="G102" s="16" t="n">
        <v>0.067</v>
      </c>
      <c r="H102" s="16" t="n">
        <v>10</v>
      </c>
      <c r="I102" s="16" t="n">
        <v>1</v>
      </c>
    </row>
    <row r="103" customFormat="false" ht="14.25" hidden="false" customHeight="true" outlineLevel="0" collapsed="false">
      <c r="A103" s="39" t="n">
        <v>45779</v>
      </c>
      <c r="B103" s="39" t="s">
        <v>519</v>
      </c>
      <c r="C103" s="16" t="s">
        <v>596</v>
      </c>
      <c r="D103" s="16" t="s">
        <v>461</v>
      </c>
      <c r="E103" s="16" t="n">
        <v>3</v>
      </c>
      <c r="F103" s="16" t="n">
        <v>750</v>
      </c>
      <c r="G103" s="16" t="n">
        <v>0.037</v>
      </c>
      <c r="H103" s="16" t="n">
        <v>10</v>
      </c>
      <c r="I103" s="16" t="n">
        <v>1</v>
      </c>
    </row>
    <row r="104" customFormat="false" ht="14.25" hidden="false" customHeight="true" outlineLevel="0" collapsed="false">
      <c r="A104" s="39" t="n">
        <v>45779</v>
      </c>
      <c r="B104" s="39" t="s">
        <v>519</v>
      </c>
      <c r="C104" s="16" t="s">
        <v>596</v>
      </c>
      <c r="D104" s="16" t="s">
        <v>461</v>
      </c>
      <c r="E104" s="16" t="n">
        <v>4</v>
      </c>
      <c r="F104" s="16" t="n">
        <v>430</v>
      </c>
      <c r="G104" s="16" t="n">
        <v>0.079</v>
      </c>
      <c r="H104" s="16" t="n">
        <v>10</v>
      </c>
      <c r="I104" s="16" t="n">
        <v>1</v>
      </c>
    </row>
    <row r="105" customFormat="false" ht="14.25" hidden="false" customHeight="true" outlineLevel="0" collapsed="false">
      <c r="A105" s="39" t="n">
        <v>45779</v>
      </c>
      <c r="B105" s="39" t="s">
        <v>519</v>
      </c>
      <c r="C105" s="16" t="s">
        <v>596</v>
      </c>
      <c r="D105" s="16" t="s">
        <v>461</v>
      </c>
      <c r="E105" s="16" t="n">
        <v>4</v>
      </c>
      <c r="F105" s="16" t="n">
        <v>630</v>
      </c>
      <c r="G105" s="16" t="n">
        <v>0.039</v>
      </c>
      <c r="H105" s="16" t="n">
        <v>10</v>
      </c>
      <c r="I105" s="16" t="n">
        <v>1</v>
      </c>
    </row>
    <row r="106" customFormat="false" ht="14.25" hidden="false" customHeight="true" outlineLevel="0" collapsed="false">
      <c r="A106" s="39" t="n">
        <v>45779</v>
      </c>
      <c r="B106" s="39" t="s">
        <v>519</v>
      </c>
      <c r="C106" s="16" t="s">
        <v>596</v>
      </c>
      <c r="D106" s="16" t="s">
        <v>461</v>
      </c>
      <c r="E106" s="16" t="n">
        <v>4</v>
      </c>
      <c r="F106" s="16" t="n">
        <v>645</v>
      </c>
      <c r="G106" s="16" t="n">
        <v>0.039</v>
      </c>
      <c r="H106" s="16" t="n">
        <v>10</v>
      </c>
      <c r="I106" s="16" t="n">
        <v>1</v>
      </c>
    </row>
    <row r="107" customFormat="false" ht="14.25" hidden="false" customHeight="true" outlineLevel="0" collapsed="false">
      <c r="A107" s="39" t="n">
        <v>45779</v>
      </c>
      <c r="B107" s="39" t="s">
        <v>519</v>
      </c>
      <c r="C107" s="16" t="s">
        <v>596</v>
      </c>
      <c r="D107" s="16" t="s">
        <v>461</v>
      </c>
      <c r="E107" s="16" t="n">
        <v>4</v>
      </c>
      <c r="F107" s="16" t="n">
        <v>665</v>
      </c>
      <c r="G107" s="16" t="n">
        <v>0.053</v>
      </c>
      <c r="H107" s="16" t="n">
        <v>10</v>
      </c>
      <c r="I107" s="16" t="n">
        <v>1</v>
      </c>
    </row>
    <row r="108" customFormat="false" ht="14.25" hidden="false" customHeight="true" outlineLevel="0" collapsed="false">
      <c r="A108" s="39" t="n">
        <v>45779</v>
      </c>
      <c r="B108" s="39" t="s">
        <v>519</v>
      </c>
      <c r="C108" s="16" t="s">
        <v>596</v>
      </c>
      <c r="D108" s="16" t="s">
        <v>461</v>
      </c>
      <c r="E108" s="16" t="n">
        <v>4</v>
      </c>
      <c r="F108" s="16" t="n">
        <v>750</v>
      </c>
      <c r="G108" s="16" t="n">
        <v>0.036</v>
      </c>
      <c r="H108" s="16" t="n">
        <v>10</v>
      </c>
      <c r="I108" s="16" t="n">
        <v>1</v>
      </c>
    </row>
    <row r="109" customFormat="false" ht="14.25" hidden="false" customHeight="true" outlineLevel="0" collapsed="false">
      <c r="A109" s="39" t="n">
        <v>45779</v>
      </c>
      <c r="B109" s="39" t="s">
        <v>519</v>
      </c>
      <c r="C109" s="16" t="s">
        <v>606</v>
      </c>
      <c r="D109" s="16" t="s">
        <v>461</v>
      </c>
      <c r="E109" s="16" t="n">
        <v>1</v>
      </c>
      <c r="F109" s="16" t="n">
        <v>430</v>
      </c>
      <c r="G109" s="16" t="n">
        <v>0.059</v>
      </c>
      <c r="H109" s="16" t="n">
        <v>10</v>
      </c>
      <c r="I109" s="16" t="n">
        <v>1</v>
      </c>
    </row>
    <row r="110" customFormat="false" ht="14.25" hidden="false" customHeight="true" outlineLevel="0" collapsed="false">
      <c r="A110" s="39" t="n">
        <v>45779</v>
      </c>
      <c r="B110" s="39" t="s">
        <v>519</v>
      </c>
      <c r="C110" s="16" t="s">
        <v>606</v>
      </c>
      <c r="D110" s="16" t="s">
        <v>461</v>
      </c>
      <c r="E110" s="16" t="n">
        <v>1</v>
      </c>
      <c r="F110" s="16" t="n">
        <v>630</v>
      </c>
      <c r="G110" s="16" t="n">
        <v>0.035</v>
      </c>
      <c r="H110" s="16" t="n">
        <v>10</v>
      </c>
      <c r="I110" s="16" t="n">
        <v>1</v>
      </c>
    </row>
    <row r="111" customFormat="false" ht="14.25" hidden="false" customHeight="true" outlineLevel="0" collapsed="false">
      <c r="A111" s="39" t="n">
        <v>45779</v>
      </c>
      <c r="B111" s="39" t="s">
        <v>519</v>
      </c>
      <c r="C111" s="16" t="s">
        <v>606</v>
      </c>
      <c r="D111" s="16" t="s">
        <v>461</v>
      </c>
      <c r="E111" s="16" t="n">
        <v>1</v>
      </c>
      <c r="F111" s="16" t="n">
        <v>645</v>
      </c>
      <c r="G111" s="16" t="n">
        <v>0.036</v>
      </c>
      <c r="H111" s="16" t="n">
        <v>10</v>
      </c>
      <c r="I111" s="16" t="n">
        <v>1</v>
      </c>
    </row>
    <row r="112" customFormat="false" ht="14.25" hidden="false" customHeight="true" outlineLevel="0" collapsed="false">
      <c r="A112" s="39" t="n">
        <v>45779</v>
      </c>
      <c r="B112" s="39" t="s">
        <v>519</v>
      </c>
      <c r="C112" s="16" t="s">
        <v>606</v>
      </c>
      <c r="D112" s="16" t="s">
        <v>461</v>
      </c>
      <c r="E112" s="16" t="n">
        <v>1</v>
      </c>
      <c r="F112" s="16" t="n">
        <v>665</v>
      </c>
      <c r="G112" s="16" t="n">
        <v>0.042</v>
      </c>
      <c r="H112" s="16" t="n">
        <v>10</v>
      </c>
      <c r="I112" s="16" t="n">
        <v>1</v>
      </c>
    </row>
    <row r="113" customFormat="false" ht="14.25" hidden="false" customHeight="true" outlineLevel="0" collapsed="false">
      <c r="A113" s="39" t="n">
        <v>45779</v>
      </c>
      <c r="B113" s="39" t="s">
        <v>519</v>
      </c>
      <c r="C113" s="16" t="s">
        <v>606</v>
      </c>
      <c r="D113" s="16" t="s">
        <v>461</v>
      </c>
      <c r="E113" s="16" t="n">
        <v>1</v>
      </c>
      <c r="F113" s="16" t="n">
        <v>750</v>
      </c>
      <c r="G113" s="16" t="n">
        <v>0.034</v>
      </c>
      <c r="H113" s="16" t="n">
        <v>10</v>
      </c>
      <c r="I113" s="16" t="n">
        <v>1</v>
      </c>
    </row>
    <row r="114" customFormat="false" ht="14.25" hidden="false" customHeight="true" outlineLevel="0" collapsed="false">
      <c r="A114" s="39" t="n">
        <v>45779</v>
      </c>
      <c r="B114" s="39" t="s">
        <v>519</v>
      </c>
      <c r="C114" s="16" t="s">
        <v>606</v>
      </c>
      <c r="D114" s="16" t="s">
        <v>461</v>
      </c>
      <c r="E114" s="16" t="n">
        <v>2</v>
      </c>
      <c r="F114" s="16" t="n">
        <v>430</v>
      </c>
      <c r="G114" s="16" t="n">
        <v>0.046</v>
      </c>
      <c r="H114" s="16" t="n">
        <v>10</v>
      </c>
      <c r="I114" s="16" t="n">
        <v>1</v>
      </c>
    </row>
    <row r="115" customFormat="false" ht="14.25" hidden="false" customHeight="true" outlineLevel="0" collapsed="false">
      <c r="A115" s="39" t="n">
        <v>45779</v>
      </c>
      <c r="B115" s="39" t="s">
        <v>519</v>
      </c>
      <c r="C115" s="16" t="s">
        <v>606</v>
      </c>
      <c r="D115" s="16" t="s">
        <v>461</v>
      </c>
      <c r="E115" s="16" t="n">
        <v>2</v>
      </c>
      <c r="F115" s="16" t="n">
        <v>630</v>
      </c>
      <c r="G115" s="16" t="n">
        <v>0.033</v>
      </c>
      <c r="H115" s="16" t="n">
        <v>10</v>
      </c>
      <c r="I115" s="16" t="n">
        <v>1</v>
      </c>
    </row>
    <row r="116" customFormat="false" ht="14.25" hidden="false" customHeight="true" outlineLevel="0" collapsed="false">
      <c r="A116" s="39" t="n">
        <v>45779</v>
      </c>
      <c r="B116" s="39" t="s">
        <v>519</v>
      </c>
      <c r="C116" s="16" t="s">
        <v>606</v>
      </c>
      <c r="D116" s="16" t="s">
        <v>461</v>
      </c>
      <c r="E116" s="16" t="n">
        <v>2</v>
      </c>
      <c r="F116" s="16" t="n">
        <v>645</v>
      </c>
      <c r="G116" s="16" t="n">
        <v>0.034</v>
      </c>
      <c r="H116" s="16" t="n">
        <v>10</v>
      </c>
      <c r="I116" s="16" t="n">
        <v>1</v>
      </c>
    </row>
    <row r="117" customFormat="false" ht="14.25" hidden="false" customHeight="true" outlineLevel="0" collapsed="false">
      <c r="A117" s="39" t="n">
        <v>45779</v>
      </c>
      <c r="B117" s="39" t="s">
        <v>519</v>
      </c>
      <c r="C117" s="16" t="s">
        <v>606</v>
      </c>
      <c r="D117" s="16" t="s">
        <v>461</v>
      </c>
      <c r="E117" s="16" t="n">
        <v>2</v>
      </c>
      <c r="F117" s="16" t="n">
        <v>665</v>
      </c>
      <c r="G117" s="16" t="n">
        <v>0.036</v>
      </c>
      <c r="H117" s="16" t="n">
        <v>10</v>
      </c>
      <c r="I117" s="16" t="n">
        <v>1</v>
      </c>
    </row>
    <row r="118" customFormat="false" ht="14.25" hidden="false" customHeight="true" outlineLevel="0" collapsed="false">
      <c r="A118" s="39" t="n">
        <v>45779</v>
      </c>
      <c r="B118" s="39" t="s">
        <v>519</v>
      </c>
      <c r="C118" s="16" t="s">
        <v>606</v>
      </c>
      <c r="D118" s="16" t="s">
        <v>461</v>
      </c>
      <c r="E118" s="16" t="n">
        <v>2</v>
      </c>
      <c r="F118" s="16" t="n">
        <v>750</v>
      </c>
      <c r="G118" s="16" t="n">
        <v>0.034</v>
      </c>
      <c r="H118" s="16" t="n">
        <v>10</v>
      </c>
      <c r="I118" s="16" t="n">
        <v>1</v>
      </c>
    </row>
    <row r="119" customFormat="false" ht="14.25" hidden="false" customHeight="true" outlineLevel="0" collapsed="false">
      <c r="A119" s="39" t="n">
        <v>45779</v>
      </c>
      <c r="B119" s="39" t="s">
        <v>519</v>
      </c>
      <c r="C119" s="16" t="s">
        <v>606</v>
      </c>
      <c r="D119" s="16" t="s">
        <v>461</v>
      </c>
      <c r="E119" s="16" t="n">
        <v>3</v>
      </c>
      <c r="F119" s="16" t="n">
        <v>430</v>
      </c>
      <c r="G119" s="16" t="n">
        <v>0.057</v>
      </c>
      <c r="H119" s="16" t="n">
        <v>10</v>
      </c>
      <c r="I119" s="16" t="n">
        <v>1</v>
      </c>
    </row>
    <row r="120" customFormat="false" ht="14.25" hidden="false" customHeight="true" outlineLevel="0" collapsed="false">
      <c r="A120" s="39" t="n">
        <v>45779</v>
      </c>
      <c r="B120" s="39" t="s">
        <v>519</v>
      </c>
      <c r="C120" s="16" t="s">
        <v>606</v>
      </c>
      <c r="D120" s="16" t="s">
        <v>461</v>
      </c>
      <c r="E120" s="16" t="n">
        <v>3</v>
      </c>
      <c r="F120" s="16" t="n">
        <v>630</v>
      </c>
      <c r="G120" s="16" t="n">
        <v>0.037</v>
      </c>
      <c r="H120" s="16" t="n">
        <v>10</v>
      </c>
      <c r="I120" s="16" t="n">
        <v>1</v>
      </c>
    </row>
    <row r="121" customFormat="false" ht="14.25" hidden="false" customHeight="true" outlineLevel="0" collapsed="false">
      <c r="A121" s="39" t="n">
        <v>45779</v>
      </c>
      <c r="B121" s="39" t="s">
        <v>519</v>
      </c>
      <c r="C121" s="16" t="s">
        <v>606</v>
      </c>
      <c r="D121" s="16" t="s">
        <v>461</v>
      </c>
      <c r="E121" s="16" t="n">
        <v>3</v>
      </c>
      <c r="F121" s="16" t="n">
        <v>645</v>
      </c>
      <c r="G121" s="16" t="n">
        <v>0.038</v>
      </c>
      <c r="H121" s="16" t="n">
        <v>10</v>
      </c>
      <c r="I121" s="16" t="n">
        <v>1</v>
      </c>
    </row>
    <row r="122" customFormat="false" ht="14.25" hidden="false" customHeight="true" outlineLevel="0" collapsed="false">
      <c r="A122" s="39" t="n">
        <v>45779</v>
      </c>
      <c r="B122" s="39" t="s">
        <v>519</v>
      </c>
      <c r="C122" s="16" t="s">
        <v>606</v>
      </c>
      <c r="D122" s="16" t="s">
        <v>461</v>
      </c>
      <c r="E122" s="16" t="n">
        <v>3</v>
      </c>
      <c r="F122" s="16" t="n">
        <v>665</v>
      </c>
      <c r="G122" s="16" t="n">
        <v>0.042</v>
      </c>
      <c r="H122" s="16" t="n">
        <v>10</v>
      </c>
      <c r="I122" s="16" t="n">
        <v>1</v>
      </c>
    </row>
    <row r="123" customFormat="false" ht="14.25" hidden="false" customHeight="true" outlineLevel="0" collapsed="false">
      <c r="A123" s="39" t="n">
        <v>45779</v>
      </c>
      <c r="B123" s="39" t="s">
        <v>519</v>
      </c>
      <c r="C123" s="16" t="s">
        <v>606</v>
      </c>
      <c r="D123" s="16" t="s">
        <v>461</v>
      </c>
      <c r="E123" s="16" t="n">
        <v>3</v>
      </c>
      <c r="F123" s="16" t="n">
        <v>750</v>
      </c>
      <c r="G123" s="16" t="n">
        <v>0.037</v>
      </c>
      <c r="H123" s="16" t="n">
        <v>10</v>
      </c>
      <c r="I123" s="16" t="n">
        <v>1</v>
      </c>
    </row>
    <row r="124" customFormat="false" ht="14.25" hidden="false" customHeight="true" outlineLevel="0" collapsed="false">
      <c r="A124" s="39" t="n">
        <v>45779</v>
      </c>
      <c r="B124" s="39" t="s">
        <v>519</v>
      </c>
      <c r="C124" s="16" t="s">
        <v>606</v>
      </c>
      <c r="D124" s="16" t="s">
        <v>461</v>
      </c>
      <c r="E124" s="16" t="n">
        <v>4</v>
      </c>
      <c r="F124" s="16" t="n">
        <v>430</v>
      </c>
      <c r="G124" s="16" t="n">
        <v>0.049</v>
      </c>
      <c r="H124" s="16" t="n">
        <v>10</v>
      </c>
      <c r="I124" s="16" t="n">
        <v>1</v>
      </c>
    </row>
    <row r="125" customFormat="false" ht="14.25" hidden="false" customHeight="true" outlineLevel="0" collapsed="false">
      <c r="A125" s="39" t="n">
        <v>45779</v>
      </c>
      <c r="B125" s="39" t="s">
        <v>519</v>
      </c>
      <c r="C125" s="16" t="s">
        <v>606</v>
      </c>
      <c r="D125" s="16" t="s">
        <v>461</v>
      </c>
      <c r="E125" s="16" t="n">
        <v>4</v>
      </c>
      <c r="F125" s="16" t="n">
        <v>630</v>
      </c>
      <c r="G125" s="16" t="n">
        <v>0.035</v>
      </c>
      <c r="H125" s="16" t="n">
        <v>10</v>
      </c>
      <c r="I125" s="16" t="n">
        <v>1</v>
      </c>
    </row>
    <row r="126" customFormat="false" ht="14.25" hidden="false" customHeight="true" outlineLevel="0" collapsed="false">
      <c r="A126" s="39" t="n">
        <v>45779</v>
      </c>
      <c r="B126" s="39" t="s">
        <v>519</v>
      </c>
      <c r="C126" s="16" t="s">
        <v>606</v>
      </c>
      <c r="D126" s="16" t="s">
        <v>461</v>
      </c>
      <c r="E126" s="16" t="n">
        <v>4</v>
      </c>
      <c r="F126" s="16" t="n">
        <v>645</v>
      </c>
      <c r="G126" s="16" t="n">
        <v>0.036</v>
      </c>
      <c r="H126" s="16" t="n">
        <v>10</v>
      </c>
      <c r="I126" s="16" t="n">
        <v>1</v>
      </c>
    </row>
    <row r="127" customFormat="false" ht="14.25" hidden="false" customHeight="true" outlineLevel="0" collapsed="false">
      <c r="A127" s="39" t="n">
        <v>45779</v>
      </c>
      <c r="B127" s="39" t="s">
        <v>519</v>
      </c>
      <c r="C127" s="16" t="s">
        <v>606</v>
      </c>
      <c r="D127" s="16" t="s">
        <v>461</v>
      </c>
      <c r="E127" s="16" t="n">
        <v>4</v>
      </c>
      <c r="F127" s="16" t="n">
        <v>665</v>
      </c>
      <c r="G127" s="16" t="n">
        <v>0.038</v>
      </c>
      <c r="H127" s="16" t="n">
        <v>10</v>
      </c>
      <c r="I127" s="16" t="n">
        <v>1</v>
      </c>
    </row>
    <row r="128" customFormat="false" ht="14.25" hidden="false" customHeight="true" outlineLevel="0" collapsed="false">
      <c r="A128" s="39" t="n">
        <v>45779</v>
      </c>
      <c r="B128" s="39" t="s">
        <v>519</v>
      </c>
      <c r="C128" s="16" t="s">
        <v>606</v>
      </c>
      <c r="D128" s="16" t="s">
        <v>461</v>
      </c>
      <c r="E128" s="16" t="n">
        <v>4</v>
      </c>
      <c r="F128" s="16" t="n">
        <v>750</v>
      </c>
      <c r="G128" s="16" t="n">
        <v>0.035</v>
      </c>
      <c r="H128" s="16" t="n">
        <v>10</v>
      </c>
      <c r="I128" s="16" t="n">
        <v>1</v>
      </c>
    </row>
    <row r="129" customFormat="false" ht="14.25" hidden="false" customHeight="true" outlineLevel="0" collapsed="false">
      <c r="A129" s="39" t="n">
        <v>45779</v>
      </c>
      <c r="B129" s="39" t="s">
        <v>519</v>
      </c>
      <c r="C129" s="16" t="s">
        <v>606</v>
      </c>
      <c r="D129" s="16" t="s">
        <v>277</v>
      </c>
      <c r="E129" s="16" t="n">
        <v>1</v>
      </c>
      <c r="F129" s="16" t="n">
        <v>430</v>
      </c>
      <c r="G129" s="16" t="n">
        <v>0.051</v>
      </c>
      <c r="H129" s="16" t="n">
        <v>10</v>
      </c>
      <c r="I129" s="16" t="n">
        <v>1</v>
      </c>
    </row>
    <row r="130" customFormat="false" ht="14.25" hidden="false" customHeight="true" outlineLevel="0" collapsed="false">
      <c r="A130" s="39" t="n">
        <v>45779</v>
      </c>
      <c r="B130" s="39" t="s">
        <v>519</v>
      </c>
      <c r="C130" s="16" t="s">
        <v>606</v>
      </c>
      <c r="D130" s="16" t="s">
        <v>277</v>
      </c>
      <c r="E130" s="16" t="n">
        <v>1</v>
      </c>
      <c r="F130" s="16" t="n">
        <v>630</v>
      </c>
      <c r="G130" s="16" t="n">
        <v>0.037</v>
      </c>
      <c r="H130" s="16" t="n">
        <v>10</v>
      </c>
      <c r="I130" s="16" t="n">
        <v>1</v>
      </c>
    </row>
    <row r="131" customFormat="false" ht="14.25" hidden="false" customHeight="true" outlineLevel="0" collapsed="false">
      <c r="A131" s="39" t="n">
        <v>45779</v>
      </c>
      <c r="B131" s="39" t="s">
        <v>519</v>
      </c>
      <c r="C131" s="16" t="s">
        <v>606</v>
      </c>
      <c r="D131" s="16" t="s">
        <v>277</v>
      </c>
      <c r="E131" s="16" t="n">
        <v>1</v>
      </c>
      <c r="F131" s="16" t="n">
        <v>645</v>
      </c>
      <c r="G131" s="16" t="n">
        <v>0.037</v>
      </c>
      <c r="H131" s="16" t="n">
        <v>10</v>
      </c>
      <c r="I131" s="16" t="n">
        <v>1</v>
      </c>
    </row>
    <row r="132" customFormat="false" ht="14.25" hidden="false" customHeight="true" outlineLevel="0" collapsed="false">
      <c r="A132" s="39" t="n">
        <v>45779</v>
      </c>
      <c r="B132" s="39" t="s">
        <v>519</v>
      </c>
      <c r="C132" s="16" t="s">
        <v>606</v>
      </c>
      <c r="D132" s="16" t="s">
        <v>277</v>
      </c>
      <c r="E132" s="16" t="n">
        <v>1</v>
      </c>
      <c r="F132" s="16" t="n">
        <v>665</v>
      </c>
      <c r="G132" s="16" t="n">
        <v>0.038</v>
      </c>
      <c r="H132" s="16" t="n">
        <v>10</v>
      </c>
      <c r="I132" s="16" t="n">
        <v>1</v>
      </c>
    </row>
    <row r="133" customFormat="false" ht="14.25" hidden="false" customHeight="true" outlineLevel="0" collapsed="false">
      <c r="A133" s="39" t="n">
        <v>45779</v>
      </c>
      <c r="B133" s="39" t="s">
        <v>519</v>
      </c>
      <c r="C133" s="16" t="s">
        <v>606</v>
      </c>
      <c r="D133" s="16" t="s">
        <v>277</v>
      </c>
      <c r="E133" s="16" t="n">
        <v>1</v>
      </c>
      <c r="F133" s="16" t="n">
        <v>750</v>
      </c>
      <c r="G133" s="16" t="n">
        <v>0.037</v>
      </c>
      <c r="H133" s="16" t="n">
        <v>10</v>
      </c>
      <c r="I133" s="16" t="n">
        <v>1</v>
      </c>
    </row>
    <row r="134" customFormat="false" ht="14.25" hidden="false" customHeight="true" outlineLevel="0" collapsed="false">
      <c r="A134" s="39" t="n">
        <v>45779</v>
      </c>
      <c r="B134" s="39" t="s">
        <v>519</v>
      </c>
      <c r="C134" s="16" t="s">
        <v>606</v>
      </c>
      <c r="D134" s="16" t="s">
        <v>277</v>
      </c>
      <c r="E134" s="16" t="n">
        <v>2</v>
      </c>
      <c r="F134" s="16" t="n">
        <v>430</v>
      </c>
      <c r="G134" s="16" t="n">
        <v>0.073</v>
      </c>
      <c r="H134" s="16" t="n">
        <v>10</v>
      </c>
      <c r="I134" s="16" t="n">
        <v>1</v>
      </c>
    </row>
    <row r="135" customFormat="false" ht="14.25" hidden="false" customHeight="true" outlineLevel="0" collapsed="false">
      <c r="A135" s="39" t="n">
        <v>45779</v>
      </c>
      <c r="B135" s="39" t="s">
        <v>519</v>
      </c>
      <c r="C135" s="16" t="s">
        <v>606</v>
      </c>
      <c r="D135" s="16" t="s">
        <v>277</v>
      </c>
      <c r="E135" s="16" t="n">
        <v>2</v>
      </c>
      <c r="F135" s="16" t="n">
        <v>630</v>
      </c>
      <c r="G135" s="16" t="n">
        <v>0.038</v>
      </c>
      <c r="H135" s="16" t="n">
        <v>10</v>
      </c>
      <c r="I135" s="16" t="n">
        <v>1</v>
      </c>
    </row>
    <row r="136" customFormat="false" ht="14.25" hidden="false" customHeight="true" outlineLevel="0" collapsed="false">
      <c r="A136" s="39" t="n">
        <v>45779</v>
      </c>
      <c r="B136" s="39" t="s">
        <v>519</v>
      </c>
      <c r="C136" s="16" t="s">
        <v>606</v>
      </c>
      <c r="D136" s="16" t="s">
        <v>277</v>
      </c>
      <c r="E136" s="16" t="n">
        <v>2</v>
      </c>
      <c r="F136" s="16" t="n">
        <v>645</v>
      </c>
      <c r="G136" s="16" t="n">
        <v>0.04</v>
      </c>
      <c r="H136" s="16" t="n">
        <v>10</v>
      </c>
      <c r="I136" s="16" t="n">
        <v>1</v>
      </c>
    </row>
    <row r="137" customFormat="false" ht="14.25" hidden="false" customHeight="true" outlineLevel="0" collapsed="false">
      <c r="A137" s="39" t="n">
        <v>45779</v>
      </c>
      <c r="B137" s="39" t="s">
        <v>519</v>
      </c>
      <c r="C137" s="16" t="s">
        <v>606</v>
      </c>
      <c r="D137" s="16" t="s">
        <v>277</v>
      </c>
      <c r="E137" s="16" t="n">
        <v>2</v>
      </c>
      <c r="F137" s="16" t="n">
        <v>665</v>
      </c>
      <c r="G137" s="16" t="n">
        <v>0.049</v>
      </c>
      <c r="H137" s="16" t="n">
        <v>10</v>
      </c>
      <c r="I137" s="16" t="n">
        <v>1</v>
      </c>
    </row>
    <row r="138" customFormat="false" ht="14.25" hidden="false" customHeight="true" outlineLevel="0" collapsed="false">
      <c r="A138" s="39" t="n">
        <v>45779</v>
      </c>
      <c r="B138" s="39" t="s">
        <v>519</v>
      </c>
      <c r="C138" s="16" t="s">
        <v>606</v>
      </c>
      <c r="D138" s="16" t="s">
        <v>277</v>
      </c>
      <c r="E138" s="16" t="n">
        <v>2</v>
      </c>
      <c r="F138" s="16" t="n">
        <v>750</v>
      </c>
      <c r="G138" s="16" t="n">
        <v>0.035</v>
      </c>
      <c r="H138" s="16" t="n">
        <v>10</v>
      </c>
      <c r="I138" s="16" t="n">
        <v>1</v>
      </c>
    </row>
    <row r="139" customFormat="false" ht="14.25" hidden="false" customHeight="true" outlineLevel="0" collapsed="false">
      <c r="A139" s="39" t="n">
        <v>45779</v>
      </c>
      <c r="B139" s="39" t="s">
        <v>519</v>
      </c>
      <c r="C139" s="16" t="s">
        <v>606</v>
      </c>
      <c r="D139" s="16" t="s">
        <v>277</v>
      </c>
      <c r="E139" s="16" t="n">
        <v>3</v>
      </c>
      <c r="F139" s="16" t="n">
        <v>430</v>
      </c>
      <c r="G139" s="16" t="n">
        <v>0.05</v>
      </c>
      <c r="H139" s="16" t="n">
        <v>10</v>
      </c>
      <c r="I139" s="16" t="n">
        <v>1</v>
      </c>
    </row>
    <row r="140" customFormat="false" ht="14.25" hidden="false" customHeight="true" outlineLevel="0" collapsed="false">
      <c r="A140" s="39" t="n">
        <v>45779</v>
      </c>
      <c r="B140" s="39" t="s">
        <v>519</v>
      </c>
      <c r="C140" s="16" t="s">
        <v>606</v>
      </c>
      <c r="D140" s="16" t="s">
        <v>277</v>
      </c>
      <c r="E140" s="16" t="n">
        <v>3</v>
      </c>
      <c r="F140" s="16" t="n">
        <v>630</v>
      </c>
      <c r="G140" s="16" t="n">
        <v>0.036</v>
      </c>
      <c r="H140" s="16" t="n">
        <v>10</v>
      </c>
      <c r="I140" s="16" t="n">
        <v>1</v>
      </c>
    </row>
    <row r="141" customFormat="false" ht="14.25" hidden="false" customHeight="true" outlineLevel="0" collapsed="false">
      <c r="A141" s="39" t="n">
        <v>45779</v>
      </c>
      <c r="B141" s="39" t="s">
        <v>519</v>
      </c>
      <c r="C141" s="16" t="s">
        <v>606</v>
      </c>
      <c r="D141" s="16" t="s">
        <v>277</v>
      </c>
      <c r="E141" s="16" t="n">
        <v>3</v>
      </c>
      <c r="F141" s="16" t="n">
        <v>645</v>
      </c>
      <c r="G141" s="16" t="n">
        <v>0.036</v>
      </c>
      <c r="H141" s="16" t="n">
        <v>10</v>
      </c>
      <c r="I141" s="16" t="n">
        <v>1</v>
      </c>
    </row>
    <row r="142" customFormat="false" ht="14.25" hidden="false" customHeight="true" outlineLevel="0" collapsed="false">
      <c r="A142" s="39" t="n">
        <v>45779</v>
      </c>
      <c r="B142" s="39" t="s">
        <v>519</v>
      </c>
      <c r="C142" s="16" t="s">
        <v>606</v>
      </c>
      <c r="D142" s="16" t="s">
        <v>277</v>
      </c>
      <c r="E142" s="16" t="n">
        <v>3</v>
      </c>
      <c r="F142" s="16" t="n">
        <v>665</v>
      </c>
      <c r="G142" s="16" t="n">
        <v>0.038</v>
      </c>
      <c r="H142" s="16" t="n">
        <v>10</v>
      </c>
      <c r="I142" s="16" t="n">
        <v>1</v>
      </c>
    </row>
    <row r="143" customFormat="false" ht="14.25" hidden="false" customHeight="true" outlineLevel="0" collapsed="false">
      <c r="A143" s="39" t="n">
        <v>45779</v>
      </c>
      <c r="B143" s="39" t="s">
        <v>519</v>
      </c>
      <c r="C143" s="16" t="s">
        <v>606</v>
      </c>
      <c r="D143" s="16" t="s">
        <v>277</v>
      </c>
      <c r="E143" s="16" t="n">
        <v>3</v>
      </c>
      <c r="F143" s="16" t="n">
        <v>750</v>
      </c>
      <c r="G143" s="16" t="n">
        <v>0.036</v>
      </c>
      <c r="H143" s="16" t="n">
        <v>10</v>
      </c>
      <c r="I143" s="16" t="n">
        <v>1</v>
      </c>
    </row>
    <row r="144" customFormat="false" ht="14.25" hidden="false" customHeight="true" outlineLevel="0" collapsed="false">
      <c r="A144" s="39" t="n">
        <v>45779</v>
      </c>
      <c r="B144" s="39" t="s">
        <v>519</v>
      </c>
      <c r="C144" s="16" t="s">
        <v>606</v>
      </c>
      <c r="D144" s="16" t="s">
        <v>277</v>
      </c>
      <c r="E144" s="16" t="n">
        <v>4</v>
      </c>
      <c r="F144" s="16" t="n">
        <v>430</v>
      </c>
      <c r="G144" s="16" t="n">
        <v>0.049</v>
      </c>
      <c r="H144" s="16" t="n">
        <v>10</v>
      </c>
      <c r="I144" s="16" t="n">
        <v>1</v>
      </c>
    </row>
    <row r="145" customFormat="false" ht="14.25" hidden="false" customHeight="true" outlineLevel="0" collapsed="false">
      <c r="A145" s="39" t="n">
        <v>45779</v>
      </c>
      <c r="B145" s="39" t="s">
        <v>519</v>
      </c>
      <c r="C145" s="16" t="s">
        <v>606</v>
      </c>
      <c r="D145" s="16" t="s">
        <v>277</v>
      </c>
      <c r="E145" s="16" t="n">
        <v>4</v>
      </c>
      <c r="F145" s="16" t="n">
        <v>630</v>
      </c>
      <c r="G145" s="16" t="n">
        <v>0.034</v>
      </c>
      <c r="H145" s="16" t="n">
        <v>10</v>
      </c>
      <c r="I145" s="16" t="n">
        <v>1</v>
      </c>
    </row>
    <row r="146" customFormat="false" ht="14.25" hidden="false" customHeight="true" outlineLevel="0" collapsed="false">
      <c r="A146" s="39" t="n">
        <v>45779</v>
      </c>
      <c r="B146" s="39" t="s">
        <v>519</v>
      </c>
      <c r="C146" s="16" t="s">
        <v>606</v>
      </c>
      <c r="D146" s="16" t="s">
        <v>277</v>
      </c>
      <c r="E146" s="16" t="n">
        <v>4</v>
      </c>
      <c r="F146" s="16" t="n">
        <v>645</v>
      </c>
      <c r="G146" s="16" t="n">
        <v>0.034</v>
      </c>
      <c r="H146" s="16" t="n">
        <v>10</v>
      </c>
      <c r="I146" s="16" t="n">
        <v>1</v>
      </c>
    </row>
    <row r="147" customFormat="false" ht="14.25" hidden="false" customHeight="true" outlineLevel="0" collapsed="false">
      <c r="A147" s="39" t="n">
        <v>45779</v>
      </c>
      <c r="B147" s="39" t="s">
        <v>519</v>
      </c>
      <c r="C147" s="16" t="s">
        <v>606</v>
      </c>
      <c r="D147" s="16" t="s">
        <v>277</v>
      </c>
      <c r="E147" s="16" t="n">
        <v>4</v>
      </c>
      <c r="F147" s="16" t="n">
        <v>665</v>
      </c>
      <c r="G147" s="16" t="n">
        <v>0.036</v>
      </c>
      <c r="H147" s="16" t="n">
        <v>10</v>
      </c>
      <c r="I147" s="16" t="n">
        <v>1</v>
      </c>
    </row>
    <row r="148" customFormat="false" ht="14.25" hidden="false" customHeight="true" outlineLevel="0" collapsed="false">
      <c r="A148" s="39" t="n">
        <v>45779</v>
      </c>
      <c r="B148" s="39" t="s">
        <v>519</v>
      </c>
      <c r="C148" s="16" t="s">
        <v>606</v>
      </c>
      <c r="D148" s="16" t="s">
        <v>277</v>
      </c>
      <c r="E148" s="16" t="n">
        <v>4</v>
      </c>
      <c r="F148" s="16" t="n">
        <v>750</v>
      </c>
      <c r="G148" s="16" t="n">
        <v>0.034</v>
      </c>
      <c r="H148" s="16" t="n">
        <v>10</v>
      </c>
      <c r="I148" s="16" t="n">
        <v>1</v>
      </c>
    </row>
    <row r="149" customFormat="false" ht="14.25" hidden="false" customHeight="true" outlineLevel="0" collapsed="false">
      <c r="A149" s="39" t="n">
        <v>45779</v>
      </c>
      <c r="B149" s="39" t="s">
        <v>519</v>
      </c>
      <c r="C149" s="16" t="s">
        <v>606</v>
      </c>
      <c r="D149" s="16" t="s">
        <v>193</v>
      </c>
      <c r="E149" s="16" t="n">
        <v>1</v>
      </c>
      <c r="F149" s="16" t="n">
        <v>430</v>
      </c>
      <c r="G149" s="16" t="n">
        <v>0.054</v>
      </c>
      <c r="H149" s="16" t="n">
        <v>10</v>
      </c>
      <c r="I149" s="16" t="n">
        <v>1</v>
      </c>
    </row>
    <row r="150" customFormat="false" ht="14.25" hidden="false" customHeight="true" outlineLevel="0" collapsed="false">
      <c r="A150" s="39" t="n">
        <v>45779</v>
      </c>
      <c r="B150" s="39" t="s">
        <v>519</v>
      </c>
      <c r="C150" s="16" t="s">
        <v>606</v>
      </c>
      <c r="D150" s="16" t="s">
        <v>193</v>
      </c>
      <c r="E150" s="16" t="n">
        <v>1</v>
      </c>
      <c r="F150" s="16" t="n">
        <v>630</v>
      </c>
      <c r="G150" s="16" t="n">
        <v>0.038</v>
      </c>
      <c r="H150" s="16" t="n">
        <v>10</v>
      </c>
      <c r="I150" s="16" t="n">
        <v>1</v>
      </c>
    </row>
    <row r="151" customFormat="false" ht="14.25" hidden="false" customHeight="true" outlineLevel="0" collapsed="false">
      <c r="A151" s="39" t="n">
        <v>45779</v>
      </c>
      <c r="B151" s="39" t="s">
        <v>519</v>
      </c>
      <c r="C151" s="16" t="s">
        <v>606</v>
      </c>
      <c r="D151" s="16" t="s">
        <v>193</v>
      </c>
      <c r="E151" s="16" t="n">
        <v>1</v>
      </c>
      <c r="F151" s="16" t="n">
        <v>645</v>
      </c>
      <c r="G151" s="16" t="n">
        <v>0.038</v>
      </c>
      <c r="H151" s="16" t="n">
        <v>10</v>
      </c>
      <c r="I151" s="16" t="n">
        <v>1</v>
      </c>
    </row>
    <row r="152" customFormat="false" ht="14.25" hidden="false" customHeight="true" outlineLevel="0" collapsed="false">
      <c r="A152" s="39" t="n">
        <v>45779</v>
      </c>
      <c r="B152" s="39" t="s">
        <v>519</v>
      </c>
      <c r="C152" s="16" t="s">
        <v>606</v>
      </c>
      <c r="D152" s="16" t="s">
        <v>193</v>
      </c>
      <c r="E152" s="16" t="n">
        <v>1</v>
      </c>
      <c r="F152" s="16" t="n">
        <v>665</v>
      </c>
      <c r="G152" s="16" t="n">
        <v>0.039</v>
      </c>
      <c r="H152" s="16" t="n">
        <v>10</v>
      </c>
      <c r="I152" s="16" t="n">
        <v>1</v>
      </c>
    </row>
    <row r="153" customFormat="false" ht="14.25" hidden="false" customHeight="true" outlineLevel="0" collapsed="false">
      <c r="A153" s="39" t="n">
        <v>45779</v>
      </c>
      <c r="B153" s="39" t="s">
        <v>519</v>
      </c>
      <c r="C153" s="16" t="s">
        <v>606</v>
      </c>
      <c r="D153" s="16" t="s">
        <v>193</v>
      </c>
      <c r="E153" s="16" t="n">
        <v>1</v>
      </c>
      <c r="F153" s="16" t="n">
        <v>750</v>
      </c>
      <c r="G153" s="16" t="n">
        <v>0.038</v>
      </c>
      <c r="H153" s="16" t="n">
        <v>10</v>
      </c>
      <c r="I153" s="16" t="n">
        <v>1</v>
      </c>
    </row>
    <row r="154" customFormat="false" ht="14.25" hidden="false" customHeight="true" outlineLevel="0" collapsed="false">
      <c r="A154" s="39" t="n">
        <v>45779</v>
      </c>
      <c r="B154" s="39" t="s">
        <v>519</v>
      </c>
      <c r="C154" s="16" t="s">
        <v>606</v>
      </c>
      <c r="D154" s="16" t="s">
        <v>193</v>
      </c>
      <c r="E154" s="16" t="n">
        <v>2</v>
      </c>
      <c r="F154" s="16" t="n">
        <v>430</v>
      </c>
      <c r="G154" s="16" t="n">
        <v>0.071</v>
      </c>
      <c r="H154" s="16" t="n">
        <v>10</v>
      </c>
      <c r="I154" s="16" t="n">
        <v>1</v>
      </c>
    </row>
    <row r="155" customFormat="false" ht="14.25" hidden="false" customHeight="true" outlineLevel="0" collapsed="false">
      <c r="A155" s="39" t="n">
        <v>45779</v>
      </c>
      <c r="B155" s="39" t="s">
        <v>519</v>
      </c>
      <c r="C155" s="16" t="s">
        <v>606</v>
      </c>
      <c r="D155" s="16" t="s">
        <v>193</v>
      </c>
      <c r="E155" s="16" t="n">
        <v>2</v>
      </c>
      <c r="F155" s="16" t="n">
        <v>630</v>
      </c>
      <c r="G155" s="16" t="n">
        <v>0.036</v>
      </c>
      <c r="H155" s="16" t="n">
        <v>10</v>
      </c>
      <c r="I155" s="16" t="n">
        <v>1</v>
      </c>
    </row>
    <row r="156" customFormat="false" ht="14.25" hidden="false" customHeight="true" outlineLevel="0" collapsed="false">
      <c r="A156" s="39" t="n">
        <v>45779</v>
      </c>
      <c r="B156" s="39" t="s">
        <v>519</v>
      </c>
      <c r="C156" s="16" t="s">
        <v>606</v>
      </c>
      <c r="D156" s="16" t="s">
        <v>193</v>
      </c>
      <c r="E156" s="16" t="n">
        <v>2</v>
      </c>
      <c r="F156" s="16" t="n">
        <v>645</v>
      </c>
      <c r="G156" s="16" t="n">
        <v>0.037</v>
      </c>
      <c r="H156" s="16" t="n">
        <v>10</v>
      </c>
      <c r="I156" s="16" t="n">
        <v>1</v>
      </c>
    </row>
    <row r="157" customFormat="false" ht="14.25" hidden="false" customHeight="true" outlineLevel="0" collapsed="false">
      <c r="A157" s="39" t="n">
        <v>45779</v>
      </c>
      <c r="B157" s="39" t="s">
        <v>519</v>
      </c>
      <c r="C157" s="16" t="s">
        <v>606</v>
      </c>
      <c r="D157" s="16" t="s">
        <v>193</v>
      </c>
      <c r="E157" s="16" t="n">
        <v>2</v>
      </c>
      <c r="F157" s="16" t="n">
        <v>665</v>
      </c>
      <c r="G157" s="16" t="n">
        <v>0.043</v>
      </c>
      <c r="H157" s="16" t="n">
        <v>10</v>
      </c>
      <c r="I157" s="16" t="n">
        <v>1</v>
      </c>
    </row>
    <row r="158" customFormat="false" ht="14.25" hidden="false" customHeight="true" outlineLevel="0" collapsed="false">
      <c r="A158" s="39" t="n">
        <v>45779</v>
      </c>
      <c r="B158" s="39" t="s">
        <v>519</v>
      </c>
      <c r="C158" s="16" t="s">
        <v>606</v>
      </c>
      <c r="D158" s="16" t="s">
        <v>193</v>
      </c>
      <c r="E158" s="16" t="n">
        <v>2</v>
      </c>
      <c r="F158" s="16" t="n">
        <v>750</v>
      </c>
      <c r="G158" s="16" t="n">
        <v>0.035</v>
      </c>
      <c r="H158" s="16" t="n">
        <v>10</v>
      </c>
      <c r="I158" s="16" t="n">
        <v>1</v>
      </c>
    </row>
    <row r="159" customFormat="false" ht="14.25" hidden="false" customHeight="true" outlineLevel="0" collapsed="false">
      <c r="A159" s="39" t="n">
        <v>45779</v>
      </c>
      <c r="B159" s="39" t="s">
        <v>519</v>
      </c>
      <c r="C159" s="16" t="s">
        <v>606</v>
      </c>
      <c r="D159" s="16" t="s">
        <v>193</v>
      </c>
      <c r="E159" s="16" t="n">
        <v>3</v>
      </c>
      <c r="F159" s="16" t="n">
        <v>430</v>
      </c>
      <c r="G159" s="16" t="n">
        <v>0.059</v>
      </c>
      <c r="H159" s="16" t="n">
        <v>10</v>
      </c>
      <c r="I159" s="16" t="n">
        <v>1</v>
      </c>
    </row>
    <row r="160" customFormat="false" ht="14.25" hidden="false" customHeight="true" outlineLevel="0" collapsed="false">
      <c r="A160" s="39" t="n">
        <v>45779</v>
      </c>
      <c r="B160" s="39" t="s">
        <v>519</v>
      </c>
      <c r="C160" s="16" t="s">
        <v>606</v>
      </c>
      <c r="D160" s="16" t="s">
        <v>193</v>
      </c>
      <c r="E160" s="16" t="n">
        <v>3</v>
      </c>
      <c r="F160" s="16" t="n">
        <v>630</v>
      </c>
      <c r="G160" s="16" t="n">
        <v>0.036</v>
      </c>
      <c r="H160" s="16" t="n">
        <v>10</v>
      </c>
      <c r="I160" s="16" t="n">
        <v>1</v>
      </c>
    </row>
    <row r="161" customFormat="false" ht="14.25" hidden="false" customHeight="true" outlineLevel="0" collapsed="false">
      <c r="A161" s="39" t="n">
        <v>45779</v>
      </c>
      <c r="B161" s="39" t="s">
        <v>519</v>
      </c>
      <c r="C161" s="16" t="s">
        <v>606</v>
      </c>
      <c r="D161" s="16" t="s">
        <v>193</v>
      </c>
      <c r="E161" s="16" t="n">
        <v>3</v>
      </c>
      <c r="F161" s="16" t="n">
        <v>645</v>
      </c>
      <c r="G161" s="16" t="n">
        <v>0.036</v>
      </c>
      <c r="H161" s="16" t="n">
        <v>10</v>
      </c>
      <c r="I161" s="16" t="n">
        <v>1</v>
      </c>
    </row>
    <row r="162" customFormat="false" ht="14.25" hidden="false" customHeight="true" outlineLevel="0" collapsed="false">
      <c r="A162" s="39" t="n">
        <v>45779</v>
      </c>
      <c r="B162" s="39" t="s">
        <v>519</v>
      </c>
      <c r="C162" s="16" t="s">
        <v>606</v>
      </c>
      <c r="D162" s="16" t="s">
        <v>193</v>
      </c>
      <c r="E162" s="16" t="n">
        <v>3</v>
      </c>
      <c r="F162" s="16" t="n">
        <v>665</v>
      </c>
      <c r="G162" s="16" t="n">
        <v>0.04</v>
      </c>
      <c r="H162" s="16" t="n">
        <v>10</v>
      </c>
      <c r="I162" s="16" t="n">
        <v>1</v>
      </c>
    </row>
    <row r="163" customFormat="false" ht="14.25" hidden="false" customHeight="true" outlineLevel="0" collapsed="false">
      <c r="A163" s="39" t="n">
        <v>45779</v>
      </c>
      <c r="B163" s="39" t="s">
        <v>519</v>
      </c>
      <c r="C163" s="16" t="s">
        <v>606</v>
      </c>
      <c r="D163" s="16" t="s">
        <v>193</v>
      </c>
      <c r="E163" s="16" t="n">
        <v>3</v>
      </c>
      <c r="F163" s="16" t="n">
        <v>750</v>
      </c>
      <c r="G163" s="16" t="n">
        <v>0.037</v>
      </c>
      <c r="H163" s="16" t="n">
        <v>10</v>
      </c>
      <c r="I163" s="16" t="n">
        <v>1</v>
      </c>
    </row>
    <row r="164" customFormat="false" ht="14.25" hidden="false" customHeight="true" outlineLevel="0" collapsed="false">
      <c r="A164" s="39" t="n">
        <v>45779</v>
      </c>
      <c r="B164" s="39" t="s">
        <v>519</v>
      </c>
      <c r="C164" s="16" t="s">
        <v>606</v>
      </c>
      <c r="D164" s="16" t="s">
        <v>193</v>
      </c>
      <c r="E164" s="16" t="n">
        <v>4</v>
      </c>
      <c r="F164" s="16" t="n">
        <v>430</v>
      </c>
      <c r="G164" s="16" t="n">
        <v>0.08</v>
      </c>
      <c r="H164" s="16" t="n">
        <v>10</v>
      </c>
      <c r="I164" s="16" t="n">
        <v>1</v>
      </c>
    </row>
    <row r="165" customFormat="false" ht="14.25" hidden="false" customHeight="true" outlineLevel="0" collapsed="false">
      <c r="A165" s="39" t="n">
        <v>45779</v>
      </c>
      <c r="B165" s="39" t="s">
        <v>519</v>
      </c>
      <c r="C165" s="16" t="s">
        <v>606</v>
      </c>
      <c r="D165" s="16" t="s">
        <v>193</v>
      </c>
      <c r="E165" s="16" t="n">
        <v>4</v>
      </c>
      <c r="F165" s="16" t="n">
        <v>630</v>
      </c>
      <c r="G165" s="16" t="n">
        <v>0.037</v>
      </c>
      <c r="H165" s="16" t="n">
        <v>10</v>
      </c>
      <c r="I165" s="16" t="n">
        <v>1</v>
      </c>
    </row>
    <row r="166" customFormat="false" ht="14.25" hidden="false" customHeight="true" outlineLevel="0" collapsed="false">
      <c r="A166" s="39" t="n">
        <v>45779</v>
      </c>
      <c r="B166" s="39" t="s">
        <v>519</v>
      </c>
      <c r="C166" s="16" t="s">
        <v>606</v>
      </c>
      <c r="D166" s="16" t="s">
        <v>193</v>
      </c>
      <c r="E166" s="16" t="n">
        <v>4</v>
      </c>
      <c r="F166" s="16" t="n">
        <v>645</v>
      </c>
      <c r="G166" s="16" t="n">
        <v>0.037</v>
      </c>
      <c r="H166" s="16" t="n">
        <v>10</v>
      </c>
      <c r="I166" s="16" t="n">
        <v>1</v>
      </c>
    </row>
    <row r="167" customFormat="false" ht="14.25" hidden="false" customHeight="true" outlineLevel="0" collapsed="false">
      <c r="A167" s="39" t="n">
        <v>45779</v>
      </c>
      <c r="B167" s="39" t="s">
        <v>519</v>
      </c>
      <c r="C167" s="16" t="s">
        <v>606</v>
      </c>
      <c r="D167" s="16" t="s">
        <v>193</v>
      </c>
      <c r="E167" s="16" t="n">
        <v>4</v>
      </c>
      <c r="F167" s="16" t="n">
        <v>665</v>
      </c>
      <c r="G167" s="16" t="n">
        <v>0.041</v>
      </c>
      <c r="H167" s="16" t="n">
        <v>10</v>
      </c>
      <c r="I167" s="16" t="n">
        <v>1</v>
      </c>
    </row>
    <row r="168" customFormat="false" ht="14.25" hidden="false" customHeight="true" outlineLevel="0" collapsed="false">
      <c r="A168" s="39" t="n">
        <v>45779</v>
      </c>
      <c r="B168" s="39" t="s">
        <v>519</v>
      </c>
      <c r="C168" s="16" t="s">
        <v>606</v>
      </c>
      <c r="D168" s="16" t="s">
        <v>193</v>
      </c>
      <c r="E168" s="16" t="n">
        <v>4</v>
      </c>
      <c r="F168" s="16" t="n">
        <v>750</v>
      </c>
      <c r="G168" s="16" t="n">
        <v>0.036</v>
      </c>
      <c r="H168" s="16" t="n">
        <v>10</v>
      </c>
      <c r="I168" s="16" t="n">
        <v>1</v>
      </c>
    </row>
    <row r="169" customFormat="false" ht="14.25" hidden="false" customHeight="true" outlineLevel="0" collapsed="false">
      <c r="A169" s="39" t="n">
        <v>45779</v>
      </c>
      <c r="B169" s="39" t="s">
        <v>519</v>
      </c>
      <c r="C169" s="16" t="s">
        <v>603</v>
      </c>
      <c r="D169" s="16" t="s">
        <v>193</v>
      </c>
      <c r="E169" s="16" t="n">
        <v>1</v>
      </c>
      <c r="F169" s="16" t="n">
        <v>430</v>
      </c>
      <c r="G169" s="16" t="n">
        <v>0.063</v>
      </c>
      <c r="H169" s="16" t="n">
        <v>10</v>
      </c>
      <c r="I169" s="16" t="n">
        <v>1</v>
      </c>
    </row>
    <row r="170" customFormat="false" ht="14.25" hidden="false" customHeight="true" outlineLevel="0" collapsed="false">
      <c r="A170" s="39" t="n">
        <v>45779</v>
      </c>
      <c r="B170" s="39" t="s">
        <v>519</v>
      </c>
      <c r="C170" s="16" t="s">
        <v>603</v>
      </c>
      <c r="D170" s="16" t="s">
        <v>193</v>
      </c>
      <c r="E170" s="16" t="n">
        <v>1</v>
      </c>
      <c r="F170" s="16" t="n">
        <v>630</v>
      </c>
      <c r="G170" s="16" t="n">
        <v>0.041</v>
      </c>
      <c r="H170" s="16" t="n">
        <v>10</v>
      </c>
      <c r="I170" s="16" t="n">
        <v>1</v>
      </c>
    </row>
    <row r="171" customFormat="false" ht="14.25" hidden="false" customHeight="true" outlineLevel="0" collapsed="false">
      <c r="A171" s="39" t="n">
        <v>45779</v>
      </c>
      <c r="B171" s="39" t="s">
        <v>519</v>
      </c>
      <c r="C171" s="16" t="s">
        <v>603</v>
      </c>
      <c r="D171" s="16" t="s">
        <v>193</v>
      </c>
      <c r="E171" s="16" t="n">
        <v>1</v>
      </c>
      <c r="F171" s="16" t="n">
        <v>645</v>
      </c>
      <c r="G171" s="16" t="n">
        <v>0.04</v>
      </c>
      <c r="H171" s="16" t="n">
        <v>10</v>
      </c>
      <c r="I171" s="16" t="n">
        <v>1</v>
      </c>
    </row>
    <row r="172" customFormat="false" ht="14.25" hidden="false" customHeight="true" outlineLevel="0" collapsed="false">
      <c r="A172" s="39" t="n">
        <v>45779</v>
      </c>
      <c r="B172" s="39" t="s">
        <v>519</v>
      </c>
      <c r="C172" s="16" t="s">
        <v>603</v>
      </c>
      <c r="D172" s="16" t="s">
        <v>193</v>
      </c>
      <c r="E172" s="16" t="n">
        <v>1</v>
      </c>
      <c r="F172" s="16" t="n">
        <v>665</v>
      </c>
      <c r="G172" s="16" t="n">
        <v>0.041</v>
      </c>
      <c r="H172" s="16" t="n">
        <v>10</v>
      </c>
      <c r="I172" s="16" t="n">
        <v>1</v>
      </c>
    </row>
    <row r="173" customFormat="false" ht="14.25" hidden="false" customHeight="true" outlineLevel="0" collapsed="false">
      <c r="A173" s="39" t="n">
        <v>45779</v>
      </c>
      <c r="B173" s="39" t="s">
        <v>519</v>
      </c>
      <c r="C173" s="16" t="s">
        <v>603</v>
      </c>
      <c r="D173" s="16" t="s">
        <v>193</v>
      </c>
      <c r="E173" s="16" t="n">
        <v>1</v>
      </c>
      <c r="F173" s="16" t="n">
        <v>750</v>
      </c>
      <c r="G173" s="16" t="n">
        <v>0.04</v>
      </c>
      <c r="H173" s="16" t="n">
        <v>10</v>
      </c>
      <c r="I173" s="16" t="n">
        <v>1</v>
      </c>
    </row>
    <row r="174" customFormat="false" ht="14.25" hidden="false" customHeight="true" outlineLevel="0" collapsed="false">
      <c r="A174" s="39" t="n">
        <v>45779</v>
      </c>
      <c r="B174" s="39" t="s">
        <v>519</v>
      </c>
      <c r="C174" s="16" t="s">
        <v>603</v>
      </c>
      <c r="D174" s="16" t="s">
        <v>193</v>
      </c>
      <c r="E174" s="16" t="n">
        <v>2</v>
      </c>
      <c r="F174" s="16" t="n">
        <v>430</v>
      </c>
      <c r="G174" s="16" t="n">
        <v>0.053</v>
      </c>
      <c r="H174" s="16" t="n">
        <v>10</v>
      </c>
      <c r="I174" s="16" t="n">
        <v>1</v>
      </c>
    </row>
    <row r="175" customFormat="false" ht="14.25" hidden="false" customHeight="true" outlineLevel="0" collapsed="false">
      <c r="A175" s="39" t="n">
        <v>45779</v>
      </c>
      <c r="B175" s="39" t="s">
        <v>519</v>
      </c>
      <c r="C175" s="16" t="s">
        <v>603</v>
      </c>
      <c r="D175" s="16" t="s">
        <v>193</v>
      </c>
      <c r="E175" s="16" t="n">
        <v>2</v>
      </c>
      <c r="F175" s="16" t="n">
        <v>630</v>
      </c>
      <c r="G175" s="16" t="n">
        <v>0.036</v>
      </c>
      <c r="H175" s="16" t="n">
        <v>10</v>
      </c>
      <c r="I175" s="16" t="n">
        <v>1</v>
      </c>
    </row>
    <row r="176" customFormat="false" ht="14.25" hidden="false" customHeight="true" outlineLevel="0" collapsed="false">
      <c r="A176" s="39" t="n">
        <v>45779</v>
      </c>
      <c r="B176" s="39" t="s">
        <v>519</v>
      </c>
      <c r="C176" s="16" t="s">
        <v>603</v>
      </c>
      <c r="D176" s="16" t="s">
        <v>193</v>
      </c>
      <c r="E176" s="16" t="n">
        <v>2</v>
      </c>
      <c r="F176" s="16" t="n">
        <v>645</v>
      </c>
      <c r="G176" s="16" t="n">
        <v>0.035</v>
      </c>
      <c r="H176" s="16" t="n">
        <v>10</v>
      </c>
      <c r="I176" s="16" t="n">
        <v>1</v>
      </c>
    </row>
    <row r="177" customFormat="false" ht="14.25" hidden="false" customHeight="true" outlineLevel="0" collapsed="false">
      <c r="A177" s="39" t="n">
        <v>45779</v>
      </c>
      <c r="B177" s="39" t="s">
        <v>519</v>
      </c>
      <c r="C177" s="16" t="s">
        <v>603</v>
      </c>
      <c r="D177" s="16" t="s">
        <v>193</v>
      </c>
      <c r="E177" s="16" t="n">
        <v>2</v>
      </c>
      <c r="F177" s="16" t="n">
        <v>665</v>
      </c>
      <c r="G177" s="16" t="n">
        <v>0.036</v>
      </c>
      <c r="H177" s="16" t="n">
        <v>10</v>
      </c>
      <c r="I177" s="16" t="n">
        <v>1</v>
      </c>
    </row>
    <row r="178" customFormat="false" ht="14.25" hidden="false" customHeight="true" outlineLevel="0" collapsed="false">
      <c r="A178" s="39" t="n">
        <v>45779</v>
      </c>
      <c r="B178" s="39" t="s">
        <v>519</v>
      </c>
      <c r="C178" s="16" t="s">
        <v>603</v>
      </c>
      <c r="D178" s="16" t="s">
        <v>193</v>
      </c>
      <c r="E178" s="16" t="n">
        <v>2</v>
      </c>
      <c r="F178" s="16" t="n">
        <v>750</v>
      </c>
      <c r="G178" s="16" t="n">
        <v>0.036</v>
      </c>
      <c r="H178" s="16" t="n">
        <v>10</v>
      </c>
      <c r="I178" s="16" t="n">
        <v>1</v>
      </c>
    </row>
    <row r="179" customFormat="false" ht="14.25" hidden="false" customHeight="true" outlineLevel="0" collapsed="false">
      <c r="A179" s="39" t="n">
        <v>45779</v>
      </c>
      <c r="B179" s="39" t="s">
        <v>519</v>
      </c>
      <c r="C179" s="16" t="s">
        <v>603</v>
      </c>
      <c r="D179" s="16" t="s">
        <v>193</v>
      </c>
      <c r="E179" s="16" t="n">
        <v>3</v>
      </c>
      <c r="F179" s="16" t="n">
        <v>430</v>
      </c>
      <c r="G179" s="16" t="n">
        <v>0.089</v>
      </c>
      <c r="H179" s="16" t="n">
        <v>10</v>
      </c>
      <c r="I179" s="16" t="n">
        <v>1</v>
      </c>
    </row>
    <row r="180" customFormat="false" ht="14.25" hidden="false" customHeight="true" outlineLevel="0" collapsed="false">
      <c r="A180" s="39" t="n">
        <v>45779</v>
      </c>
      <c r="B180" s="39" t="s">
        <v>519</v>
      </c>
      <c r="C180" s="16" t="s">
        <v>603</v>
      </c>
      <c r="D180" s="16" t="s">
        <v>193</v>
      </c>
      <c r="E180" s="16" t="n">
        <v>3</v>
      </c>
      <c r="F180" s="16" t="n">
        <v>630</v>
      </c>
      <c r="G180" s="16" t="n">
        <v>0.055</v>
      </c>
      <c r="H180" s="16" t="n">
        <v>10</v>
      </c>
      <c r="I180" s="16" t="n">
        <v>1</v>
      </c>
    </row>
    <row r="181" customFormat="false" ht="14.25" hidden="false" customHeight="true" outlineLevel="0" collapsed="false">
      <c r="A181" s="39" t="n">
        <v>45779</v>
      </c>
      <c r="B181" s="39" t="s">
        <v>519</v>
      </c>
      <c r="C181" s="16" t="s">
        <v>603</v>
      </c>
      <c r="D181" s="16" t="s">
        <v>193</v>
      </c>
      <c r="E181" s="16" t="n">
        <v>3</v>
      </c>
      <c r="F181" s="16" t="n">
        <v>645</v>
      </c>
      <c r="G181" s="16" t="n">
        <v>0.054</v>
      </c>
      <c r="H181" s="16" t="n">
        <v>10</v>
      </c>
      <c r="I181" s="16" t="n">
        <v>1</v>
      </c>
    </row>
    <row r="182" customFormat="false" ht="14.25" hidden="false" customHeight="true" outlineLevel="0" collapsed="false">
      <c r="A182" s="39" t="n">
        <v>45779</v>
      </c>
      <c r="B182" s="39" t="s">
        <v>519</v>
      </c>
      <c r="C182" s="16" t="s">
        <v>603</v>
      </c>
      <c r="D182" s="16" t="s">
        <v>193</v>
      </c>
      <c r="E182" s="16" t="n">
        <v>3</v>
      </c>
      <c r="F182" s="16" t="n">
        <v>665</v>
      </c>
      <c r="G182" s="16" t="n">
        <v>0.052</v>
      </c>
      <c r="H182" s="16" t="n">
        <v>10</v>
      </c>
      <c r="I182" s="16" t="n">
        <v>1</v>
      </c>
    </row>
    <row r="183" customFormat="false" ht="14.25" hidden="false" customHeight="true" outlineLevel="0" collapsed="false">
      <c r="A183" s="39" t="n">
        <v>45779</v>
      </c>
      <c r="B183" s="39" t="s">
        <v>519</v>
      </c>
      <c r="C183" s="16" t="s">
        <v>603</v>
      </c>
      <c r="D183" s="16" t="s">
        <v>193</v>
      </c>
      <c r="E183" s="16" t="n">
        <v>3</v>
      </c>
      <c r="F183" s="16" t="n">
        <v>750</v>
      </c>
      <c r="G183" s="16" t="n">
        <v>0.055</v>
      </c>
      <c r="H183" s="16" t="n">
        <v>10</v>
      </c>
      <c r="I183" s="16" t="n">
        <v>1</v>
      </c>
    </row>
    <row r="184" customFormat="false" ht="14.25" hidden="false" customHeight="true" outlineLevel="0" collapsed="false">
      <c r="A184" s="39" t="n">
        <v>45779</v>
      </c>
      <c r="B184" s="39" t="s">
        <v>519</v>
      </c>
      <c r="C184" s="16" t="s">
        <v>603</v>
      </c>
      <c r="D184" s="16" t="s">
        <v>193</v>
      </c>
      <c r="E184" s="16" t="n">
        <v>4</v>
      </c>
      <c r="F184" s="16" t="n">
        <v>430</v>
      </c>
      <c r="G184" s="16" t="n">
        <v>0.049</v>
      </c>
      <c r="H184" s="16" t="n">
        <v>10</v>
      </c>
      <c r="I184" s="16" t="n">
        <v>1</v>
      </c>
    </row>
    <row r="185" customFormat="false" ht="14.25" hidden="false" customHeight="true" outlineLevel="0" collapsed="false">
      <c r="A185" s="39" t="n">
        <v>45779</v>
      </c>
      <c r="B185" s="39" t="s">
        <v>519</v>
      </c>
      <c r="C185" s="16" t="s">
        <v>603</v>
      </c>
      <c r="D185" s="16" t="s">
        <v>193</v>
      </c>
      <c r="E185" s="16" t="n">
        <v>4</v>
      </c>
      <c r="F185" s="16" t="n">
        <v>630</v>
      </c>
      <c r="G185" s="16" t="n">
        <v>0.038</v>
      </c>
      <c r="H185" s="16" t="n">
        <v>10</v>
      </c>
      <c r="I185" s="16" t="n">
        <v>1</v>
      </c>
    </row>
    <row r="186" customFormat="false" ht="14.25" hidden="false" customHeight="true" outlineLevel="0" collapsed="false">
      <c r="A186" s="39" t="n">
        <v>45779</v>
      </c>
      <c r="B186" s="39" t="s">
        <v>519</v>
      </c>
      <c r="C186" s="16" t="s">
        <v>603</v>
      </c>
      <c r="D186" s="16" t="s">
        <v>193</v>
      </c>
      <c r="E186" s="16" t="n">
        <v>4</v>
      </c>
      <c r="F186" s="16" t="n">
        <v>645</v>
      </c>
      <c r="G186" s="16" t="n">
        <v>0.037</v>
      </c>
      <c r="H186" s="16" t="n">
        <v>10</v>
      </c>
      <c r="I186" s="16" t="n">
        <v>1</v>
      </c>
    </row>
    <row r="187" customFormat="false" ht="14.25" hidden="false" customHeight="true" outlineLevel="0" collapsed="false">
      <c r="A187" s="39" t="n">
        <v>45779</v>
      </c>
      <c r="B187" s="39" t="s">
        <v>519</v>
      </c>
      <c r="C187" s="16" t="s">
        <v>603</v>
      </c>
      <c r="D187" s="16" t="s">
        <v>193</v>
      </c>
      <c r="E187" s="16" t="n">
        <v>4</v>
      </c>
      <c r="F187" s="16" t="n">
        <v>665</v>
      </c>
      <c r="G187" s="16" t="n">
        <v>0.036</v>
      </c>
      <c r="H187" s="16" t="n">
        <v>10</v>
      </c>
      <c r="I187" s="16" t="n">
        <v>1</v>
      </c>
    </row>
    <row r="188" customFormat="false" ht="14.25" hidden="false" customHeight="true" outlineLevel="0" collapsed="false">
      <c r="A188" s="39" t="n">
        <v>45779</v>
      </c>
      <c r="B188" s="39" t="s">
        <v>519</v>
      </c>
      <c r="C188" s="16" t="s">
        <v>603</v>
      </c>
      <c r="D188" s="16" t="s">
        <v>193</v>
      </c>
      <c r="E188" s="16" t="n">
        <v>4</v>
      </c>
      <c r="F188" s="16" t="n">
        <v>750</v>
      </c>
      <c r="G188" s="16" t="n">
        <v>0.038</v>
      </c>
      <c r="H188" s="16" t="n">
        <v>10</v>
      </c>
      <c r="I188" s="16" t="n">
        <v>1</v>
      </c>
    </row>
    <row r="189" customFormat="false" ht="14.25" hidden="false" customHeight="true" outlineLevel="0" collapsed="false">
      <c r="A189" s="39" t="n">
        <v>45779</v>
      </c>
      <c r="B189" s="39" t="s">
        <v>519</v>
      </c>
      <c r="C189" s="16" t="s">
        <v>603</v>
      </c>
      <c r="D189" s="16" t="s">
        <v>461</v>
      </c>
      <c r="E189" s="16" t="n">
        <v>1</v>
      </c>
      <c r="F189" s="16" t="n">
        <v>430</v>
      </c>
      <c r="G189" s="16" t="n">
        <v>0.052</v>
      </c>
      <c r="H189" s="16" t="n">
        <v>10</v>
      </c>
      <c r="I189" s="16" t="n">
        <v>1</v>
      </c>
    </row>
    <row r="190" customFormat="false" ht="14.25" hidden="false" customHeight="true" outlineLevel="0" collapsed="false">
      <c r="A190" s="39" t="n">
        <v>45779</v>
      </c>
      <c r="B190" s="39" t="s">
        <v>519</v>
      </c>
      <c r="C190" s="16" t="s">
        <v>603</v>
      </c>
      <c r="D190" s="16" t="s">
        <v>461</v>
      </c>
      <c r="E190" s="16" t="n">
        <v>1</v>
      </c>
      <c r="F190" s="16" t="n">
        <v>630</v>
      </c>
      <c r="G190" s="16" t="n">
        <v>0.04</v>
      </c>
      <c r="H190" s="16" t="n">
        <v>10</v>
      </c>
      <c r="I190" s="16" t="n">
        <v>1</v>
      </c>
    </row>
    <row r="191" customFormat="false" ht="14.25" hidden="false" customHeight="true" outlineLevel="0" collapsed="false">
      <c r="A191" s="39" t="n">
        <v>45779</v>
      </c>
      <c r="B191" s="39" t="s">
        <v>519</v>
      </c>
      <c r="C191" s="16" t="s">
        <v>603</v>
      </c>
      <c r="D191" s="16" t="s">
        <v>461</v>
      </c>
      <c r="E191" s="16" t="n">
        <v>1</v>
      </c>
      <c r="F191" s="16" t="n">
        <v>645</v>
      </c>
      <c r="G191" s="16" t="n">
        <v>0.04</v>
      </c>
      <c r="H191" s="16" t="n">
        <v>10</v>
      </c>
      <c r="I191" s="16" t="n">
        <v>1</v>
      </c>
    </row>
    <row r="192" customFormat="false" ht="14.25" hidden="false" customHeight="true" outlineLevel="0" collapsed="false">
      <c r="A192" s="39" t="n">
        <v>45779</v>
      </c>
      <c r="B192" s="39" t="s">
        <v>519</v>
      </c>
      <c r="C192" s="16" t="s">
        <v>603</v>
      </c>
      <c r="D192" s="16" t="s">
        <v>461</v>
      </c>
      <c r="E192" s="16" t="n">
        <v>1</v>
      </c>
      <c r="F192" s="16" t="n">
        <v>665</v>
      </c>
      <c r="G192" s="16" t="n">
        <v>0.04</v>
      </c>
      <c r="H192" s="16" t="n">
        <v>10</v>
      </c>
      <c r="I192" s="16" t="n">
        <v>1</v>
      </c>
    </row>
    <row r="193" customFormat="false" ht="14.25" hidden="false" customHeight="true" outlineLevel="0" collapsed="false">
      <c r="A193" s="39" t="n">
        <v>45779</v>
      </c>
      <c r="B193" s="39" t="s">
        <v>519</v>
      </c>
      <c r="C193" s="16" t="s">
        <v>603</v>
      </c>
      <c r="D193" s="16" t="s">
        <v>461</v>
      </c>
      <c r="E193" s="16" t="n">
        <v>1</v>
      </c>
      <c r="F193" s="16" t="n">
        <v>750</v>
      </c>
      <c r="G193" s="16" t="n">
        <v>0.04</v>
      </c>
      <c r="H193" s="16" t="n">
        <v>10</v>
      </c>
      <c r="I193" s="16" t="n">
        <v>1</v>
      </c>
    </row>
    <row r="194" customFormat="false" ht="14.25" hidden="false" customHeight="true" outlineLevel="0" collapsed="false">
      <c r="A194" s="39" t="n">
        <v>45779</v>
      </c>
      <c r="B194" s="39" t="s">
        <v>519</v>
      </c>
      <c r="C194" s="16" t="s">
        <v>603</v>
      </c>
      <c r="D194" s="16" t="s">
        <v>461</v>
      </c>
      <c r="E194" s="16" t="n">
        <v>2</v>
      </c>
      <c r="F194" s="16" t="n">
        <v>430</v>
      </c>
      <c r="G194" s="16" t="n">
        <v>0.044</v>
      </c>
      <c r="H194" s="16" t="n">
        <v>10</v>
      </c>
      <c r="I194" s="16" t="n">
        <v>1</v>
      </c>
    </row>
    <row r="195" customFormat="false" ht="14.25" hidden="false" customHeight="true" outlineLevel="0" collapsed="false">
      <c r="A195" s="39" t="n">
        <v>45779</v>
      </c>
      <c r="B195" s="39" t="s">
        <v>519</v>
      </c>
      <c r="C195" s="16" t="s">
        <v>603</v>
      </c>
      <c r="D195" s="16" t="s">
        <v>461</v>
      </c>
      <c r="E195" s="16" t="n">
        <v>2</v>
      </c>
      <c r="F195" s="16" t="n">
        <v>630</v>
      </c>
      <c r="G195" s="16" t="n">
        <v>0.034</v>
      </c>
      <c r="H195" s="16" t="n">
        <v>10</v>
      </c>
      <c r="I195" s="16" t="n">
        <v>1</v>
      </c>
    </row>
    <row r="196" customFormat="false" ht="14.25" hidden="false" customHeight="true" outlineLevel="0" collapsed="false">
      <c r="A196" s="39" t="n">
        <v>45779</v>
      </c>
      <c r="B196" s="39" t="s">
        <v>519</v>
      </c>
      <c r="C196" s="16" t="s">
        <v>603</v>
      </c>
      <c r="D196" s="16" t="s">
        <v>461</v>
      </c>
      <c r="E196" s="16" t="n">
        <v>2</v>
      </c>
      <c r="F196" s="16" t="n">
        <v>645</v>
      </c>
      <c r="G196" s="16" t="n">
        <v>0.034</v>
      </c>
      <c r="H196" s="16" t="n">
        <v>10</v>
      </c>
      <c r="I196" s="16" t="n">
        <v>1</v>
      </c>
    </row>
    <row r="197" customFormat="false" ht="14.25" hidden="false" customHeight="true" outlineLevel="0" collapsed="false">
      <c r="A197" s="39" t="n">
        <v>45779</v>
      </c>
      <c r="B197" s="39" t="s">
        <v>519</v>
      </c>
      <c r="C197" s="16" t="s">
        <v>603</v>
      </c>
      <c r="D197" s="16" t="s">
        <v>461</v>
      </c>
      <c r="E197" s="16" t="n">
        <v>2</v>
      </c>
      <c r="F197" s="16" t="n">
        <v>665</v>
      </c>
      <c r="G197" s="16" t="n">
        <v>0.035</v>
      </c>
      <c r="H197" s="16" t="n">
        <v>10</v>
      </c>
      <c r="I197" s="16" t="n">
        <v>1</v>
      </c>
    </row>
    <row r="198" customFormat="false" ht="14.25" hidden="false" customHeight="true" outlineLevel="0" collapsed="false">
      <c r="A198" s="39" t="n">
        <v>45779</v>
      </c>
      <c r="B198" s="39" t="s">
        <v>519</v>
      </c>
      <c r="C198" s="16" t="s">
        <v>603</v>
      </c>
      <c r="D198" s="16" t="s">
        <v>461</v>
      </c>
      <c r="E198" s="16" t="n">
        <v>2</v>
      </c>
      <c r="F198" s="16" t="n">
        <v>750</v>
      </c>
      <c r="G198" s="16" t="n">
        <v>0.034</v>
      </c>
      <c r="H198" s="16" t="n">
        <v>10</v>
      </c>
      <c r="I198" s="16" t="n">
        <v>1</v>
      </c>
    </row>
    <row r="199" customFormat="false" ht="14.25" hidden="false" customHeight="true" outlineLevel="0" collapsed="false">
      <c r="A199" s="39" t="n">
        <v>45779</v>
      </c>
      <c r="B199" s="39" t="s">
        <v>519</v>
      </c>
      <c r="C199" s="16" t="s">
        <v>603</v>
      </c>
      <c r="D199" s="16" t="s">
        <v>461</v>
      </c>
      <c r="E199" s="16" t="n">
        <v>3</v>
      </c>
      <c r="F199" s="16" t="n">
        <v>430</v>
      </c>
      <c r="G199" s="16" t="n">
        <v>0.053</v>
      </c>
      <c r="H199" s="16" t="n">
        <v>10</v>
      </c>
      <c r="I199" s="16" t="n">
        <v>1</v>
      </c>
    </row>
    <row r="200" customFormat="false" ht="14.25" hidden="false" customHeight="true" outlineLevel="0" collapsed="false">
      <c r="A200" s="39" t="n">
        <v>45779</v>
      </c>
      <c r="B200" s="39" t="s">
        <v>519</v>
      </c>
      <c r="C200" s="16" t="s">
        <v>603</v>
      </c>
      <c r="D200" s="16" t="s">
        <v>461</v>
      </c>
      <c r="E200" s="16" t="n">
        <v>3</v>
      </c>
      <c r="F200" s="16" t="n">
        <v>630</v>
      </c>
      <c r="G200" s="16" t="n">
        <v>0.039</v>
      </c>
      <c r="H200" s="16" t="n">
        <v>10</v>
      </c>
      <c r="I200" s="16" t="n">
        <v>1</v>
      </c>
    </row>
    <row r="201" customFormat="false" ht="14.25" hidden="false" customHeight="true" outlineLevel="0" collapsed="false">
      <c r="A201" s="39" t="n">
        <v>45779</v>
      </c>
      <c r="B201" s="39" t="s">
        <v>519</v>
      </c>
      <c r="C201" s="16" t="s">
        <v>603</v>
      </c>
      <c r="D201" s="16" t="s">
        <v>461</v>
      </c>
      <c r="E201" s="16" t="n">
        <v>3</v>
      </c>
      <c r="F201" s="16" t="n">
        <v>645</v>
      </c>
      <c r="G201" s="16" t="n">
        <v>0.039</v>
      </c>
      <c r="H201" s="16" t="n">
        <v>10</v>
      </c>
      <c r="I201" s="16" t="n">
        <v>1</v>
      </c>
    </row>
    <row r="202" customFormat="false" ht="14.25" hidden="false" customHeight="true" outlineLevel="0" collapsed="false">
      <c r="A202" s="39" t="n">
        <v>45779</v>
      </c>
      <c r="B202" s="39" t="s">
        <v>519</v>
      </c>
      <c r="C202" s="16" t="s">
        <v>603</v>
      </c>
      <c r="D202" s="16" t="s">
        <v>461</v>
      </c>
      <c r="E202" s="16" t="n">
        <v>3</v>
      </c>
      <c r="F202" s="16" t="n">
        <v>665</v>
      </c>
      <c r="G202" s="16" t="n">
        <v>0.039</v>
      </c>
      <c r="H202" s="16" t="n">
        <v>10</v>
      </c>
      <c r="I202" s="16" t="n">
        <v>1</v>
      </c>
    </row>
    <row r="203" customFormat="false" ht="14.25" hidden="false" customHeight="true" outlineLevel="0" collapsed="false">
      <c r="A203" s="39" t="n">
        <v>45779</v>
      </c>
      <c r="B203" s="39" t="s">
        <v>519</v>
      </c>
      <c r="C203" s="16" t="s">
        <v>603</v>
      </c>
      <c r="D203" s="16" t="s">
        <v>461</v>
      </c>
      <c r="E203" s="16" t="n">
        <v>3</v>
      </c>
      <c r="F203" s="16" t="n">
        <v>750</v>
      </c>
      <c r="G203" s="16" t="n">
        <v>0.038</v>
      </c>
      <c r="H203" s="16" t="n">
        <v>10</v>
      </c>
      <c r="I203" s="16" t="n">
        <v>1</v>
      </c>
    </row>
    <row r="204" customFormat="false" ht="14.25" hidden="false" customHeight="true" outlineLevel="0" collapsed="false">
      <c r="A204" s="39" t="n">
        <v>45779</v>
      </c>
      <c r="B204" s="39" t="s">
        <v>519</v>
      </c>
      <c r="C204" s="16" t="s">
        <v>603</v>
      </c>
      <c r="D204" s="16" t="s">
        <v>461</v>
      </c>
      <c r="E204" s="16" t="n">
        <v>4</v>
      </c>
      <c r="F204" s="16" t="n">
        <v>430</v>
      </c>
      <c r="G204" s="16" t="n">
        <v>0.054</v>
      </c>
      <c r="H204" s="16" t="n">
        <v>10</v>
      </c>
      <c r="I204" s="16" t="n">
        <v>1</v>
      </c>
    </row>
    <row r="205" customFormat="false" ht="14.25" hidden="false" customHeight="true" outlineLevel="0" collapsed="false">
      <c r="A205" s="39" t="n">
        <v>45779</v>
      </c>
      <c r="B205" s="39" t="s">
        <v>519</v>
      </c>
      <c r="C205" s="16" t="s">
        <v>603</v>
      </c>
      <c r="D205" s="16" t="s">
        <v>461</v>
      </c>
      <c r="E205" s="16" t="n">
        <v>4</v>
      </c>
      <c r="F205" s="16" t="n">
        <v>630</v>
      </c>
      <c r="G205" s="16" t="n">
        <v>0.04</v>
      </c>
      <c r="H205" s="16" t="n">
        <v>10</v>
      </c>
      <c r="I205" s="16" t="n">
        <v>1</v>
      </c>
    </row>
    <row r="206" customFormat="false" ht="14.25" hidden="false" customHeight="true" outlineLevel="0" collapsed="false">
      <c r="A206" s="39" t="n">
        <v>45779</v>
      </c>
      <c r="B206" s="39" t="s">
        <v>519</v>
      </c>
      <c r="C206" s="16" t="s">
        <v>603</v>
      </c>
      <c r="D206" s="16" t="s">
        <v>461</v>
      </c>
      <c r="E206" s="16" t="n">
        <v>4</v>
      </c>
      <c r="F206" s="16" t="n">
        <v>645</v>
      </c>
      <c r="G206" s="16" t="n">
        <v>0.04</v>
      </c>
      <c r="H206" s="16" t="n">
        <v>10</v>
      </c>
      <c r="I206" s="16" t="n">
        <v>1</v>
      </c>
    </row>
    <row r="207" customFormat="false" ht="14.25" hidden="false" customHeight="true" outlineLevel="0" collapsed="false">
      <c r="A207" s="39" t="n">
        <v>45779</v>
      </c>
      <c r="B207" s="39" t="s">
        <v>519</v>
      </c>
      <c r="C207" s="16" t="s">
        <v>603</v>
      </c>
      <c r="D207" s="16" t="s">
        <v>461</v>
      </c>
      <c r="E207" s="16" t="n">
        <v>4</v>
      </c>
      <c r="F207" s="16" t="n">
        <v>665</v>
      </c>
      <c r="G207" s="16" t="n">
        <v>0.04</v>
      </c>
      <c r="H207" s="16" t="n">
        <v>10</v>
      </c>
      <c r="I207" s="16" t="n">
        <v>1</v>
      </c>
    </row>
    <row r="208" customFormat="false" ht="14.25" hidden="false" customHeight="true" outlineLevel="0" collapsed="false">
      <c r="A208" s="39" t="n">
        <v>45779</v>
      </c>
      <c r="B208" s="39" t="s">
        <v>519</v>
      </c>
      <c r="C208" s="16" t="s">
        <v>603</v>
      </c>
      <c r="D208" s="16" t="s">
        <v>461</v>
      </c>
      <c r="E208" s="16" t="n">
        <v>4</v>
      </c>
      <c r="F208" s="16" t="n">
        <v>750</v>
      </c>
      <c r="G208" s="16" t="n">
        <v>0.041</v>
      </c>
      <c r="H208" s="16" t="n">
        <v>10</v>
      </c>
      <c r="I208" s="16" t="n">
        <v>1</v>
      </c>
    </row>
    <row r="209" customFormat="false" ht="14.25" hidden="false" customHeight="true" outlineLevel="0" collapsed="false">
      <c r="A209" s="39" t="n">
        <v>45779</v>
      </c>
      <c r="B209" s="39" t="s">
        <v>519</v>
      </c>
      <c r="C209" s="16" t="s">
        <v>603</v>
      </c>
      <c r="D209" s="16" t="s">
        <v>277</v>
      </c>
      <c r="E209" s="16" t="n">
        <v>1</v>
      </c>
      <c r="F209" s="16" t="n">
        <v>430</v>
      </c>
      <c r="G209" s="16" t="n">
        <v>0.072</v>
      </c>
      <c r="H209" s="16" t="n">
        <v>10</v>
      </c>
      <c r="I209" s="16" t="n">
        <v>1</v>
      </c>
    </row>
    <row r="210" customFormat="false" ht="14.25" hidden="false" customHeight="true" outlineLevel="0" collapsed="false">
      <c r="A210" s="39" t="n">
        <v>45779</v>
      </c>
      <c r="B210" s="39" t="s">
        <v>519</v>
      </c>
      <c r="C210" s="16" t="s">
        <v>603</v>
      </c>
      <c r="D210" s="16" t="s">
        <v>277</v>
      </c>
      <c r="E210" s="16" t="n">
        <v>1</v>
      </c>
      <c r="F210" s="16" t="n">
        <v>630</v>
      </c>
      <c r="G210" s="16" t="n">
        <v>0.047</v>
      </c>
      <c r="H210" s="16" t="n">
        <v>10</v>
      </c>
      <c r="I210" s="16" t="n">
        <v>1</v>
      </c>
    </row>
    <row r="211" customFormat="false" ht="14.25" hidden="false" customHeight="true" outlineLevel="0" collapsed="false">
      <c r="A211" s="39" t="n">
        <v>45779</v>
      </c>
      <c r="B211" s="39" t="s">
        <v>519</v>
      </c>
      <c r="C211" s="16" t="s">
        <v>603</v>
      </c>
      <c r="D211" s="16" t="s">
        <v>277</v>
      </c>
      <c r="E211" s="16" t="n">
        <v>1</v>
      </c>
      <c r="F211" s="16" t="n">
        <v>645</v>
      </c>
      <c r="G211" s="16" t="n">
        <v>0.047</v>
      </c>
      <c r="H211" s="16" t="n">
        <v>10</v>
      </c>
      <c r="I211" s="16" t="n">
        <v>1</v>
      </c>
    </row>
    <row r="212" customFormat="false" ht="14.25" hidden="false" customHeight="true" outlineLevel="0" collapsed="false">
      <c r="A212" s="39" t="n">
        <v>45779</v>
      </c>
      <c r="B212" s="39" t="s">
        <v>519</v>
      </c>
      <c r="C212" s="16" t="s">
        <v>603</v>
      </c>
      <c r="D212" s="16" t="s">
        <v>277</v>
      </c>
      <c r="E212" s="16" t="n">
        <v>1</v>
      </c>
      <c r="F212" s="16" t="n">
        <v>665</v>
      </c>
      <c r="G212" s="16" t="n">
        <v>0.049</v>
      </c>
      <c r="H212" s="16" t="n">
        <v>10</v>
      </c>
      <c r="I212" s="16" t="n">
        <v>1</v>
      </c>
    </row>
    <row r="213" customFormat="false" ht="14.25" hidden="false" customHeight="true" outlineLevel="0" collapsed="false">
      <c r="A213" s="39" t="n">
        <v>45779</v>
      </c>
      <c r="B213" s="39" t="s">
        <v>519</v>
      </c>
      <c r="C213" s="16" t="s">
        <v>603</v>
      </c>
      <c r="D213" s="16" t="s">
        <v>277</v>
      </c>
      <c r="E213" s="16" t="n">
        <v>1</v>
      </c>
      <c r="F213" s="16" t="n">
        <v>750</v>
      </c>
      <c r="G213" s="16" t="n">
        <v>0.046</v>
      </c>
      <c r="H213" s="16" t="n">
        <v>10</v>
      </c>
      <c r="I213" s="16" t="n">
        <v>1</v>
      </c>
    </row>
    <row r="214" customFormat="false" ht="14.25" hidden="false" customHeight="true" outlineLevel="0" collapsed="false">
      <c r="A214" s="39" t="n">
        <v>45779</v>
      </c>
      <c r="B214" s="39" t="s">
        <v>519</v>
      </c>
      <c r="C214" s="16" t="s">
        <v>603</v>
      </c>
      <c r="D214" s="16" t="s">
        <v>277</v>
      </c>
      <c r="E214" s="16" t="n">
        <v>2</v>
      </c>
      <c r="F214" s="16" t="n">
        <v>430</v>
      </c>
      <c r="G214" s="16" t="n">
        <v>0.056</v>
      </c>
      <c r="H214" s="16" t="n">
        <v>10</v>
      </c>
      <c r="I214" s="16" t="n">
        <v>1</v>
      </c>
    </row>
    <row r="215" customFormat="false" ht="14.25" hidden="false" customHeight="true" outlineLevel="0" collapsed="false">
      <c r="A215" s="39" t="n">
        <v>45779</v>
      </c>
      <c r="B215" s="39" t="s">
        <v>519</v>
      </c>
      <c r="C215" s="16" t="s">
        <v>603</v>
      </c>
      <c r="D215" s="16" t="s">
        <v>277</v>
      </c>
      <c r="E215" s="16" t="n">
        <v>2</v>
      </c>
      <c r="F215" s="16" t="n">
        <v>630</v>
      </c>
      <c r="G215" s="16" t="n">
        <v>0.036</v>
      </c>
      <c r="H215" s="16" t="n">
        <v>10</v>
      </c>
      <c r="I215" s="16" t="n">
        <v>1</v>
      </c>
    </row>
    <row r="216" customFormat="false" ht="14.25" hidden="false" customHeight="true" outlineLevel="0" collapsed="false">
      <c r="A216" s="39" t="n">
        <v>45779</v>
      </c>
      <c r="B216" s="39" t="s">
        <v>519</v>
      </c>
      <c r="C216" s="16" t="s">
        <v>603</v>
      </c>
      <c r="D216" s="16" t="s">
        <v>277</v>
      </c>
      <c r="E216" s="16" t="n">
        <v>2</v>
      </c>
      <c r="F216" s="16" t="n">
        <v>645</v>
      </c>
      <c r="G216" s="16" t="n">
        <v>0.036</v>
      </c>
      <c r="H216" s="16" t="n">
        <v>10</v>
      </c>
      <c r="I216" s="16" t="n">
        <v>1</v>
      </c>
    </row>
    <row r="217" customFormat="false" ht="14.25" hidden="false" customHeight="true" outlineLevel="0" collapsed="false">
      <c r="A217" s="39" t="n">
        <v>45779</v>
      </c>
      <c r="B217" s="39" t="s">
        <v>519</v>
      </c>
      <c r="C217" s="16" t="s">
        <v>603</v>
      </c>
      <c r="D217" s="16" t="s">
        <v>277</v>
      </c>
      <c r="E217" s="16" t="n">
        <v>2</v>
      </c>
      <c r="F217" s="16" t="n">
        <v>665</v>
      </c>
      <c r="G217" s="16" t="n">
        <v>0.038</v>
      </c>
      <c r="H217" s="16" t="n">
        <v>10</v>
      </c>
      <c r="I217" s="16" t="n">
        <v>1</v>
      </c>
    </row>
    <row r="218" customFormat="false" ht="14.25" hidden="false" customHeight="true" outlineLevel="0" collapsed="false">
      <c r="A218" s="39" t="n">
        <v>45779</v>
      </c>
      <c r="B218" s="39" t="s">
        <v>519</v>
      </c>
      <c r="C218" s="16" t="s">
        <v>603</v>
      </c>
      <c r="D218" s="16" t="s">
        <v>277</v>
      </c>
      <c r="E218" s="16" t="n">
        <v>2</v>
      </c>
      <c r="F218" s="16" t="n">
        <v>750</v>
      </c>
      <c r="G218" s="16" t="n">
        <v>0.036</v>
      </c>
      <c r="H218" s="16" t="n">
        <v>10</v>
      </c>
      <c r="I218" s="16" t="n">
        <v>1</v>
      </c>
    </row>
    <row r="219" customFormat="false" ht="14.25" hidden="false" customHeight="true" outlineLevel="0" collapsed="false">
      <c r="A219" s="39" t="n">
        <v>45779</v>
      </c>
      <c r="B219" s="39" t="s">
        <v>519</v>
      </c>
      <c r="C219" s="16" t="s">
        <v>603</v>
      </c>
      <c r="D219" s="16" t="s">
        <v>277</v>
      </c>
      <c r="E219" s="16" t="n">
        <v>3</v>
      </c>
      <c r="F219" s="16" t="n">
        <v>430</v>
      </c>
      <c r="G219" s="16" t="n">
        <v>0.051</v>
      </c>
      <c r="H219" s="16" t="n">
        <v>10</v>
      </c>
      <c r="I219" s="16" t="n">
        <v>1</v>
      </c>
    </row>
    <row r="220" customFormat="false" ht="14.25" hidden="false" customHeight="true" outlineLevel="0" collapsed="false">
      <c r="A220" s="39" t="n">
        <v>45779</v>
      </c>
      <c r="B220" s="39" t="s">
        <v>519</v>
      </c>
      <c r="C220" s="16" t="s">
        <v>603</v>
      </c>
      <c r="D220" s="16" t="s">
        <v>277</v>
      </c>
      <c r="E220" s="16" t="n">
        <v>3</v>
      </c>
      <c r="F220" s="16" t="n">
        <v>630</v>
      </c>
      <c r="G220" s="16" t="n">
        <v>0.039</v>
      </c>
      <c r="H220" s="16" t="n">
        <v>10</v>
      </c>
      <c r="I220" s="16" t="n">
        <v>1</v>
      </c>
    </row>
    <row r="221" customFormat="false" ht="14.25" hidden="false" customHeight="true" outlineLevel="0" collapsed="false">
      <c r="A221" s="39" t="n">
        <v>45779</v>
      </c>
      <c r="B221" s="39" t="s">
        <v>519</v>
      </c>
      <c r="C221" s="16" t="s">
        <v>603</v>
      </c>
      <c r="D221" s="16" t="s">
        <v>277</v>
      </c>
      <c r="E221" s="16" t="n">
        <v>3</v>
      </c>
      <c r="F221" s="16" t="n">
        <v>645</v>
      </c>
      <c r="G221" s="16" t="n">
        <v>0.039</v>
      </c>
      <c r="H221" s="16" t="n">
        <v>10</v>
      </c>
      <c r="I221" s="16" t="n">
        <v>1</v>
      </c>
    </row>
    <row r="222" customFormat="false" ht="14.25" hidden="false" customHeight="true" outlineLevel="0" collapsed="false">
      <c r="A222" s="39" t="n">
        <v>45779</v>
      </c>
      <c r="B222" s="39" t="s">
        <v>519</v>
      </c>
      <c r="C222" s="16" t="s">
        <v>603</v>
      </c>
      <c r="D222" s="16" t="s">
        <v>277</v>
      </c>
      <c r="E222" s="16" t="n">
        <v>3</v>
      </c>
      <c r="F222" s="16" t="n">
        <v>665</v>
      </c>
      <c r="G222" s="16" t="n">
        <v>0.039</v>
      </c>
      <c r="H222" s="16" t="n">
        <v>10</v>
      </c>
      <c r="I222" s="16" t="n">
        <v>1</v>
      </c>
    </row>
    <row r="223" customFormat="false" ht="14.25" hidden="false" customHeight="true" outlineLevel="0" collapsed="false">
      <c r="A223" s="39" t="n">
        <v>45779</v>
      </c>
      <c r="B223" s="39" t="s">
        <v>519</v>
      </c>
      <c r="C223" s="16" t="s">
        <v>603</v>
      </c>
      <c r="D223" s="16" t="s">
        <v>277</v>
      </c>
      <c r="E223" s="16" t="n">
        <v>3</v>
      </c>
      <c r="F223" s="16" t="n">
        <v>750</v>
      </c>
      <c r="G223" s="16" t="n">
        <v>0.038</v>
      </c>
      <c r="H223" s="16" t="n">
        <v>10</v>
      </c>
      <c r="I223" s="16" t="n">
        <v>1</v>
      </c>
    </row>
    <row r="224" customFormat="false" ht="14.25" hidden="false" customHeight="true" outlineLevel="0" collapsed="false">
      <c r="A224" s="39" t="n">
        <v>45779</v>
      </c>
      <c r="B224" s="39" t="s">
        <v>519</v>
      </c>
      <c r="C224" s="16" t="s">
        <v>603</v>
      </c>
      <c r="D224" s="16" t="s">
        <v>277</v>
      </c>
      <c r="E224" s="16" t="n">
        <v>4</v>
      </c>
      <c r="F224" s="16" t="n">
        <v>430</v>
      </c>
      <c r="G224" s="16" t="n">
        <v>0.06</v>
      </c>
      <c r="H224" s="16" t="n">
        <v>10</v>
      </c>
      <c r="I224" s="16" t="n">
        <v>1</v>
      </c>
    </row>
    <row r="225" customFormat="false" ht="14.25" hidden="false" customHeight="true" outlineLevel="0" collapsed="false">
      <c r="A225" s="39" t="n">
        <v>45779</v>
      </c>
      <c r="B225" s="39" t="s">
        <v>519</v>
      </c>
      <c r="C225" s="16" t="s">
        <v>603</v>
      </c>
      <c r="D225" s="16" t="s">
        <v>277</v>
      </c>
      <c r="E225" s="16" t="n">
        <v>4</v>
      </c>
      <c r="F225" s="16" t="n">
        <v>630</v>
      </c>
      <c r="G225" s="16" t="n">
        <v>0.046</v>
      </c>
      <c r="H225" s="16" t="n">
        <v>10</v>
      </c>
      <c r="I225" s="16" t="n">
        <v>1</v>
      </c>
    </row>
    <row r="226" customFormat="false" ht="14.25" hidden="false" customHeight="true" outlineLevel="0" collapsed="false">
      <c r="A226" s="39" t="n">
        <v>45779</v>
      </c>
      <c r="B226" s="39" t="s">
        <v>519</v>
      </c>
      <c r="C226" s="16" t="s">
        <v>603</v>
      </c>
      <c r="D226" s="16" t="s">
        <v>277</v>
      </c>
      <c r="E226" s="16" t="n">
        <v>4</v>
      </c>
      <c r="F226" s="16" t="n">
        <v>645</v>
      </c>
      <c r="G226" s="16" t="n">
        <v>0.046</v>
      </c>
      <c r="H226" s="16" t="n">
        <v>10</v>
      </c>
      <c r="I226" s="16" t="n">
        <v>1</v>
      </c>
    </row>
    <row r="227" customFormat="false" ht="14.25" hidden="false" customHeight="true" outlineLevel="0" collapsed="false">
      <c r="A227" s="39" t="n">
        <v>45779</v>
      </c>
      <c r="B227" s="39" t="s">
        <v>519</v>
      </c>
      <c r="C227" s="16" t="s">
        <v>603</v>
      </c>
      <c r="D227" s="16" t="s">
        <v>277</v>
      </c>
      <c r="E227" s="16" t="n">
        <v>4</v>
      </c>
      <c r="F227" s="16" t="n">
        <v>665</v>
      </c>
      <c r="G227" s="16" t="n">
        <v>0.047</v>
      </c>
      <c r="H227" s="16" t="n">
        <v>10</v>
      </c>
      <c r="I227" s="16" t="n">
        <v>1</v>
      </c>
    </row>
    <row r="228" customFormat="false" ht="14.25" hidden="false" customHeight="true" outlineLevel="0" collapsed="false">
      <c r="A228" s="39" t="n">
        <v>45779</v>
      </c>
      <c r="B228" s="39" t="s">
        <v>519</v>
      </c>
      <c r="C228" s="16" t="s">
        <v>603</v>
      </c>
      <c r="D228" s="16" t="s">
        <v>277</v>
      </c>
      <c r="E228" s="16" t="n">
        <v>4</v>
      </c>
      <c r="F228" s="16" t="n">
        <v>750</v>
      </c>
      <c r="G228" s="16" t="n">
        <v>0.045</v>
      </c>
      <c r="H228" s="16" t="n">
        <v>10</v>
      </c>
      <c r="I228" s="16" t="n">
        <v>1</v>
      </c>
    </row>
  </sheetData>
  <mergeCells count="34">
    <mergeCell ref="P4:P7"/>
    <mergeCell ref="Q4:Q7"/>
    <mergeCell ref="R4:R15"/>
    <mergeCell ref="P8:P11"/>
    <mergeCell ref="Q8:Q11"/>
    <mergeCell ref="P12:P15"/>
    <mergeCell ref="Q12:Q15"/>
    <mergeCell ref="P16:P19"/>
    <mergeCell ref="Q16:Q19"/>
    <mergeCell ref="R16:R27"/>
    <mergeCell ref="P20:P23"/>
    <mergeCell ref="Q20:Q23"/>
    <mergeCell ref="P24:P27"/>
    <mergeCell ref="Q24:Q27"/>
    <mergeCell ref="P28:P31"/>
    <mergeCell ref="Q28:Q31"/>
    <mergeCell ref="R28:R39"/>
    <mergeCell ref="P32:P35"/>
    <mergeCell ref="Q32:Q35"/>
    <mergeCell ref="P36:P39"/>
    <mergeCell ref="Q36:Q39"/>
    <mergeCell ref="P40:P42"/>
    <mergeCell ref="Q40:Q42"/>
    <mergeCell ref="R40:R48"/>
    <mergeCell ref="P43:P45"/>
    <mergeCell ref="Q43:Q45"/>
    <mergeCell ref="O46:Q48"/>
    <mergeCell ref="P49:P51"/>
    <mergeCell ref="Q49:Q51"/>
    <mergeCell ref="R49:R57"/>
    <mergeCell ref="P52:P54"/>
    <mergeCell ref="Q52:Q54"/>
    <mergeCell ref="P55:P57"/>
    <mergeCell ref="Q55:Q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4A2"/>
    <pageSetUpPr fitToPage="false"/>
  </sheetPr>
  <dimension ref="A1:B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0.6796875" defaultRowHeight="14.25" zeroHeight="false" outlineLevelRow="0" outlineLevelCol="0"/>
  <cols>
    <col collapsed="false" customWidth="true" hidden="false" outlineLevel="0" max="1" min="1" style="1" width="17.33"/>
    <col collapsed="false" customWidth="true" hidden="false" outlineLevel="0" max="2" min="2" style="66" width="17.44"/>
  </cols>
  <sheetData>
    <row r="1" customFormat="false" ht="14.25" hidden="false" customHeight="true" outlineLevel="0" collapsed="false">
      <c r="A1" s="55" t="s">
        <v>371</v>
      </c>
      <c r="B1" s="55" t="s">
        <v>188</v>
      </c>
    </row>
    <row r="2" customFormat="false" ht="14.25" hidden="false" customHeight="true" outlineLevel="0" collapsed="false">
      <c r="A2" s="16" t="s">
        <v>607</v>
      </c>
      <c r="B2" s="65" t="n">
        <v>10</v>
      </c>
    </row>
    <row r="3" customFormat="false" ht="14.25" hidden="false" customHeight="true" outlineLevel="0" collapsed="false">
      <c r="A3" s="16" t="s">
        <v>608</v>
      </c>
      <c r="B3" s="65" t="n">
        <v>10</v>
      </c>
    </row>
    <row r="4" customFormat="false" ht="14.25" hidden="false" customHeight="true" outlineLevel="0" collapsed="false">
      <c r="A4" s="16" t="s">
        <v>291</v>
      </c>
      <c r="B4" s="65" t="n">
        <v>10</v>
      </c>
    </row>
    <row r="5" customFormat="false" ht="14.25" hidden="false" customHeight="true" outlineLevel="0" collapsed="false">
      <c r="A5" s="16" t="s">
        <v>238</v>
      </c>
      <c r="B5" s="65" t="n">
        <v>10</v>
      </c>
    </row>
    <row r="6" customFormat="false" ht="14.25" hidden="false" customHeight="true" outlineLevel="0" collapsed="false">
      <c r="A6" s="16" t="s">
        <v>260</v>
      </c>
      <c r="B6" s="65" t="n">
        <v>10</v>
      </c>
    </row>
    <row r="7" customFormat="false" ht="14.25" hidden="false" customHeight="true" outlineLevel="0" collapsed="false">
      <c r="A7" s="16" t="s">
        <v>609</v>
      </c>
      <c r="B7" s="65" t="n">
        <v>10</v>
      </c>
    </row>
    <row r="8" customFormat="false" ht="14.25" hidden="false" customHeight="true" outlineLevel="0" collapsed="false">
      <c r="A8" s="16" t="s">
        <v>215</v>
      </c>
      <c r="B8" s="65" t="n">
        <v>10</v>
      </c>
    </row>
    <row r="9" customFormat="false" ht="14.25" hidden="false" customHeight="true" outlineLevel="0" collapsed="false">
      <c r="A9" s="16" t="s">
        <v>610</v>
      </c>
      <c r="B9" s="65" t="n">
        <v>10</v>
      </c>
    </row>
    <row r="10" customFormat="false" ht="14.25" hidden="false" customHeight="true" outlineLevel="0" collapsed="false">
      <c r="A10" s="16" t="s">
        <v>611</v>
      </c>
      <c r="B10" s="65" t="n">
        <v>10</v>
      </c>
    </row>
    <row r="11" customFormat="false" ht="14.25" hidden="false" customHeight="true" outlineLevel="0" collapsed="false">
      <c r="A11" s="16" t="s">
        <v>612</v>
      </c>
      <c r="B11" s="65" t="n">
        <v>10</v>
      </c>
    </row>
    <row r="12" customFormat="false" ht="14.25" hidden="false" customHeight="true" outlineLevel="0" collapsed="false">
      <c r="A12" s="16" t="s">
        <v>256</v>
      </c>
      <c r="B12" s="65" t="n">
        <v>10</v>
      </c>
    </row>
    <row r="13" customFormat="false" ht="14.25" hidden="false" customHeight="true" outlineLevel="0" collapsed="false">
      <c r="A13" s="16" t="s">
        <v>613</v>
      </c>
      <c r="B13" s="65" t="n">
        <v>10</v>
      </c>
    </row>
    <row r="14" customFormat="false" ht="14.25" hidden="false" customHeight="true" outlineLevel="0" collapsed="false">
      <c r="A14" s="16" t="s">
        <v>250</v>
      </c>
      <c r="B14" s="65" t="n">
        <v>10</v>
      </c>
    </row>
    <row r="15" customFormat="false" ht="14.25" hidden="false" customHeight="true" outlineLevel="0" collapsed="false">
      <c r="A15" s="16" t="s">
        <v>614</v>
      </c>
      <c r="B15" s="65" t="n">
        <v>10</v>
      </c>
    </row>
    <row r="16" customFormat="false" ht="14.25" hidden="false" customHeight="true" outlineLevel="0" collapsed="false">
      <c r="A16" s="16" t="s">
        <v>615</v>
      </c>
      <c r="B16" s="65" t="n">
        <v>10</v>
      </c>
    </row>
    <row r="17" customFormat="false" ht="14.25" hidden="false" customHeight="true" outlineLevel="0" collapsed="false">
      <c r="A17" s="16" t="s">
        <v>616</v>
      </c>
      <c r="B17" s="65" t="n">
        <v>9</v>
      </c>
    </row>
    <row r="18" customFormat="false" ht="14.25" hidden="false" customHeight="true" outlineLevel="0" collapsed="false">
      <c r="A18" s="16" t="s">
        <v>617</v>
      </c>
      <c r="B18" s="65" t="n">
        <v>9</v>
      </c>
    </row>
    <row r="19" customFormat="false" ht="14.25" hidden="false" customHeight="true" outlineLevel="0" collapsed="false">
      <c r="A19" s="16" t="s">
        <v>618</v>
      </c>
      <c r="B19" s="65" t="n">
        <v>9</v>
      </c>
    </row>
    <row r="20" customFormat="false" ht="14.25" hidden="false" customHeight="true" outlineLevel="0" collapsed="false">
      <c r="A20" s="16" t="s">
        <v>619</v>
      </c>
      <c r="B20" s="65" t="n">
        <v>9</v>
      </c>
    </row>
    <row r="21" customFormat="false" ht="14.25" hidden="false" customHeight="true" outlineLevel="0" collapsed="false">
      <c r="A21" s="16" t="s">
        <v>620</v>
      </c>
      <c r="B21" s="65" t="n">
        <v>9</v>
      </c>
    </row>
    <row r="22" customFormat="false" ht="14.25" hidden="false" customHeight="true" outlineLevel="0" collapsed="false">
      <c r="A22" s="16" t="s">
        <v>621</v>
      </c>
      <c r="B22" s="65" t="n">
        <v>9</v>
      </c>
    </row>
    <row r="23" customFormat="false" ht="14.25" hidden="false" customHeight="true" outlineLevel="0" collapsed="false">
      <c r="A23" s="16" t="s">
        <v>247</v>
      </c>
      <c r="B23" s="65" t="n">
        <v>9</v>
      </c>
    </row>
    <row r="24" customFormat="false" ht="14.25" hidden="false" customHeight="true" outlineLevel="0" collapsed="false">
      <c r="A24" s="16" t="s">
        <v>270</v>
      </c>
      <c r="B24" s="65" t="n">
        <v>9</v>
      </c>
    </row>
    <row r="25" customFormat="false" ht="14.25" hidden="false" customHeight="true" outlineLevel="0" collapsed="false">
      <c r="A25" s="16" t="s">
        <v>342</v>
      </c>
      <c r="B25" s="65" t="n">
        <v>9</v>
      </c>
    </row>
    <row r="26" customFormat="false" ht="14.25" hidden="false" customHeight="true" outlineLevel="0" collapsed="false">
      <c r="A26" s="16" t="s">
        <v>622</v>
      </c>
      <c r="B26" s="65" t="n">
        <v>9</v>
      </c>
    </row>
    <row r="27" customFormat="false" ht="14.25" hidden="false" customHeight="true" outlineLevel="0" collapsed="false">
      <c r="A27" s="16" t="s">
        <v>623</v>
      </c>
      <c r="B27" s="65" t="n">
        <v>9</v>
      </c>
    </row>
    <row r="28" customFormat="false" ht="14.25" hidden="false" customHeight="true" outlineLevel="0" collapsed="false">
      <c r="A28" s="16" t="s">
        <v>624</v>
      </c>
      <c r="B28" s="65" t="n">
        <v>8</v>
      </c>
    </row>
    <row r="29" customFormat="false" ht="14.25" hidden="false" customHeight="true" outlineLevel="0" collapsed="false">
      <c r="A29" s="16" t="s">
        <v>625</v>
      </c>
      <c r="B29" s="65" t="n">
        <v>8</v>
      </c>
    </row>
    <row r="30" customFormat="false" ht="14.25" hidden="false" customHeight="true" outlineLevel="0" collapsed="false">
      <c r="A30" s="16" t="s">
        <v>331</v>
      </c>
      <c r="B30" s="65" t="n">
        <v>8</v>
      </c>
    </row>
    <row r="31" customFormat="false" ht="14.25" hidden="false" customHeight="true" outlineLevel="0" collapsed="false">
      <c r="A31" s="16" t="s">
        <v>324</v>
      </c>
      <c r="B31" s="65" t="n">
        <v>8</v>
      </c>
    </row>
    <row r="32" customFormat="false" ht="14.25" hidden="false" customHeight="true" outlineLevel="0" collapsed="false">
      <c r="A32" s="16" t="s">
        <v>195</v>
      </c>
      <c r="B32" s="65" t="n">
        <v>8</v>
      </c>
    </row>
    <row r="33" customFormat="false" ht="14.25" hidden="false" customHeight="true" outlineLevel="0" collapsed="false">
      <c r="A33" s="16" t="s">
        <v>626</v>
      </c>
      <c r="B33" s="65" t="n">
        <v>8</v>
      </c>
    </row>
    <row r="34" customFormat="false" ht="14.25" hidden="false" customHeight="true" outlineLevel="0" collapsed="false">
      <c r="A34" s="16" t="s">
        <v>627</v>
      </c>
      <c r="B34" s="65" t="n">
        <v>8</v>
      </c>
    </row>
    <row r="35" customFormat="false" ht="14.25" hidden="false" customHeight="true" outlineLevel="0" collapsed="false">
      <c r="A35" s="16" t="s">
        <v>628</v>
      </c>
      <c r="B35" s="65" t="n">
        <v>8</v>
      </c>
    </row>
    <row r="36" customFormat="false" ht="14.25" hidden="false" customHeight="true" outlineLevel="0" collapsed="false">
      <c r="A36" s="16" t="s">
        <v>308</v>
      </c>
      <c r="B36" s="65" t="n">
        <v>8</v>
      </c>
    </row>
    <row r="37" customFormat="false" ht="14.25" hidden="false" customHeight="true" outlineLevel="0" collapsed="false">
      <c r="A37" s="16" t="s">
        <v>629</v>
      </c>
      <c r="B37" s="65" t="n">
        <v>8</v>
      </c>
    </row>
    <row r="38" customFormat="false" ht="14.25" hidden="false" customHeight="true" outlineLevel="0" collapsed="false">
      <c r="A38" s="16" t="s">
        <v>228</v>
      </c>
      <c r="B38" s="65" t="n">
        <v>8</v>
      </c>
    </row>
    <row r="39" customFormat="false" ht="14.25" hidden="false" customHeight="true" outlineLevel="0" collapsed="false">
      <c r="A39" s="16" t="s">
        <v>205</v>
      </c>
      <c r="B39" s="65" t="n">
        <v>8</v>
      </c>
    </row>
    <row r="40" customFormat="false" ht="14.25" hidden="false" customHeight="true" outlineLevel="0" collapsed="false">
      <c r="A40" s="16" t="s">
        <v>209</v>
      </c>
      <c r="B40" s="65" t="n">
        <v>7</v>
      </c>
    </row>
    <row r="41" customFormat="false" ht="14.25" hidden="false" customHeight="true" outlineLevel="0" collapsed="false">
      <c r="A41" s="16" t="s">
        <v>630</v>
      </c>
      <c r="B41" s="65" t="n">
        <v>7</v>
      </c>
    </row>
    <row r="42" customFormat="false" ht="14.25" hidden="false" customHeight="true" outlineLevel="0" collapsed="false">
      <c r="A42" s="16" t="s">
        <v>243</v>
      </c>
      <c r="B42" s="65" t="n">
        <v>7</v>
      </c>
    </row>
    <row r="43" customFormat="false" ht="14.25" hidden="false" customHeight="true" outlineLevel="0" collapsed="false">
      <c r="A43" s="16" t="s">
        <v>262</v>
      </c>
      <c r="B43" s="65" t="n">
        <v>7</v>
      </c>
    </row>
    <row r="44" customFormat="false" ht="14.25" hidden="false" customHeight="true" outlineLevel="0" collapsed="false">
      <c r="A44" s="16" t="s">
        <v>631</v>
      </c>
      <c r="B44" s="65" t="n">
        <v>7</v>
      </c>
    </row>
    <row r="45" customFormat="false" ht="14.25" hidden="false" customHeight="true" outlineLevel="0" collapsed="false">
      <c r="A45" s="16" t="s">
        <v>299</v>
      </c>
      <c r="B45" s="65" t="n">
        <v>7</v>
      </c>
    </row>
    <row r="46" customFormat="false" ht="14.25" hidden="false" customHeight="true" outlineLevel="0" collapsed="false">
      <c r="A46" s="16" t="s">
        <v>632</v>
      </c>
      <c r="B46" s="65" t="n">
        <v>7</v>
      </c>
    </row>
    <row r="47" customFormat="false" ht="14.25" hidden="false" customHeight="true" outlineLevel="0" collapsed="false">
      <c r="A47" s="16" t="s">
        <v>340</v>
      </c>
      <c r="B47" s="65" t="n">
        <v>7</v>
      </c>
    </row>
    <row r="48" customFormat="false" ht="14.25" hidden="false" customHeight="true" outlineLevel="0" collapsed="false">
      <c r="A48" s="16" t="s">
        <v>633</v>
      </c>
      <c r="B48" s="65" t="n">
        <v>7</v>
      </c>
    </row>
    <row r="49" customFormat="false" ht="14.25" hidden="false" customHeight="true" outlineLevel="0" collapsed="false">
      <c r="A49" s="16" t="s">
        <v>326</v>
      </c>
      <c r="B49" s="65" t="n">
        <v>7</v>
      </c>
    </row>
    <row r="50" customFormat="false" ht="14.25" hidden="false" customHeight="true" outlineLevel="0" collapsed="false">
      <c r="A50" s="16" t="s">
        <v>223</v>
      </c>
      <c r="B50" s="65" t="n">
        <v>7</v>
      </c>
    </row>
    <row r="51" customFormat="false" ht="14.25" hidden="false" customHeight="true" outlineLevel="0" collapsed="false">
      <c r="A51" s="16" t="s">
        <v>226</v>
      </c>
      <c r="B51" s="65" t="n">
        <v>7</v>
      </c>
    </row>
    <row r="52" customFormat="false" ht="14.25" hidden="false" customHeight="true" outlineLevel="0" collapsed="false">
      <c r="A52" s="16" t="s">
        <v>199</v>
      </c>
      <c r="B52" s="65" t="n">
        <v>7</v>
      </c>
    </row>
    <row r="53" customFormat="false" ht="14.25" hidden="false" customHeight="true" outlineLevel="0" collapsed="false">
      <c r="A53" s="16" t="s">
        <v>634</v>
      </c>
      <c r="B53" s="65" t="n">
        <v>7</v>
      </c>
    </row>
    <row r="54" customFormat="false" ht="14.25" hidden="false" customHeight="true" outlineLevel="0" collapsed="false">
      <c r="A54" s="16" t="s">
        <v>635</v>
      </c>
      <c r="B54" s="65" t="n">
        <v>7</v>
      </c>
    </row>
    <row r="55" customFormat="false" ht="14.25" hidden="false" customHeight="true" outlineLevel="0" collapsed="false">
      <c r="A55" s="16" t="s">
        <v>316</v>
      </c>
      <c r="B55" s="65" t="n">
        <v>7</v>
      </c>
    </row>
    <row r="56" customFormat="false" ht="14.25" hidden="false" customHeight="true" outlineLevel="0" collapsed="false">
      <c r="A56" s="16" t="s">
        <v>636</v>
      </c>
      <c r="B56" s="65" t="n">
        <v>7</v>
      </c>
    </row>
    <row r="57" customFormat="false" ht="14.25" hidden="false" customHeight="true" outlineLevel="0" collapsed="false">
      <c r="A57" s="16" t="s">
        <v>637</v>
      </c>
      <c r="B57" s="65" t="n">
        <v>6</v>
      </c>
    </row>
    <row r="58" customFormat="false" ht="14.25" hidden="false" customHeight="true" outlineLevel="0" collapsed="false">
      <c r="A58" s="16" t="s">
        <v>638</v>
      </c>
      <c r="B58" s="65" t="n">
        <v>6</v>
      </c>
    </row>
    <row r="59" customFormat="false" ht="14.25" hidden="false" customHeight="true" outlineLevel="0" collapsed="false">
      <c r="A59" s="16" t="s">
        <v>273</v>
      </c>
      <c r="B59" s="65" t="n">
        <v>6</v>
      </c>
    </row>
    <row r="60" customFormat="false" ht="14.25" hidden="false" customHeight="true" outlineLevel="0" collapsed="false">
      <c r="A60" s="16" t="s">
        <v>220</v>
      </c>
      <c r="B60" s="65" t="n">
        <v>6</v>
      </c>
    </row>
    <row r="61" customFormat="false" ht="14.25" hidden="false" customHeight="true" outlineLevel="0" collapsed="false">
      <c r="A61" s="16" t="s">
        <v>252</v>
      </c>
      <c r="B61" s="65" t="n">
        <v>6</v>
      </c>
    </row>
    <row r="62" customFormat="false" ht="14.25" hidden="false" customHeight="true" outlineLevel="0" collapsed="false">
      <c r="A62" s="16" t="s">
        <v>639</v>
      </c>
      <c r="B62" s="65" t="n">
        <v>6</v>
      </c>
    </row>
    <row r="63" customFormat="false" ht="14.25" hidden="false" customHeight="true" outlineLevel="0" collapsed="false">
      <c r="A63" s="16" t="s">
        <v>640</v>
      </c>
      <c r="B63" s="65" t="n">
        <v>6</v>
      </c>
    </row>
    <row r="64" customFormat="false" ht="14.25" hidden="false" customHeight="true" outlineLevel="0" collapsed="false">
      <c r="A64" s="16" t="s">
        <v>641</v>
      </c>
      <c r="B64" s="65" t="n">
        <v>6</v>
      </c>
    </row>
    <row r="65" customFormat="false" ht="14.25" hidden="false" customHeight="true" outlineLevel="0" collapsed="false">
      <c r="A65" s="16" t="s">
        <v>642</v>
      </c>
      <c r="B65" s="65" t="n">
        <v>6</v>
      </c>
    </row>
    <row r="66" customFormat="false" ht="14.25" hidden="false" customHeight="true" outlineLevel="0" collapsed="false">
      <c r="A66" s="16" t="s">
        <v>279</v>
      </c>
      <c r="B66" s="65" t="n">
        <v>6</v>
      </c>
    </row>
    <row r="67" customFormat="false" ht="14.25" hidden="false" customHeight="true" outlineLevel="0" collapsed="false">
      <c r="A67" s="16" t="s">
        <v>643</v>
      </c>
      <c r="B67" s="65" t="n">
        <v>5</v>
      </c>
    </row>
    <row r="68" customFormat="false" ht="14.25" hidden="false" customHeight="true" outlineLevel="0" collapsed="false">
      <c r="A68" s="16" t="s">
        <v>320</v>
      </c>
      <c r="B68" s="65" t="n">
        <v>5</v>
      </c>
    </row>
    <row r="69" customFormat="false" ht="14.25" hidden="false" customHeight="true" outlineLevel="0" collapsed="false">
      <c r="A69" s="16" t="s">
        <v>235</v>
      </c>
      <c r="B69" s="65" t="n">
        <v>5</v>
      </c>
    </row>
    <row r="70" customFormat="false" ht="14.25" hidden="false" customHeight="true" outlineLevel="0" collapsed="false">
      <c r="A70" s="16" t="s">
        <v>644</v>
      </c>
      <c r="B70" s="65" t="n">
        <v>5</v>
      </c>
    </row>
    <row r="71" customFormat="false" ht="14.25" hidden="false" customHeight="true" outlineLevel="0" collapsed="false">
      <c r="A71" s="16" t="s">
        <v>287</v>
      </c>
      <c r="B71" s="65" t="n">
        <v>5</v>
      </c>
    </row>
    <row r="72" customFormat="false" ht="14.25" hidden="false" customHeight="true" outlineLevel="0" collapsed="false">
      <c r="A72" s="16" t="s">
        <v>645</v>
      </c>
      <c r="B72" s="65" t="n">
        <v>5</v>
      </c>
    </row>
    <row r="73" customFormat="false" ht="14.25" hidden="false" customHeight="true" outlineLevel="0" collapsed="false">
      <c r="A73" s="16" t="s">
        <v>365</v>
      </c>
      <c r="B73" s="65" t="n">
        <v>5</v>
      </c>
    </row>
    <row r="74" customFormat="false" ht="14.25" hidden="false" customHeight="true" outlineLevel="0" collapsed="false">
      <c r="A74" s="16" t="s">
        <v>646</v>
      </c>
      <c r="B74" s="65" t="n">
        <v>5</v>
      </c>
    </row>
    <row r="75" customFormat="false" ht="14.25" hidden="false" customHeight="true" outlineLevel="0" collapsed="false">
      <c r="A75" s="16" t="s">
        <v>647</v>
      </c>
      <c r="B75" s="65" t="n">
        <v>4</v>
      </c>
    </row>
    <row r="76" customFormat="false" ht="14.25" hidden="false" customHeight="true" outlineLevel="0" collapsed="false">
      <c r="A76" s="16" t="s">
        <v>349</v>
      </c>
      <c r="B76" s="65" t="n">
        <v>4</v>
      </c>
    </row>
    <row r="77" customFormat="false" ht="14.25" hidden="false" customHeight="true" outlineLevel="0" collapsed="false">
      <c r="A77" s="16" t="s">
        <v>648</v>
      </c>
      <c r="B77" s="65" t="n">
        <v>4</v>
      </c>
    </row>
    <row r="78" customFormat="false" ht="14.25" hidden="false" customHeight="true" outlineLevel="0" collapsed="false">
      <c r="A78" s="16" t="s">
        <v>304</v>
      </c>
      <c r="B78" s="65" t="n">
        <v>4</v>
      </c>
    </row>
    <row r="79" customFormat="false" ht="14.25" hidden="false" customHeight="true" outlineLevel="0" collapsed="false">
      <c r="A79" s="16" t="s">
        <v>649</v>
      </c>
      <c r="B79" s="65" t="n">
        <v>4</v>
      </c>
    </row>
    <row r="80" customFormat="false" ht="14.25" hidden="false" customHeight="true" outlineLevel="0" collapsed="false">
      <c r="A80" s="16" t="s">
        <v>650</v>
      </c>
      <c r="B80" s="65" t="n">
        <v>4</v>
      </c>
    </row>
    <row r="81" customFormat="false" ht="14.25" hidden="false" customHeight="true" outlineLevel="0" collapsed="false">
      <c r="A81" s="16" t="s">
        <v>651</v>
      </c>
      <c r="B81" s="65" t="n">
        <v>4</v>
      </c>
    </row>
    <row r="82" customFormat="false" ht="14.25" hidden="false" customHeight="true" outlineLevel="0" collapsed="false">
      <c r="A82" s="16" t="s">
        <v>652</v>
      </c>
      <c r="B82" s="65" t="n">
        <v>4</v>
      </c>
    </row>
    <row r="83" customFormat="false" ht="14.25" hidden="false" customHeight="true" outlineLevel="0" collapsed="false">
      <c r="A83" s="16" t="s">
        <v>653</v>
      </c>
      <c r="B83" s="65" t="n">
        <v>4</v>
      </c>
    </row>
    <row r="84" customFormat="false" ht="14.25" hidden="false" customHeight="true" outlineLevel="0" collapsed="false">
      <c r="A84" s="16" t="s">
        <v>302</v>
      </c>
      <c r="B84" s="65" t="n">
        <v>3</v>
      </c>
    </row>
    <row r="85" customFormat="false" ht="14.25" hidden="false" customHeight="true" outlineLevel="0" collapsed="false">
      <c r="A85" s="16" t="s">
        <v>654</v>
      </c>
      <c r="B85" s="65" t="n">
        <v>3</v>
      </c>
    </row>
    <row r="86" customFormat="false" ht="14.25" hidden="false" customHeight="true" outlineLevel="0" collapsed="false">
      <c r="A86" s="16" t="s">
        <v>655</v>
      </c>
      <c r="B86" s="65" t="n">
        <v>3</v>
      </c>
    </row>
    <row r="87" customFormat="false" ht="14.25" hidden="false" customHeight="true" outlineLevel="0" collapsed="false">
      <c r="A87" s="16" t="s">
        <v>344</v>
      </c>
      <c r="B87" s="65" t="n">
        <v>3</v>
      </c>
    </row>
    <row r="88" customFormat="false" ht="14.25" hidden="false" customHeight="true" outlineLevel="0" collapsed="false">
      <c r="A88" s="16" t="s">
        <v>336</v>
      </c>
      <c r="B88" s="65" t="n">
        <v>3</v>
      </c>
    </row>
    <row r="89" customFormat="false" ht="14.25" hidden="false" customHeight="true" outlineLevel="0" collapsed="false">
      <c r="A89" s="16" t="s">
        <v>293</v>
      </c>
      <c r="B89" s="65" t="n">
        <v>3</v>
      </c>
    </row>
    <row r="90" customFormat="false" ht="14.25" hidden="false" customHeight="true" outlineLevel="0" collapsed="false">
      <c r="A90" s="16" t="s">
        <v>346</v>
      </c>
      <c r="B90" s="65" t="n">
        <v>2</v>
      </c>
    </row>
    <row r="91" customFormat="false" ht="14.25" hidden="false" customHeight="true" outlineLevel="0" collapsed="false">
      <c r="A91" s="16" t="s">
        <v>203</v>
      </c>
      <c r="B91" s="65" t="n">
        <v>2</v>
      </c>
    </row>
    <row r="92" customFormat="false" ht="14.25" hidden="false" customHeight="true" outlineLevel="0" collapsed="false">
      <c r="A92" s="16" t="s">
        <v>656</v>
      </c>
      <c r="B92" s="65" t="n">
        <v>2</v>
      </c>
    </row>
    <row r="93" customFormat="false" ht="14.25" hidden="false" customHeight="true" outlineLevel="0" collapsed="false">
      <c r="A93" s="16" t="s">
        <v>657</v>
      </c>
      <c r="B93" s="65" t="n">
        <v>2</v>
      </c>
    </row>
    <row r="94" customFormat="false" ht="14.25" hidden="false" customHeight="true" outlineLevel="0" collapsed="false">
      <c r="A94" s="16" t="s">
        <v>658</v>
      </c>
      <c r="B94" s="65" t="n">
        <v>2</v>
      </c>
    </row>
    <row r="95" customFormat="false" ht="14.25" hidden="false" customHeight="true" outlineLevel="0" collapsed="false">
      <c r="A95" s="16" t="s">
        <v>659</v>
      </c>
      <c r="B95" s="65" t="n">
        <v>1</v>
      </c>
    </row>
    <row r="96" customFormat="false" ht="14.25" hidden="false" customHeight="true" outlineLevel="0" collapsed="false">
      <c r="A96" s="16" t="s">
        <v>281</v>
      </c>
      <c r="B96" s="65" t="n">
        <v>6</v>
      </c>
    </row>
    <row r="97" customFormat="false" ht="14.25" hidden="false" customHeight="true" outlineLevel="0" collapsed="false">
      <c r="A97" s="16" t="s">
        <v>217</v>
      </c>
      <c r="B97" s="65" t="n">
        <v>4</v>
      </c>
    </row>
    <row r="98" customFormat="false" ht="14.25" hidden="false" customHeight="true" outlineLevel="0" collapsed="false">
      <c r="A98" s="16" t="s">
        <v>241</v>
      </c>
      <c r="B98" s="65" t="n">
        <v>5</v>
      </c>
    </row>
    <row r="99" customFormat="false" ht="14.25" hidden="false" customHeight="true" outlineLevel="0" collapsed="false">
      <c r="A99" s="16" t="s">
        <v>289</v>
      </c>
      <c r="B99" s="65" t="n">
        <v>4</v>
      </c>
    </row>
    <row r="100" customFormat="false" ht="14.25" hidden="false" customHeight="true" outlineLevel="0" collapsed="false">
      <c r="A100" s="16" t="s">
        <v>258</v>
      </c>
      <c r="B100" s="65" t="n">
        <v>6</v>
      </c>
    </row>
    <row r="101" customFormat="false" ht="14.25" hidden="false" customHeight="true" outlineLevel="0" collapsed="false">
      <c r="A101" s="16" t="s">
        <v>246</v>
      </c>
      <c r="B101" s="65" t="n">
        <v>5</v>
      </c>
    </row>
    <row r="102" customFormat="false" ht="14.25" hidden="false" customHeight="true" outlineLevel="0" collapsed="false">
      <c r="A102" s="16" t="s">
        <v>232</v>
      </c>
      <c r="B102" s="65" t="n">
        <v>6</v>
      </c>
    </row>
    <row r="103" customFormat="false" ht="14.25" hidden="false" customHeight="true" outlineLevel="0" collapsed="false">
      <c r="A103" s="16" t="s">
        <v>265</v>
      </c>
      <c r="B103" s="65" t="n">
        <v>10</v>
      </c>
    </row>
  </sheetData>
  <autoFilter ref="A1:B10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H222"/>
  <sheetViews>
    <sheetView showFormulas="false" showGridLines="true" showRowColHeaders="true" showZeros="true" rightToLeft="false" tabSelected="false" showOutlineSymbols="true" defaultGridColor="true" view="normal" topLeftCell="A185" colorId="64" zoomScale="100" zoomScaleNormal="100" zoomScalePageLayoutView="100" workbookViewId="0">
      <selection pane="topLeft" activeCell="B194" activeCellId="0" sqref="B194"/>
    </sheetView>
  </sheetViews>
  <sheetFormatPr defaultColWidth="10.6796875" defaultRowHeight="14.25" zeroHeight="false" outlineLevelRow="0" outlineLevelCol="0"/>
  <cols>
    <col collapsed="false" customWidth="true" hidden="false" outlineLevel="0" max="1" min="1" style="1" width="29.56"/>
    <col collapsed="false" customWidth="true" hidden="false" outlineLevel="0" max="2" min="2" style="1" width="17.33"/>
    <col collapsed="false" customWidth="true" hidden="false" outlineLevel="0" max="3" min="3" style="1" width="21.56"/>
    <col collapsed="false" customWidth="true" hidden="false" outlineLevel="0" max="6" min="6" style="1" width="17.11"/>
    <col collapsed="false" customWidth="true" hidden="false" outlineLevel="0" max="9" min="9" style="1" width="29.33"/>
  </cols>
  <sheetData>
    <row r="1" customFormat="false" ht="16.5" hidden="false" customHeight="true" outlineLevel="0" collapsed="false">
      <c r="A1" s="90" t="s">
        <v>660</v>
      </c>
      <c r="B1" s="90"/>
      <c r="C1" s="90"/>
      <c r="D1" s="90"/>
      <c r="E1" s="90"/>
      <c r="F1" s="90"/>
    </row>
    <row r="2" customFormat="false" ht="16.5" hidden="false" customHeight="true" outlineLevel="0" collapsed="false">
      <c r="A2" s="91"/>
      <c r="B2" s="91"/>
      <c r="C2" s="91"/>
      <c r="D2" s="91"/>
      <c r="E2" s="91"/>
      <c r="F2" s="91"/>
    </row>
    <row r="3" customFormat="false" ht="16.5" hidden="false" customHeight="true" outlineLevel="0" collapsed="false">
      <c r="A3" s="92" t="s">
        <v>661</v>
      </c>
      <c r="B3" s="91"/>
      <c r="C3" s="91"/>
      <c r="D3" s="91"/>
      <c r="E3" s="91"/>
      <c r="F3" s="91"/>
    </row>
    <row r="4" customFormat="false" ht="140.25" hidden="false" customHeight="true" outlineLevel="0" collapsed="false">
      <c r="A4" s="93" t="s">
        <v>662</v>
      </c>
      <c r="B4" s="93"/>
      <c r="C4" s="93"/>
      <c r="D4" s="93"/>
      <c r="E4" s="93"/>
      <c r="F4" s="93"/>
      <c r="G4" s="93"/>
      <c r="H4" s="93"/>
    </row>
    <row r="7" customFormat="false" ht="14.25" hidden="false" customHeight="true" outlineLevel="0" collapsed="false">
      <c r="A7" s="94" t="s">
        <v>663</v>
      </c>
      <c r="B7" s="94"/>
      <c r="C7" s="94"/>
      <c r="D7" s="94"/>
      <c r="E7" s="94"/>
      <c r="F7" s="94"/>
      <c r="G7" s="94"/>
      <c r="H7" s="94"/>
    </row>
    <row r="9" customFormat="false" ht="14.25" hidden="false" customHeight="true" outlineLevel="0" collapsed="false">
      <c r="A9" s="95" t="s">
        <v>156</v>
      </c>
      <c r="B9" s="95" t="s">
        <v>371</v>
      </c>
      <c r="C9" s="95" t="s">
        <v>664</v>
      </c>
      <c r="D9" s="95" t="s">
        <v>311</v>
      </c>
      <c r="E9" s="95" t="s">
        <v>190</v>
      </c>
      <c r="F9" s="95" t="s">
        <v>283</v>
      </c>
    </row>
    <row r="10" customFormat="false" ht="14.25" hidden="false" customHeight="true" outlineLevel="0" collapsed="false">
      <c r="A10" s="96" t="s">
        <v>219</v>
      </c>
      <c r="B10" s="96" t="s">
        <v>220</v>
      </c>
      <c r="C10" s="97" t="n">
        <f aca="false">IFERROR(INDEX(BMWP_COL!$B$2:$B$103,MATCH($B10,BMWP_COL!$A$2:$A$103,0)),"No aplica")</f>
        <v>6</v>
      </c>
      <c r="D10" s="97" t="n">
        <v>28</v>
      </c>
      <c r="E10" s="97" t="n">
        <v>457</v>
      </c>
      <c r="F10" s="97" t="n">
        <v>372</v>
      </c>
    </row>
    <row r="11" customFormat="false" ht="14.25" hidden="false" customHeight="true" outlineLevel="0" collapsed="false">
      <c r="A11" s="96" t="s">
        <v>219</v>
      </c>
      <c r="B11" s="96" t="s">
        <v>344</v>
      </c>
      <c r="C11" s="97" t="n">
        <f aca="false">IFERROR(INDEX(BMWP_COL!$B$2:$B$103,MATCH($B11,BMWP_COL!$A$2:$A$103,0)),"No aplica")</f>
        <v>3</v>
      </c>
      <c r="D11" s="97" t="n">
        <v>0</v>
      </c>
      <c r="E11" s="97" t="n">
        <v>1</v>
      </c>
      <c r="F11" s="97" t="n">
        <v>13</v>
      </c>
    </row>
    <row r="12" customFormat="false" ht="14.25" hidden="false" customHeight="true" outlineLevel="0" collapsed="false">
      <c r="A12" s="96" t="s">
        <v>219</v>
      </c>
      <c r="B12" s="96" t="s">
        <v>265</v>
      </c>
      <c r="C12" s="97" t="n">
        <f aca="false">IFERROR(INDEX(BMWP_COL!$B$2:$B$103,MATCH($B12,BMWP_COL!$A$2:$A$103,0)),"No aplica")</f>
        <v>10</v>
      </c>
      <c r="D12" s="97" t="n">
        <v>0</v>
      </c>
      <c r="E12" s="97" t="n">
        <v>5</v>
      </c>
      <c r="F12" s="97" t="n">
        <v>28</v>
      </c>
    </row>
    <row r="13" customFormat="false" ht="14.25" hidden="false" customHeight="true" outlineLevel="0" collapsed="false">
      <c r="A13" s="96" t="s">
        <v>219</v>
      </c>
      <c r="B13" s="96" t="s">
        <v>260</v>
      </c>
      <c r="C13" s="97" t="n">
        <f aca="false">IFERROR(INDEX(BMWP_COL!$B$2:$B$103,MATCH($B13,BMWP_COL!$A$2:$A$103,0)),"No aplica")</f>
        <v>10</v>
      </c>
      <c r="D13" s="97" t="n">
        <v>0</v>
      </c>
      <c r="E13" s="97" t="n">
        <v>11</v>
      </c>
      <c r="F13" s="97" t="n">
        <v>100</v>
      </c>
    </row>
    <row r="14" customFormat="false" ht="14.25" hidden="false" customHeight="true" outlineLevel="0" collapsed="false">
      <c r="A14" s="96" t="s">
        <v>219</v>
      </c>
      <c r="B14" s="96" t="s">
        <v>279</v>
      </c>
      <c r="C14" s="97" t="n">
        <f aca="false">IFERROR(INDEX(BMWP_COL!$B$2:$B$103,MATCH($B14,BMWP_COL!$A$2:$A$103,0)),"No aplica")</f>
        <v>6</v>
      </c>
      <c r="D14" s="97" t="n">
        <v>1</v>
      </c>
      <c r="E14" s="97" t="n">
        <v>4</v>
      </c>
      <c r="F14" s="97" t="n">
        <v>3</v>
      </c>
    </row>
    <row r="15" customFormat="false" ht="14.25" hidden="false" customHeight="true" outlineLevel="0" collapsed="false">
      <c r="A15" s="96" t="s">
        <v>280</v>
      </c>
      <c r="B15" s="96" t="s">
        <v>281</v>
      </c>
      <c r="C15" s="97" t="n">
        <f aca="false">IFERROR(INDEX(BMWP_COL!$B$2:$B$103,MATCH($B15,BMWP_COL!$A$2:$A$103,0)),"No aplica")</f>
        <v>6</v>
      </c>
      <c r="D15" s="97" t="n">
        <v>268</v>
      </c>
      <c r="E15" s="97" t="n">
        <v>1</v>
      </c>
      <c r="F15" s="97" t="n">
        <v>6</v>
      </c>
    </row>
    <row r="16" customFormat="false" ht="14.25" hidden="false" customHeight="true" outlineLevel="0" collapsed="false">
      <c r="A16" s="96" t="s">
        <v>280</v>
      </c>
      <c r="B16" s="96" t="s">
        <v>308</v>
      </c>
      <c r="C16" s="97" t="n">
        <f aca="false">IFERROR(INDEX(BMWP_COL!$B$2:$B$103,MATCH($B16,BMWP_COL!$A$2:$A$103,0)),"No aplica")</f>
        <v>8</v>
      </c>
      <c r="D16" s="97" t="n">
        <v>1</v>
      </c>
      <c r="E16" s="97" t="n">
        <v>0</v>
      </c>
      <c r="F16" s="97" t="n">
        <v>1</v>
      </c>
    </row>
    <row r="17" customFormat="false" ht="14.25" hidden="false" customHeight="true" outlineLevel="0" collapsed="false">
      <c r="A17" s="96" t="s">
        <v>202</v>
      </c>
      <c r="B17" s="96" t="s">
        <v>291</v>
      </c>
      <c r="C17" s="97" t="n">
        <f aca="false">IFERROR(INDEX(BMWP_COL!$B$2:$B$103,MATCH($B17,BMWP_COL!$A$2:$A$103,0)),"No aplica")</f>
        <v>10</v>
      </c>
      <c r="D17" s="97" t="n">
        <v>0</v>
      </c>
      <c r="E17" s="97" t="n">
        <v>0</v>
      </c>
      <c r="F17" s="97" t="n">
        <v>3</v>
      </c>
    </row>
    <row r="18" customFormat="false" ht="14.25" hidden="false" customHeight="true" outlineLevel="0" collapsed="false">
      <c r="A18" s="96" t="s">
        <v>202</v>
      </c>
      <c r="B18" s="96" t="s">
        <v>302</v>
      </c>
      <c r="C18" s="97" t="n">
        <f aca="false">IFERROR(INDEX(BMWP_COL!$B$2:$B$103,MATCH($B18,BMWP_COL!$A$2:$A$103,0)),"No aplica")</f>
        <v>3</v>
      </c>
      <c r="D18" s="97" t="n">
        <v>1</v>
      </c>
      <c r="E18" s="97" t="n">
        <v>14</v>
      </c>
      <c r="F18" s="97" t="n">
        <v>7</v>
      </c>
    </row>
    <row r="19" customFormat="false" ht="14.25" hidden="false" customHeight="true" outlineLevel="0" collapsed="false">
      <c r="A19" s="96" t="s">
        <v>202</v>
      </c>
      <c r="B19" s="96" t="s">
        <v>203</v>
      </c>
      <c r="C19" s="97" t="n">
        <f aca="false">IFERROR(INDEX(BMWP_COL!$B$2:$B$103,MATCH($B19,BMWP_COL!$A$2:$A$103,0)),"No aplica")</f>
        <v>2</v>
      </c>
      <c r="D19" s="97" t="n">
        <v>25</v>
      </c>
      <c r="E19" s="97" t="n">
        <v>237</v>
      </c>
      <c r="F19" s="97" t="n">
        <v>277</v>
      </c>
    </row>
    <row r="20" customFormat="false" ht="14.25" hidden="false" customHeight="true" outlineLevel="0" collapsed="false">
      <c r="A20" s="96" t="s">
        <v>202</v>
      </c>
      <c r="B20" s="96" t="s">
        <v>346</v>
      </c>
      <c r="C20" s="97" t="n">
        <f aca="false">IFERROR(INDEX(BMWP_COL!$B$2:$B$103,MATCH($B20,BMWP_COL!$A$2:$A$103,0)),"No aplica")</f>
        <v>2</v>
      </c>
      <c r="D20" s="97" t="n">
        <v>0</v>
      </c>
      <c r="E20" s="97" t="n">
        <v>0</v>
      </c>
      <c r="F20" s="97" t="n">
        <v>51</v>
      </c>
    </row>
    <row r="21" customFormat="false" ht="14.25" hidden="false" customHeight="true" outlineLevel="0" collapsed="false">
      <c r="A21" s="96" t="s">
        <v>202</v>
      </c>
      <c r="B21" s="96" t="s">
        <v>299</v>
      </c>
      <c r="C21" s="97" t="n">
        <f aca="false">IFERROR(INDEX(BMWP_COL!$B$2:$B$103,MATCH($B21,BMWP_COL!$A$2:$A$103,0)),"No aplica")</f>
        <v>7</v>
      </c>
      <c r="D21" s="97" t="n">
        <v>0</v>
      </c>
      <c r="E21" s="97" t="n">
        <v>0</v>
      </c>
      <c r="F21" s="97" t="n">
        <v>9</v>
      </c>
    </row>
    <row r="22" customFormat="false" ht="14.25" hidden="false" customHeight="true" outlineLevel="0" collapsed="false">
      <c r="A22" s="96" t="s">
        <v>202</v>
      </c>
      <c r="B22" s="96" t="s">
        <v>304</v>
      </c>
      <c r="C22" s="97" t="n">
        <f aca="false">IFERROR(INDEX(BMWP_COL!$B$2:$B$103,MATCH($B22,BMWP_COL!$A$2:$A$103,0)),"No aplica")</f>
        <v>4</v>
      </c>
      <c r="D22" s="97" t="n">
        <v>1</v>
      </c>
      <c r="E22" s="97" t="n">
        <v>0</v>
      </c>
      <c r="F22" s="97" t="n">
        <v>1</v>
      </c>
    </row>
    <row r="23" customFormat="false" ht="14.25" hidden="false" customHeight="true" outlineLevel="0" collapsed="false">
      <c r="A23" s="96" t="s">
        <v>202</v>
      </c>
      <c r="B23" s="96" t="s">
        <v>217</v>
      </c>
      <c r="C23" s="97" t="n">
        <f aca="false">IFERROR(INDEX(BMWP_COL!$B$2:$B$103,MATCH($B23,BMWP_COL!$A$2:$A$103,0)),"No aplica")</f>
        <v>4</v>
      </c>
      <c r="D23" s="97" t="n">
        <v>0</v>
      </c>
      <c r="E23" s="97" t="n">
        <v>6</v>
      </c>
      <c r="F23" s="97" t="n">
        <v>21</v>
      </c>
    </row>
    <row r="24" customFormat="false" ht="14.25" hidden="false" customHeight="true" outlineLevel="0" collapsed="false">
      <c r="A24" s="96" t="s">
        <v>202</v>
      </c>
      <c r="B24" s="96" t="s">
        <v>316</v>
      </c>
      <c r="C24" s="97" t="n">
        <f aca="false">IFERROR(INDEX(BMWP_COL!$B$2:$B$103,MATCH($B24,BMWP_COL!$A$2:$A$103,0)),"No aplica")</f>
        <v>7</v>
      </c>
      <c r="D24" s="97" t="n">
        <v>1</v>
      </c>
      <c r="E24" s="97" t="n">
        <v>0</v>
      </c>
      <c r="F24" s="97" t="n">
        <v>1</v>
      </c>
    </row>
    <row r="25" customFormat="false" ht="14.25" hidden="false" customHeight="true" outlineLevel="0" collapsed="false">
      <c r="A25" s="96" t="s">
        <v>202</v>
      </c>
      <c r="B25" s="96" t="s">
        <v>228</v>
      </c>
      <c r="C25" s="97" t="n">
        <f aca="false">IFERROR(INDEX(BMWP_COL!$B$2:$B$103,MATCH($B25,BMWP_COL!$A$2:$A$103,0)),"No aplica")</f>
        <v>8</v>
      </c>
      <c r="D25" s="97" t="n">
        <v>19</v>
      </c>
      <c r="E25" s="97" t="n">
        <v>44</v>
      </c>
      <c r="F25" s="97" t="n">
        <v>72</v>
      </c>
    </row>
    <row r="26" customFormat="false" ht="14.25" hidden="false" customHeight="true" outlineLevel="0" collapsed="false">
      <c r="A26" s="96" t="s">
        <v>202</v>
      </c>
      <c r="B26" s="96" t="s">
        <v>349</v>
      </c>
      <c r="C26" s="97" t="n">
        <f aca="false">IFERROR(INDEX(BMWP_COL!$B$2:$B$103,MATCH($B26,BMWP_COL!$A$2:$A$103,0)),"No aplica")</f>
        <v>4</v>
      </c>
      <c r="D26" s="97" t="n">
        <v>0</v>
      </c>
      <c r="E26" s="97" t="n">
        <v>0</v>
      </c>
      <c r="F26" s="97" t="n">
        <v>2</v>
      </c>
    </row>
    <row r="27" customFormat="false" ht="14.25" hidden="false" customHeight="true" outlineLevel="0" collapsed="false">
      <c r="A27" s="96" t="s">
        <v>202</v>
      </c>
      <c r="B27" s="96" t="s">
        <v>365</v>
      </c>
      <c r="C27" s="97" t="n">
        <f aca="false">IFERROR(INDEX(BMWP_COL!$B$2:$B$103,MATCH($B27,BMWP_COL!$A$2:$A$103,0)),"No aplica")</f>
        <v>5</v>
      </c>
      <c r="D27" s="97" t="n">
        <v>0</v>
      </c>
      <c r="E27" s="97" t="n">
        <v>1</v>
      </c>
      <c r="F27" s="97" t="n">
        <v>0</v>
      </c>
    </row>
    <row r="28" customFormat="false" ht="14.25" hidden="false" customHeight="true" outlineLevel="0" collapsed="false">
      <c r="A28" s="96" t="s">
        <v>202</v>
      </c>
      <c r="B28" s="96" t="s">
        <v>293</v>
      </c>
      <c r="C28" s="97" t="n">
        <f aca="false">IFERROR(INDEX(BMWP_COL!$B$2:$B$103,MATCH($B28,BMWP_COL!$A$2:$A$103,0)),"No aplica")</f>
        <v>3</v>
      </c>
      <c r="D28" s="97" t="n">
        <v>0</v>
      </c>
      <c r="E28" s="97" t="n">
        <v>0</v>
      </c>
      <c r="F28" s="97" t="n">
        <v>1</v>
      </c>
    </row>
    <row r="29" customFormat="false" ht="14.25" hidden="false" customHeight="true" outlineLevel="0" collapsed="false">
      <c r="A29" s="96" t="s">
        <v>208</v>
      </c>
      <c r="B29" s="96" t="s">
        <v>209</v>
      </c>
      <c r="C29" s="97" t="n">
        <f aca="false">IFERROR(INDEX(BMWP_COL!$B$2:$B$103,MATCH($B29,BMWP_COL!$A$2:$A$103,0)),"No aplica")</f>
        <v>7</v>
      </c>
      <c r="D29" s="97" t="n">
        <v>84</v>
      </c>
      <c r="E29" s="97" t="n">
        <v>167</v>
      </c>
      <c r="F29" s="97" t="n">
        <v>844</v>
      </c>
    </row>
    <row r="30" customFormat="false" ht="14.25" hidden="false" customHeight="true" outlineLevel="0" collapsed="false">
      <c r="A30" s="96" t="s">
        <v>208</v>
      </c>
      <c r="B30" s="96" t="s">
        <v>226</v>
      </c>
      <c r="C30" s="97" t="n">
        <f aca="false">IFERROR(INDEX(BMWP_COL!$B$2:$B$103,MATCH($B30,BMWP_COL!$A$2:$A$103,0)),"No aplica")</f>
        <v>7</v>
      </c>
      <c r="D30" s="97" t="n">
        <v>46</v>
      </c>
      <c r="E30" s="97" t="n">
        <v>41</v>
      </c>
      <c r="F30" s="97" t="n">
        <v>132</v>
      </c>
    </row>
    <row r="31" customFormat="false" ht="14.25" hidden="false" customHeight="true" outlineLevel="0" collapsed="false">
      <c r="A31" s="96" t="s">
        <v>208</v>
      </c>
      <c r="B31" s="96" t="s">
        <v>247</v>
      </c>
      <c r="C31" s="97" t="n">
        <f aca="false">IFERROR(INDEX(BMWP_COL!$B$2:$B$103,MATCH($B31,BMWP_COL!$A$2:$A$103,0)),"No aplica")</f>
        <v>9</v>
      </c>
      <c r="D31" s="97" t="n">
        <v>6</v>
      </c>
      <c r="E31" s="97" t="n">
        <v>8</v>
      </c>
      <c r="F31" s="97" t="n">
        <v>203</v>
      </c>
    </row>
    <row r="32" customFormat="false" ht="14.25" hidden="false" customHeight="true" outlineLevel="0" collapsed="false">
      <c r="A32" s="96" t="s">
        <v>286</v>
      </c>
      <c r="B32" s="96" t="s">
        <v>336</v>
      </c>
      <c r="C32" s="97" t="n">
        <f aca="false">IFERROR(INDEX(BMWP_COL!$B$2:$B$103,MATCH($B32,BMWP_COL!$A$2:$A$103,0)),"No aplica")</f>
        <v>3</v>
      </c>
      <c r="D32" s="97" t="n">
        <v>0</v>
      </c>
      <c r="E32" s="97" t="n">
        <v>0</v>
      </c>
      <c r="F32" s="97" t="n">
        <v>28</v>
      </c>
    </row>
    <row r="33" customFormat="false" ht="14.25" hidden="false" customHeight="true" outlineLevel="0" collapsed="false">
      <c r="A33" s="96" t="s">
        <v>286</v>
      </c>
      <c r="B33" s="96" t="s">
        <v>287</v>
      </c>
      <c r="C33" s="97" t="n">
        <f aca="false">IFERROR(INDEX(BMWP_COL!$B$2:$B$103,MATCH($B33,BMWP_COL!$A$2:$A$103,0)),"No aplica")</f>
        <v>5</v>
      </c>
      <c r="D33" s="97" t="n">
        <v>0</v>
      </c>
      <c r="E33" s="97" t="n">
        <v>0</v>
      </c>
      <c r="F33" s="97" t="n">
        <v>1</v>
      </c>
    </row>
    <row r="34" customFormat="false" ht="14.25" hidden="false" customHeight="true" outlineLevel="0" collapsed="false">
      <c r="A34" s="96" t="s">
        <v>198</v>
      </c>
      <c r="B34" s="96" t="s">
        <v>320</v>
      </c>
      <c r="C34" s="97" t="n">
        <f aca="false">IFERROR(INDEX(BMWP_COL!$B$2:$B$103,MATCH($B34,BMWP_COL!$A$2:$A$103,0)),"No aplica")</f>
        <v>5</v>
      </c>
      <c r="D34" s="97" t="n">
        <v>2</v>
      </c>
      <c r="E34" s="97" t="n">
        <v>0</v>
      </c>
      <c r="F34" s="97" t="n">
        <v>0</v>
      </c>
    </row>
    <row r="35" customFormat="false" ht="14.25" hidden="false" customHeight="true" outlineLevel="0" collapsed="false">
      <c r="A35" s="96" t="s">
        <v>198</v>
      </c>
      <c r="B35" s="96" t="s">
        <v>235</v>
      </c>
      <c r="C35" s="97" t="n">
        <f aca="false">IFERROR(INDEX(BMWP_COL!$B$2:$B$103,MATCH($B35,BMWP_COL!$A$2:$A$103,0)),"No aplica")</f>
        <v>5</v>
      </c>
      <c r="D35" s="97" t="n">
        <v>1</v>
      </c>
      <c r="E35" s="97" t="n">
        <v>1</v>
      </c>
      <c r="F35" s="97" t="n">
        <v>0</v>
      </c>
    </row>
    <row r="36" customFormat="false" ht="14.25" hidden="false" customHeight="true" outlineLevel="0" collapsed="false">
      <c r="A36" s="96" t="s">
        <v>198</v>
      </c>
      <c r="B36" s="96" t="s">
        <v>199</v>
      </c>
      <c r="C36" s="97" t="n">
        <f aca="false">IFERROR(INDEX(BMWP_COL!$B$2:$B$103,MATCH($B36,BMWP_COL!$A$2:$A$103,0)),"No aplica")</f>
        <v>7</v>
      </c>
      <c r="D36" s="97" t="n">
        <v>7</v>
      </c>
      <c r="E36" s="97" t="n">
        <v>59</v>
      </c>
      <c r="F36" s="97" t="n">
        <v>185</v>
      </c>
    </row>
    <row r="37" customFormat="false" ht="14.25" hidden="false" customHeight="true" outlineLevel="0" collapsed="false">
      <c r="A37" s="96" t="s">
        <v>198</v>
      </c>
      <c r="B37" s="96" t="s">
        <v>205</v>
      </c>
      <c r="C37" s="97" t="n">
        <f aca="false">IFERROR(INDEX(BMWP_COL!$B$2:$B$103,MATCH($B37,BMWP_COL!$A$2:$A$103,0)),"No aplica")</f>
        <v>8</v>
      </c>
      <c r="D37" s="97" t="n">
        <v>3</v>
      </c>
      <c r="E37" s="97" t="n">
        <v>47</v>
      </c>
      <c r="F37" s="97" t="n">
        <v>36</v>
      </c>
    </row>
    <row r="38" customFormat="false" ht="14.25" hidden="false" customHeight="true" outlineLevel="0" collapsed="false">
      <c r="A38" s="96" t="s">
        <v>240</v>
      </c>
      <c r="B38" s="96" t="s">
        <v>241</v>
      </c>
      <c r="C38" s="97" t="n">
        <f aca="false">IFERROR(INDEX(BMWP_COL!$B$2:$B$103,MATCH($B38,BMWP_COL!$A$2:$A$103,0)),"No aplica")</f>
        <v>5</v>
      </c>
      <c r="D38" s="97" t="n">
        <v>8</v>
      </c>
      <c r="E38" s="97" t="n">
        <v>3</v>
      </c>
      <c r="F38" s="97" t="n">
        <v>15</v>
      </c>
    </row>
    <row r="39" customFormat="false" ht="14.25" hidden="false" customHeight="true" outlineLevel="0" collapsed="false">
      <c r="A39" s="96" t="s">
        <v>323</v>
      </c>
      <c r="B39" s="96" t="s">
        <v>333</v>
      </c>
      <c r="C39" s="97" t="str">
        <f aca="false">IFERROR(INDEX(BMWP_COL!$B$2:$B$103,MATCH($B39,BMWP_COL!$A$2:$A$103,0)),"No aplica")</f>
        <v>No aplica</v>
      </c>
      <c r="D39" s="97" t="n">
        <v>0</v>
      </c>
      <c r="E39" s="97" t="n">
        <v>0</v>
      </c>
      <c r="F39" s="97" t="n">
        <v>10</v>
      </c>
    </row>
    <row r="40" customFormat="false" ht="14.25" hidden="false" customHeight="true" outlineLevel="0" collapsed="false">
      <c r="A40" s="96" t="s">
        <v>323</v>
      </c>
      <c r="B40" s="96" t="s">
        <v>324</v>
      </c>
      <c r="C40" s="97" t="n">
        <f aca="false">IFERROR(INDEX(BMWP_COL!$B$2:$B$103,MATCH($B40,BMWP_COL!$A$2:$A$103,0)),"No aplica")</f>
        <v>8</v>
      </c>
      <c r="D40" s="97" t="n">
        <v>3</v>
      </c>
      <c r="E40" s="97" t="n">
        <v>0</v>
      </c>
      <c r="F40" s="97" t="n">
        <v>0</v>
      </c>
    </row>
    <row r="41" customFormat="false" ht="14.25" hidden="false" customHeight="true" outlineLevel="0" collapsed="false">
      <c r="A41" s="96" t="s">
        <v>288</v>
      </c>
      <c r="B41" s="96" t="s">
        <v>289</v>
      </c>
      <c r="C41" s="97" t="n">
        <f aca="false">IFERROR(INDEX(BMWP_COL!$B$2:$B$103,MATCH($B41,BMWP_COL!$A$2:$A$103,0)),"No aplica")</f>
        <v>4</v>
      </c>
      <c r="D41" s="97" t="n">
        <v>0</v>
      </c>
      <c r="E41" s="97" t="n">
        <v>0</v>
      </c>
      <c r="F41" s="97" t="n">
        <v>8</v>
      </c>
    </row>
    <row r="42" customFormat="false" ht="14.25" hidden="false" customHeight="true" outlineLevel="0" collapsed="false">
      <c r="A42" s="96" t="s">
        <v>272</v>
      </c>
      <c r="B42" s="96" t="s">
        <v>273</v>
      </c>
      <c r="C42" s="97" t="n">
        <f aca="false">IFERROR(INDEX(BMWP_COL!$B$2:$B$103,MATCH($B42,BMWP_COL!$A$2:$A$103,0)),"No aplica")</f>
        <v>6</v>
      </c>
      <c r="D42" s="97" t="n">
        <v>1</v>
      </c>
      <c r="E42" s="97" t="n">
        <v>28</v>
      </c>
      <c r="F42" s="97" t="n">
        <v>51</v>
      </c>
    </row>
    <row r="43" customFormat="false" ht="14.25" hidden="false" customHeight="true" outlineLevel="0" collapsed="false">
      <c r="A43" s="96" t="s">
        <v>214</v>
      </c>
      <c r="B43" s="96" t="s">
        <v>243</v>
      </c>
      <c r="C43" s="97" t="n">
        <f aca="false">IFERROR(INDEX(BMWP_COL!$B$2:$B$103,MATCH($B43,BMWP_COL!$A$2:$A$103,0)),"No aplica")</f>
        <v>7</v>
      </c>
      <c r="D43" s="97" t="n">
        <v>1</v>
      </c>
      <c r="E43" s="97" t="n">
        <v>1</v>
      </c>
      <c r="F43" s="97" t="n">
        <v>7</v>
      </c>
    </row>
    <row r="44" customFormat="false" ht="14.25" hidden="false" customHeight="true" outlineLevel="0" collapsed="false">
      <c r="A44" s="96" t="s">
        <v>214</v>
      </c>
      <c r="B44" s="96" t="s">
        <v>262</v>
      </c>
      <c r="C44" s="97" t="n">
        <f aca="false">IFERROR(INDEX(BMWP_COL!$B$2:$B$103,MATCH($B44,BMWP_COL!$A$2:$A$103,0)),"No aplica")</f>
        <v>7</v>
      </c>
      <c r="D44" s="97" t="n">
        <v>2</v>
      </c>
      <c r="E44" s="97" t="n">
        <v>1</v>
      </c>
      <c r="F44" s="97" t="n">
        <v>2</v>
      </c>
    </row>
    <row r="45" customFormat="false" ht="14.25" hidden="false" customHeight="true" outlineLevel="0" collapsed="false">
      <c r="A45" s="96" t="s">
        <v>214</v>
      </c>
      <c r="B45" s="96" t="s">
        <v>215</v>
      </c>
      <c r="C45" s="97" t="n">
        <f aca="false">IFERROR(INDEX(BMWP_COL!$B$2:$B$103,MATCH($B45,BMWP_COL!$A$2:$A$103,0)),"No aplica")</f>
        <v>10</v>
      </c>
      <c r="D45" s="97" t="n">
        <v>1</v>
      </c>
      <c r="E45" s="97" t="n">
        <v>3</v>
      </c>
      <c r="F45" s="97" t="n">
        <v>89</v>
      </c>
    </row>
    <row r="46" customFormat="false" ht="14.25" hidden="false" customHeight="true" outlineLevel="0" collapsed="false">
      <c r="A46" s="96" t="s">
        <v>214</v>
      </c>
      <c r="B46" s="96" t="s">
        <v>252</v>
      </c>
      <c r="C46" s="97" t="n">
        <f aca="false">IFERROR(INDEX(BMWP_COL!$B$2:$B$103,MATCH($B46,BMWP_COL!$A$2:$A$103,0)),"No aplica")</f>
        <v>6</v>
      </c>
      <c r="D46" s="97" t="n">
        <v>0</v>
      </c>
      <c r="E46" s="97" t="n">
        <v>9</v>
      </c>
      <c r="F46" s="97" t="n">
        <v>49</v>
      </c>
    </row>
    <row r="47" customFormat="false" ht="14.25" hidden="false" customHeight="true" outlineLevel="0" collapsed="false">
      <c r="A47" s="96" t="s">
        <v>214</v>
      </c>
      <c r="B47" s="96" t="s">
        <v>258</v>
      </c>
      <c r="C47" s="97" t="n">
        <f aca="false">IFERROR(INDEX(BMWP_COL!$B$2:$B$103,MATCH($B47,BMWP_COL!$A$2:$A$103,0)),"No aplica")</f>
        <v>6</v>
      </c>
      <c r="D47" s="97" t="n">
        <v>0</v>
      </c>
      <c r="E47" s="97" t="n">
        <v>1</v>
      </c>
      <c r="F47" s="97" t="n">
        <v>7</v>
      </c>
    </row>
    <row r="48" customFormat="false" ht="14.25" hidden="false" customHeight="true" outlineLevel="0" collapsed="false">
      <c r="A48" s="96" t="s">
        <v>249</v>
      </c>
      <c r="B48" s="96" t="s">
        <v>250</v>
      </c>
      <c r="C48" s="97" t="n">
        <f aca="false">IFERROR(INDEX(BMWP_COL!$B$2:$B$103,MATCH($B48,BMWP_COL!$A$2:$A$103,0)),"No aplica")</f>
        <v>10</v>
      </c>
      <c r="D48" s="97" t="n">
        <v>26</v>
      </c>
      <c r="E48" s="97" t="n">
        <v>24</v>
      </c>
      <c r="F48" s="97" t="n">
        <v>219</v>
      </c>
    </row>
    <row r="49" customFormat="false" ht="14.25" hidden="false" customHeight="true" outlineLevel="0" collapsed="false">
      <c r="A49" s="96" t="s">
        <v>194</v>
      </c>
      <c r="B49" s="96" t="s">
        <v>238</v>
      </c>
      <c r="C49" s="97" t="n">
        <f aca="false">IFERROR(INDEX(BMWP_COL!$B$2:$B$103,MATCH($B49,BMWP_COL!$A$2:$A$103,0)),"No aplica")</f>
        <v>10</v>
      </c>
      <c r="D49" s="97" t="n">
        <v>1</v>
      </c>
      <c r="E49" s="97" t="n">
        <v>11</v>
      </c>
      <c r="F49" s="97" t="n">
        <v>55</v>
      </c>
    </row>
    <row r="50" customFormat="false" ht="14.25" hidden="false" customHeight="true" outlineLevel="0" collapsed="false">
      <c r="A50" s="96" t="s">
        <v>194</v>
      </c>
      <c r="B50" s="96" t="s">
        <v>340</v>
      </c>
      <c r="C50" s="97" t="n">
        <f aca="false">IFERROR(INDEX(BMWP_COL!$B$2:$B$103,MATCH($B50,BMWP_COL!$A$2:$A$103,0)),"No aplica")</f>
        <v>7</v>
      </c>
      <c r="D50" s="97" t="n">
        <v>0</v>
      </c>
      <c r="E50" s="97" t="n">
        <v>0</v>
      </c>
      <c r="F50" s="97" t="n">
        <v>2</v>
      </c>
    </row>
    <row r="51" customFormat="false" ht="14.25" hidden="false" customHeight="true" outlineLevel="0" collapsed="false">
      <c r="A51" s="96" t="s">
        <v>194</v>
      </c>
      <c r="B51" s="96" t="s">
        <v>331</v>
      </c>
      <c r="C51" s="97" t="n">
        <f aca="false">IFERROR(INDEX(BMWP_COL!$B$2:$B$103,MATCH($B51,BMWP_COL!$A$2:$A$103,0)),"No aplica")</f>
        <v>8</v>
      </c>
      <c r="D51" s="97" t="n">
        <v>0</v>
      </c>
      <c r="E51" s="97" t="n">
        <v>0</v>
      </c>
      <c r="F51" s="97" t="n">
        <v>29</v>
      </c>
    </row>
    <row r="52" customFormat="false" ht="14.25" hidden="false" customHeight="true" outlineLevel="0" collapsed="false">
      <c r="A52" s="96" t="s">
        <v>194</v>
      </c>
      <c r="B52" s="96" t="s">
        <v>223</v>
      </c>
      <c r="C52" s="97" t="n">
        <f aca="false">IFERROR(INDEX(BMWP_COL!$B$2:$B$103,MATCH($B52,BMWP_COL!$A$2:$A$103,0)),"No aplica")</f>
        <v>7</v>
      </c>
      <c r="D52" s="97" t="n">
        <v>11</v>
      </c>
      <c r="E52" s="97" t="n">
        <v>28</v>
      </c>
      <c r="F52" s="97" t="n">
        <v>297</v>
      </c>
    </row>
    <row r="53" customFormat="false" ht="14.25" hidden="false" customHeight="true" outlineLevel="0" collapsed="false">
      <c r="A53" s="96" t="s">
        <v>194</v>
      </c>
      <c r="B53" s="96" t="s">
        <v>326</v>
      </c>
      <c r="C53" s="97" t="n">
        <f aca="false">IFERROR(INDEX(BMWP_COL!$B$2:$B$103,MATCH($B53,BMWP_COL!$A$2:$A$103,0)),"No aplica")</f>
        <v>7</v>
      </c>
      <c r="D53" s="97" t="n">
        <v>1</v>
      </c>
      <c r="E53" s="97" t="n">
        <v>0</v>
      </c>
      <c r="F53" s="97" t="n">
        <v>1</v>
      </c>
    </row>
    <row r="54" customFormat="false" ht="14.25" hidden="false" customHeight="true" outlineLevel="0" collapsed="false">
      <c r="A54" s="96" t="s">
        <v>194</v>
      </c>
      <c r="B54" s="96" t="s">
        <v>195</v>
      </c>
      <c r="C54" s="97" t="n">
        <f aca="false">IFERROR(INDEX(BMWP_COL!$B$2:$B$103,MATCH($B54,BMWP_COL!$A$2:$A$103,0)),"No aplica")</f>
        <v>8</v>
      </c>
      <c r="D54" s="97" t="n">
        <v>7</v>
      </c>
      <c r="E54" s="97" t="n">
        <v>10</v>
      </c>
      <c r="F54" s="97" t="n">
        <v>219</v>
      </c>
    </row>
    <row r="55" customFormat="false" ht="14.25" hidden="false" customHeight="true" outlineLevel="0" collapsed="false">
      <c r="A55" s="96" t="s">
        <v>194</v>
      </c>
      <c r="B55" s="96" t="s">
        <v>256</v>
      </c>
      <c r="C55" s="97" t="n">
        <f aca="false">IFERROR(INDEX(BMWP_COL!$B$2:$B$103,MATCH($B55,BMWP_COL!$A$2:$A$103,0)),"No aplica")</f>
        <v>10</v>
      </c>
      <c r="D55" s="97" t="n">
        <v>0</v>
      </c>
      <c r="E55" s="97" t="n">
        <v>1</v>
      </c>
      <c r="F55" s="97" t="n">
        <v>5</v>
      </c>
    </row>
    <row r="56" customFormat="false" ht="14.25" hidden="false" customHeight="true" outlineLevel="0" collapsed="false">
      <c r="A56" s="96" t="s">
        <v>194</v>
      </c>
      <c r="B56" s="96" t="s">
        <v>270</v>
      </c>
      <c r="C56" s="97" t="n">
        <f aca="false">IFERROR(INDEX(BMWP_COL!$B$2:$B$103,MATCH($B56,BMWP_COL!$A$2:$A$103,0)),"No aplica")</f>
        <v>9</v>
      </c>
      <c r="D56" s="97" t="n">
        <v>0</v>
      </c>
      <c r="E56" s="97" t="n">
        <v>2</v>
      </c>
      <c r="F56" s="97" t="n">
        <v>13</v>
      </c>
    </row>
    <row r="57" customFormat="false" ht="14.25" hidden="false" customHeight="true" outlineLevel="0" collapsed="false">
      <c r="A57" s="96" t="s">
        <v>194</v>
      </c>
      <c r="B57" s="96" t="s">
        <v>342</v>
      </c>
      <c r="C57" s="97" t="n">
        <f aca="false">IFERROR(INDEX(BMWP_COL!$B$2:$B$103,MATCH($B57,BMWP_COL!$A$2:$A$103,0)),"No aplica")</f>
        <v>9</v>
      </c>
      <c r="D57" s="97" t="n">
        <v>0</v>
      </c>
      <c r="E57" s="97" t="n">
        <v>0</v>
      </c>
      <c r="F57" s="97" t="n">
        <v>1</v>
      </c>
    </row>
    <row r="58" customFormat="false" ht="14.25" hidden="false" customHeight="true" outlineLevel="0" collapsed="false">
      <c r="A58" s="96" t="s">
        <v>231</v>
      </c>
      <c r="B58" s="96" t="s">
        <v>232</v>
      </c>
      <c r="C58" s="97" t="n">
        <f aca="false">IFERROR(INDEX(BMWP_COL!$B$2:$B$103,MATCH($B58,BMWP_COL!$A$2:$A$103,0)),"No aplica")</f>
        <v>6</v>
      </c>
      <c r="D58" s="97" t="n">
        <v>0</v>
      </c>
      <c r="E58" s="97" t="n">
        <v>7</v>
      </c>
      <c r="F58" s="97" t="n">
        <v>3</v>
      </c>
    </row>
    <row r="59" customFormat="false" ht="14.25" hidden="false" customHeight="true" outlineLevel="0" collapsed="false">
      <c r="A59" s="96" t="s">
        <v>245</v>
      </c>
      <c r="B59" s="96" t="s">
        <v>246</v>
      </c>
      <c r="C59" s="97" t="n">
        <f aca="false">IFERROR(INDEX(BMWP_COL!$B$2:$B$103,MATCH($B59,BMWP_COL!$A$2:$A$103,0)),"No aplica")</f>
        <v>5</v>
      </c>
      <c r="D59" s="97" t="n">
        <v>0</v>
      </c>
      <c r="E59" s="97" t="n">
        <v>1</v>
      </c>
      <c r="F59" s="97" t="n">
        <v>1</v>
      </c>
    </row>
    <row r="60" customFormat="false" ht="14.25" hidden="false" customHeight="true" outlineLevel="0" collapsed="false">
      <c r="A60" s="95" t="s">
        <v>665</v>
      </c>
      <c r="B60" s="95"/>
      <c r="C60" s="95"/>
      <c r="D60" s="95" t="n">
        <f aca="false">SUM(D10:D59)</f>
        <v>556</v>
      </c>
      <c r="E60" s="95" t="n">
        <f aca="false">SUM(E10:E59)</f>
        <v>1234</v>
      </c>
      <c r="F60" s="95" t="n">
        <f aca="false">SUM(F10:F59)</f>
        <v>3480</v>
      </c>
    </row>
    <row r="62" customFormat="false" ht="14.25" hidden="false" customHeight="true" outlineLevel="0" collapsed="false">
      <c r="A62" s="94" t="s">
        <v>666</v>
      </c>
      <c r="B62" s="94"/>
      <c r="C62" s="94"/>
      <c r="D62" s="94"/>
      <c r="E62" s="94"/>
      <c r="F62" s="94"/>
      <c r="G62" s="94"/>
      <c r="H62" s="94"/>
    </row>
    <row r="64" customFormat="false" ht="14.25" hidden="false" customHeight="true" outlineLevel="0" collapsed="false">
      <c r="A64" s="98" t="s">
        <v>138</v>
      </c>
      <c r="B64" s="99" t="s">
        <v>667</v>
      </c>
      <c r="C64" s="95" t="s">
        <v>311</v>
      </c>
      <c r="D64" s="95" t="s">
        <v>190</v>
      </c>
      <c r="E64" s="100" t="s">
        <v>283</v>
      </c>
    </row>
    <row r="65" customFormat="false" ht="14.25" hidden="false" customHeight="true" outlineLevel="0" collapsed="false">
      <c r="A65" s="96" t="s">
        <v>212</v>
      </c>
      <c r="B65" s="96" t="s">
        <v>197</v>
      </c>
      <c r="C65" s="97" t="n">
        <v>82</v>
      </c>
      <c r="D65" s="97" t="n">
        <v>71</v>
      </c>
      <c r="E65" s="97" t="n">
        <v>327</v>
      </c>
      <c r="F65" s="101"/>
    </row>
    <row r="66" customFormat="false" ht="14.25" hidden="false" customHeight="true" outlineLevel="0" collapsed="false">
      <c r="A66" s="96" t="s">
        <v>251</v>
      </c>
      <c r="B66" s="96" t="s">
        <v>201</v>
      </c>
      <c r="C66" s="97" t="n">
        <v>26</v>
      </c>
      <c r="D66" s="97" t="n">
        <v>24</v>
      </c>
      <c r="E66" s="97" t="n">
        <v>219</v>
      </c>
      <c r="F66" s="101"/>
    </row>
    <row r="67" customFormat="false" ht="14.25" hidden="false" customHeight="true" outlineLevel="0" collapsed="false">
      <c r="A67" s="96" t="s">
        <v>261</v>
      </c>
      <c r="B67" s="96" t="s">
        <v>225</v>
      </c>
      <c r="C67" s="97" t="n">
        <v>0</v>
      </c>
      <c r="D67" s="97" t="n">
        <v>11</v>
      </c>
      <c r="E67" s="97" t="n">
        <v>100</v>
      </c>
      <c r="F67" s="101"/>
    </row>
    <row r="68" customFormat="false" ht="14.25" hidden="false" customHeight="true" outlineLevel="0" collapsed="false">
      <c r="A68" s="96" t="s">
        <v>263</v>
      </c>
      <c r="B68" s="96" t="s">
        <v>201</v>
      </c>
      <c r="C68" s="97" t="n">
        <v>2</v>
      </c>
      <c r="D68" s="97" t="n">
        <v>1</v>
      </c>
      <c r="E68" s="97" t="n">
        <v>2</v>
      </c>
      <c r="F68" s="101"/>
    </row>
    <row r="69" customFormat="false" ht="14.25" hidden="false" customHeight="true" outlineLevel="0" collapsed="false">
      <c r="A69" s="96" t="s">
        <v>196</v>
      </c>
      <c r="B69" s="96" t="s">
        <v>197</v>
      </c>
      <c r="C69" s="97" t="n">
        <v>6</v>
      </c>
      <c r="D69" s="97" t="n">
        <v>8</v>
      </c>
      <c r="E69" s="97" t="n">
        <v>211</v>
      </c>
      <c r="F69" s="101"/>
    </row>
    <row r="70" customFormat="false" ht="14.25" hidden="false" customHeight="true" outlineLevel="0" collapsed="false">
      <c r="A70" s="96" t="s">
        <v>282</v>
      </c>
      <c r="B70" s="96" t="s">
        <v>197</v>
      </c>
      <c r="C70" s="97" t="n">
        <v>268</v>
      </c>
      <c r="D70" s="97" t="n">
        <v>1</v>
      </c>
      <c r="E70" s="97" t="n">
        <v>6</v>
      </c>
      <c r="F70" s="101"/>
    </row>
    <row r="71" customFormat="false" ht="14.25" hidden="false" customHeight="true" outlineLevel="0" collapsed="false">
      <c r="A71" s="96" t="s">
        <v>210</v>
      </c>
      <c r="B71" s="96" t="s">
        <v>211</v>
      </c>
      <c r="C71" s="97" t="n">
        <v>2</v>
      </c>
      <c r="D71" s="97" t="n">
        <v>91</v>
      </c>
      <c r="E71" s="97" t="n">
        <v>430</v>
      </c>
      <c r="F71" s="101"/>
    </row>
    <row r="72" customFormat="false" ht="14.25" hidden="false" customHeight="true" outlineLevel="0" collapsed="false">
      <c r="A72" s="96" t="s">
        <v>303</v>
      </c>
      <c r="B72" s="96" t="s">
        <v>201</v>
      </c>
      <c r="C72" s="97" t="n">
        <v>1</v>
      </c>
      <c r="D72" s="97" t="n">
        <v>14</v>
      </c>
      <c r="E72" s="97" t="n">
        <v>6</v>
      </c>
      <c r="F72" s="101"/>
    </row>
    <row r="73" customFormat="false" ht="14.25" hidden="false" customHeight="true" outlineLevel="0" collapsed="false">
      <c r="A73" s="96" t="s">
        <v>267</v>
      </c>
      <c r="B73" s="96" t="s">
        <v>201</v>
      </c>
      <c r="C73" s="97" t="n">
        <v>0</v>
      </c>
      <c r="D73" s="97" t="n">
        <v>1</v>
      </c>
      <c r="E73" s="97" t="n">
        <v>6</v>
      </c>
      <c r="F73" s="101"/>
    </row>
    <row r="74" customFormat="false" ht="14.25" hidden="false" customHeight="true" outlineLevel="0" collapsed="false">
      <c r="A74" s="96" t="s">
        <v>269</v>
      </c>
      <c r="B74" s="96" t="s">
        <v>197</v>
      </c>
      <c r="C74" s="97" t="n">
        <v>0</v>
      </c>
      <c r="D74" s="97" t="n">
        <v>1</v>
      </c>
      <c r="E74" s="97" t="n">
        <v>0</v>
      </c>
      <c r="F74" s="101"/>
    </row>
    <row r="75" customFormat="false" ht="14.25" hidden="false" customHeight="true" outlineLevel="0" collapsed="false">
      <c r="A75" s="96" t="s">
        <v>276</v>
      </c>
      <c r="B75" s="96" t="s">
        <v>211</v>
      </c>
      <c r="C75" s="97" t="n">
        <v>0</v>
      </c>
      <c r="D75" s="97" t="n">
        <v>5</v>
      </c>
      <c r="E75" s="97" t="n">
        <v>35</v>
      </c>
      <c r="F75" s="101"/>
    </row>
    <row r="76" customFormat="false" ht="14.25" hidden="false" customHeight="true" outlineLevel="0" collapsed="false">
      <c r="A76" s="96" t="s">
        <v>271</v>
      </c>
      <c r="B76" s="96" t="s">
        <v>230</v>
      </c>
      <c r="C76" s="97" t="n">
        <v>0</v>
      </c>
      <c r="D76" s="97" t="n">
        <v>2</v>
      </c>
      <c r="E76" s="97" t="n">
        <v>13</v>
      </c>
      <c r="F76" s="101"/>
    </row>
    <row r="77" customFormat="false" ht="14.25" hidden="false" customHeight="true" outlineLevel="0" collapsed="false">
      <c r="A77" s="96" t="s">
        <v>204</v>
      </c>
      <c r="B77" s="96" t="s">
        <v>197</v>
      </c>
      <c r="C77" s="97" t="n">
        <v>23</v>
      </c>
      <c r="D77" s="97" t="n">
        <v>169</v>
      </c>
      <c r="E77" s="97" t="n">
        <v>205</v>
      </c>
      <c r="F77" s="101"/>
    </row>
    <row r="78" customFormat="false" ht="14.25" hidden="false" customHeight="true" outlineLevel="0" collapsed="false">
      <c r="A78" s="96" t="s">
        <v>274</v>
      </c>
      <c r="B78" s="96" t="s">
        <v>201</v>
      </c>
      <c r="C78" s="97" t="n">
        <v>1</v>
      </c>
      <c r="D78" s="97" t="n">
        <v>28</v>
      </c>
      <c r="E78" s="97" t="n">
        <v>51</v>
      </c>
      <c r="F78" s="101"/>
    </row>
    <row r="79" customFormat="false" ht="14.25" hidden="false" customHeight="true" outlineLevel="0" collapsed="false">
      <c r="A79" s="96" t="s">
        <v>347</v>
      </c>
      <c r="B79" s="96" t="s">
        <v>348</v>
      </c>
      <c r="C79" s="97" t="n">
        <v>0</v>
      </c>
      <c r="D79" s="97" t="n">
        <v>0</v>
      </c>
      <c r="E79" s="97" t="n">
        <v>51</v>
      </c>
      <c r="F79" s="101"/>
    </row>
    <row r="80" customFormat="false" ht="14.25" hidden="false" customHeight="true" outlineLevel="0" collapsed="false">
      <c r="A80" s="96" t="s">
        <v>315</v>
      </c>
      <c r="B80" s="96" t="s">
        <v>197</v>
      </c>
      <c r="C80" s="97" t="n">
        <v>1</v>
      </c>
      <c r="D80" s="97" t="n">
        <v>0</v>
      </c>
      <c r="E80" s="97" t="n">
        <v>0</v>
      </c>
      <c r="F80" s="101"/>
    </row>
    <row r="81" customFormat="false" ht="14.25" hidden="false" customHeight="true" outlineLevel="0" collapsed="false">
      <c r="A81" s="96" t="s">
        <v>300</v>
      </c>
      <c r="B81" s="96" t="s">
        <v>197</v>
      </c>
      <c r="C81" s="97" t="n">
        <v>0</v>
      </c>
      <c r="D81" s="97" t="n">
        <v>0</v>
      </c>
      <c r="E81" s="97" t="n">
        <v>9</v>
      </c>
      <c r="F81" s="101"/>
    </row>
    <row r="82" customFormat="false" ht="14.25" hidden="false" customHeight="true" outlineLevel="0" collapsed="false">
      <c r="A82" s="96" t="s">
        <v>233</v>
      </c>
      <c r="B82" s="96" t="s">
        <v>201</v>
      </c>
      <c r="C82" s="97" t="n">
        <v>0</v>
      </c>
      <c r="D82" s="97" t="n">
        <v>7</v>
      </c>
      <c r="E82" s="97" t="n">
        <v>3</v>
      </c>
      <c r="F82" s="101"/>
    </row>
    <row r="83" customFormat="false" ht="14.25" hidden="false" customHeight="true" outlineLevel="0" collapsed="false">
      <c r="A83" s="96" t="s">
        <v>304</v>
      </c>
      <c r="B83" s="96" t="s">
        <v>201</v>
      </c>
      <c r="C83" s="97" t="n">
        <v>1</v>
      </c>
      <c r="D83" s="97" t="n">
        <v>0</v>
      </c>
      <c r="E83" s="97" t="n">
        <v>0</v>
      </c>
      <c r="F83" s="101"/>
    </row>
    <row r="84" customFormat="false" ht="14.25" hidden="false" customHeight="true" outlineLevel="0" collapsed="false">
      <c r="A84" s="96" t="s">
        <v>275</v>
      </c>
      <c r="B84" s="96" t="s">
        <v>197</v>
      </c>
      <c r="C84" s="97" t="n">
        <v>2</v>
      </c>
      <c r="D84" s="97" t="n">
        <v>1</v>
      </c>
      <c r="E84" s="97" t="n">
        <v>0</v>
      </c>
      <c r="F84" s="101"/>
    </row>
    <row r="85" customFormat="false" ht="14.25" hidden="false" customHeight="true" outlineLevel="0" collapsed="false">
      <c r="A85" s="96" t="s">
        <v>360</v>
      </c>
      <c r="B85" s="96" t="s">
        <v>201</v>
      </c>
      <c r="C85" s="97" t="n">
        <v>0</v>
      </c>
      <c r="D85" s="97" t="n">
        <v>0</v>
      </c>
      <c r="E85" s="97" t="n">
        <v>1</v>
      </c>
      <c r="F85" s="101"/>
    </row>
    <row r="86" customFormat="false" ht="14.25" hidden="false" customHeight="true" outlineLevel="0" collapsed="false">
      <c r="A86" s="96" t="s">
        <v>321</v>
      </c>
      <c r="B86" s="96" t="s">
        <v>201</v>
      </c>
      <c r="C86" s="97" t="n">
        <v>2</v>
      </c>
      <c r="D86" s="97" t="n">
        <v>0</v>
      </c>
      <c r="E86" s="97" t="n">
        <v>0</v>
      </c>
      <c r="F86" s="101"/>
    </row>
    <row r="87" customFormat="false" ht="14.25" hidden="false" customHeight="true" outlineLevel="0" collapsed="false">
      <c r="A87" s="96" t="s">
        <v>332</v>
      </c>
      <c r="B87" s="96" t="s">
        <v>197</v>
      </c>
      <c r="C87" s="97" t="n">
        <v>0</v>
      </c>
      <c r="D87" s="97" t="n">
        <v>0</v>
      </c>
      <c r="E87" s="97" t="n">
        <v>29</v>
      </c>
      <c r="F87" s="101"/>
    </row>
    <row r="88" customFormat="false" ht="14.25" hidden="false" customHeight="true" outlineLevel="0" collapsed="false">
      <c r="A88" s="96" t="s">
        <v>305</v>
      </c>
      <c r="B88" s="96" t="s">
        <v>201</v>
      </c>
      <c r="C88" s="97" t="n">
        <v>0</v>
      </c>
      <c r="D88" s="97" t="n">
        <v>0</v>
      </c>
      <c r="E88" s="97" t="n">
        <v>1</v>
      </c>
      <c r="F88" s="101"/>
    </row>
    <row r="89" customFormat="false" ht="14.25" hidden="false" customHeight="true" outlineLevel="0" collapsed="false">
      <c r="A89" s="96" t="s">
        <v>244</v>
      </c>
      <c r="B89" s="96" t="s">
        <v>201</v>
      </c>
      <c r="C89" s="97" t="n">
        <v>1</v>
      </c>
      <c r="D89" s="97" t="n">
        <v>1</v>
      </c>
      <c r="E89" s="97" t="n">
        <v>7</v>
      </c>
      <c r="F89" s="101"/>
    </row>
    <row r="90" customFormat="false" ht="14.25" hidden="false" customHeight="true" outlineLevel="0" collapsed="false">
      <c r="A90" s="96" t="s">
        <v>221</v>
      </c>
      <c r="B90" s="96" t="s">
        <v>197</v>
      </c>
      <c r="C90" s="97" t="n">
        <v>27</v>
      </c>
      <c r="D90" s="97" t="n">
        <v>138</v>
      </c>
      <c r="E90" s="97" t="n">
        <v>320</v>
      </c>
      <c r="F90" s="101"/>
    </row>
    <row r="91" customFormat="false" ht="14.25" hidden="false" customHeight="true" outlineLevel="0" collapsed="false">
      <c r="A91" s="96" t="s">
        <v>355</v>
      </c>
      <c r="B91" s="96" t="s">
        <v>197</v>
      </c>
      <c r="C91" s="97" t="n">
        <v>0</v>
      </c>
      <c r="D91" s="97" t="n">
        <v>0</v>
      </c>
      <c r="E91" s="97" t="n">
        <v>1</v>
      </c>
      <c r="F91" s="101"/>
    </row>
    <row r="92" customFormat="false" ht="14.25" hidden="false" customHeight="true" outlineLevel="0" collapsed="false">
      <c r="A92" s="96" t="s">
        <v>330</v>
      </c>
      <c r="B92" s="96" t="s">
        <v>201</v>
      </c>
      <c r="C92" s="97" t="n">
        <v>0</v>
      </c>
      <c r="D92" s="97" t="n">
        <v>3</v>
      </c>
      <c r="E92" s="97" t="n">
        <v>5</v>
      </c>
      <c r="F92" s="101"/>
    </row>
    <row r="93" customFormat="false" ht="14.25" hidden="false" customHeight="true" outlineLevel="0" collapsed="false">
      <c r="A93" s="96" t="s">
        <v>324</v>
      </c>
      <c r="B93" s="96" t="s">
        <v>211</v>
      </c>
      <c r="C93" s="97" t="n">
        <v>3</v>
      </c>
      <c r="D93" s="97" t="n">
        <v>0</v>
      </c>
      <c r="E93" s="97" t="n">
        <v>0</v>
      </c>
      <c r="F93" s="101"/>
    </row>
    <row r="94" customFormat="false" ht="14.25" hidden="false" customHeight="true" outlineLevel="0" collapsed="false">
      <c r="A94" s="96" t="s">
        <v>345</v>
      </c>
      <c r="B94" s="96" t="s">
        <v>201</v>
      </c>
      <c r="C94" s="97" t="n">
        <v>0</v>
      </c>
      <c r="D94" s="97" t="n">
        <v>1</v>
      </c>
      <c r="E94" s="97" t="n">
        <v>13</v>
      </c>
      <c r="F94" s="101"/>
    </row>
    <row r="95" customFormat="false" ht="14.25" hidden="false" customHeight="true" outlineLevel="0" collapsed="false">
      <c r="A95" s="96" t="s">
        <v>327</v>
      </c>
      <c r="B95" s="96" t="s">
        <v>197</v>
      </c>
      <c r="C95" s="97" t="n">
        <v>1</v>
      </c>
      <c r="D95" s="97" t="n">
        <v>0</v>
      </c>
      <c r="E95" s="97" t="n">
        <v>1</v>
      </c>
      <c r="F95" s="101"/>
    </row>
    <row r="96" customFormat="false" ht="14.25" hidden="false" customHeight="true" outlineLevel="0" collapsed="false">
      <c r="A96" s="96" t="s">
        <v>297</v>
      </c>
      <c r="B96" s="96" t="s">
        <v>197</v>
      </c>
      <c r="C96" s="97" t="n">
        <v>25</v>
      </c>
      <c r="D96" s="97" t="n">
        <v>1</v>
      </c>
      <c r="E96" s="97" t="n">
        <v>68</v>
      </c>
      <c r="F96" s="101"/>
    </row>
    <row r="97" customFormat="false" ht="14.25" hidden="false" customHeight="true" outlineLevel="0" collapsed="false">
      <c r="A97" s="96" t="s">
        <v>224</v>
      </c>
      <c r="B97" s="96" t="s">
        <v>225</v>
      </c>
      <c r="C97" s="97" t="n">
        <v>5</v>
      </c>
      <c r="D97" s="97" t="n">
        <v>23</v>
      </c>
      <c r="E97" s="97" t="n">
        <v>116</v>
      </c>
      <c r="F97" s="101"/>
    </row>
    <row r="98" customFormat="false" ht="14.25" hidden="false" customHeight="true" outlineLevel="0" collapsed="false">
      <c r="A98" s="96" t="s">
        <v>253</v>
      </c>
      <c r="B98" s="96" t="s">
        <v>201</v>
      </c>
      <c r="C98" s="97" t="n">
        <v>0</v>
      </c>
      <c r="D98" s="97" t="n">
        <v>3</v>
      </c>
      <c r="E98" s="97" t="n">
        <v>10</v>
      </c>
      <c r="F98" s="101"/>
    </row>
    <row r="99" customFormat="false" ht="14.25" hidden="false" customHeight="true" outlineLevel="0" collapsed="false">
      <c r="A99" s="96" t="s">
        <v>252</v>
      </c>
      <c r="B99" s="96" t="s">
        <v>201</v>
      </c>
      <c r="C99" s="97" t="n">
        <v>0</v>
      </c>
      <c r="D99" s="97" t="n">
        <v>5</v>
      </c>
      <c r="E99" s="97" t="n">
        <v>21</v>
      </c>
      <c r="F99" s="101"/>
    </row>
    <row r="100" customFormat="false" ht="14.25" hidden="false" customHeight="true" outlineLevel="0" collapsed="false">
      <c r="A100" s="96" t="s">
        <v>246</v>
      </c>
      <c r="B100" s="96" t="s">
        <v>201</v>
      </c>
      <c r="C100" s="97" t="n">
        <v>0</v>
      </c>
      <c r="D100" s="97" t="n">
        <v>1</v>
      </c>
      <c r="E100" s="97" t="n">
        <v>1</v>
      </c>
      <c r="F100" s="101"/>
    </row>
    <row r="101" customFormat="false" ht="14.25" hidden="false" customHeight="true" outlineLevel="0" collapsed="false">
      <c r="A101" s="96" t="s">
        <v>200</v>
      </c>
      <c r="B101" s="96" t="s">
        <v>201</v>
      </c>
      <c r="C101" s="97" t="n">
        <v>7</v>
      </c>
      <c r="D101" s="97" t="n">
        <v>58</v>
      </c>
      <c r="E101" s="97" t="n">
        <v>185</v>
      </c>
      <c r="F101" s="101"/>
    </row>
    <row r="102" customFormat="false" ht="14.25" hidden="false" customHeight="true" outlineLevel="0" collapsed="false">
      <c r="A102" s="96" t="s">
        <v>218</v>
      </c>
      <c r="B102" s="96" t="s">
        <v>201</v>
      </c>
      <c r="C102" s="97" t="n">
        <v>0</v>
      </c>
      <c r="D102" s="97" t="n">
        <v>3</v>
      </c>
      <c r="E102" s="97" t="n">
        <v>16</v>
      </c>
      <c r="F102" s="101"/>
    </row>
    <row r="103" customFormat="false" ht="14.25" hidden="false" customHeight="true" outlineLevel="0" collapsed="false">
      <c r="A103" s="96" t="s">
        <v>292</v>
      </c>
      <c r="B103" s="96" t="s">
        <v>211</v>
      </c>
      <c r="C103" s="97" t="n">
        <v>0</v>
      </c>
      <c r="D103" s="97" t="n">
        <v>0</v>
      </c>
      <c r="E103" s="97" t="n">
        <v>3</v>
      </c>
      <c r="F103" s="101"/>
    </row>
    <row r="104" customFormat="false" ht="14.25" hidden="false" customHeight="true" outlineLevel="0" collapsed="false">
      <c r="A104" s="96" t="s">
        <v>289</v>
      </c>
      <c r="B104" s="96" t="s">
        <v>290</v>
      </c>
      <c r="C104" s="97" t="n">
        <v>0</v>
      </c>
      <c r="D104" s="97" t="n">
        <v>0</v>
      </c>
      <c r="E104" s="97" t="n">
        <v>8</v>
      </c>
      <c r="F104" s="101"/>
    </row>
    <row r="105" customFormat="false" ht="14.25" hidden="false" customHeight="true" outlineLevel="0" collapsed="false">
      <c r="A105" s="96" t="s">
        <v>268</v>
      </c>
      <c r="B105" s="96" t="s">
        <v>197</v>
      </c>
      <c r="C105" s="97" t="n">
        <v>0</v>
      </c>
      <c r="D105" s="97" t="n">
        <v>4</v>
      </c>
      <c r="E105" s="97" t="n">
        <v>2</v>
      </c>
      <c r="F105" s="101"/>
    </row>
    <row r="106" customFormat="false" ht="14.25" hidden="false" customHeight="true" outlineLevel="0" collapsed="false">
      <c r="A106" s="96" t="s">
        <v>257</v>
      </c>
      <c r="B106" s="96" t="s">
        <v>225</v>
      </c>
      <c r="C106" s="97" t="n">
        <v>0</v>
      </c>
      <c r="D106" s="97" t="n">
        <v>1</v>
      </c>
      <c r="E106" s="97" t="n">
        <v>5</v>
      </c>
      <c r="F106" s="101"/>
    </row>
    <row r="107" customFormat="false" ht="14.25" hidden="false" customHeight="true" outlineLevel="0" collapsed="false">
      <c r="A107" s="96" t="s">
        <v>339</v>
      </c>
      <c r="B107" s="96" t="s">
        <v>197</v>
      </c>
      <c r="C107" s="97" t="n">
        <v>0</v>
      </c>
      <c r="D107" s="97" t="n">
        <v>0</v>
      </c>
      <c r="E107" s="97" t="n">
        <v>46</v>
      </c>
      <c r="F107" s="101"/>
    </row>
    <row r="108" customFormat="false" ht="14.25" hidden="false" customHeight="true" outlineLevel="0" collapsed="false">
      <c r="A108" s="96" t="s">
        <v>236</v>
      </c>
      <c r="B108" s="96" t="s">
        <v>201</v>
      </c>
      <c r="C108" s="97" t="n">
        <v>1</v>
      </c>
      <c r="D108" s="97" t="n">
        <v>1</v>
      </c>
      <c r="E108" s="97" t="n">
        <v>0</v>
      </c>
      <c r="F108" s="101"/>
    </row>
    <row r="109" customFormat="false" ht="14.25" hidden="false" customHeight="true" outlineLevel="0" collapsed="false">
      <c r="A109" s="96" t="s">
        <v>298</v>
      </c>
      <c r="B109" s="96" t="s">
        <v>211</v>
      </c>
      <c r="C109" s="97" t="n">
        <v>0</v>
      </c>
      <c r="D109" s="97" t="n">
        <v>0</v>
      </c>
      <c r="E109" s="97" t="n">
        <v>1</v>
      </c>
      <c r="F109" s="101"/>
    </row>
    <row r="110" customFormat="false" ht="14.25" hidden="false" customHeight="true" outlineLevel="0" collapsed="false">
      <c r="A110" s="96" t="s">
        <v>206</v>
      </c>
      <c r="B110" s="96" t="s">
        <v>201</v>
      </c>
      <c r="C110" s="97" t="n">
        <v>0</v>
      </c>
      <c r="D110" s="97" t="n">
        <v>38</v>
      </c>
      <c r="E110" s="97" t="n">
        <v>18</v>
      </c>
      <c r="F110" s="101"/>
    </row>
    <row r="111" customFormat="false" ht="14.25" hidden="false" customHeight="true" outlineLevel="0" collapsed="false">
      <c r="A111" s="96" t="s">
        <v>341</v>
      </c>
      <c r="B111" s="96" t="s">
        <v>211</v>
      </c>
      <c r="C111" s="97" t="n">
        <v>0</v>
      </c>
      <c r="D111" s="97" t="n">
        <v>0</v>
      </c>
      <c r="E111" s="97" t="n">
        <v>2</v>
      </c>
      <c r="F111" s="101"/>
    </row>
    <row r="112" customFormat="false" ht="14.25" hidden="false" customHeight="true" outlineLevel="0" collapsed="false">
      <c r="A112" s="96" t="s">
        <v>254</v>
      </c>
      <c r="B112" s="96" t="s">
        <v>197</v>
      </c>
      <c r="C112" s="97" t="n">
        <v>0</v>
      </c>
      <c r="D112" s="97" t="n">
        <v>1</v>
      </c>
      <c r="E112" s="97" t="n">
        <v>6</v>
      </c>
      <c r="F112" s="101"/>
    </row>
    <row r="113" customFormat="false" ht="14.25" hidden="false" customHeight="true" outlineLevel="0" collapsed="false">
      <c r="A113" s="96" t="s">
        <v>295</v>
      </c>
      <c r="B113" s="96" t="s">
        <v>201</v>
      </c>
      <c r="C113" s="97" t="n">
        <v>1</v>
      </c>
      <c r="D113" s="97" t="n">
        <v>1</v>
      </c>
      <c r="E113" s="97" t="n">
        <v>2</v>
      </c>
      <c r="F113" s="101"/>
    </row>
    <row r="114" customFormat="false" ht="14.25" hidden="false" customHeight="true" outlineLevel="0" collapsed="false">
      <c r="A114" s="96" t="s">
        <v>264</v>
      </c>
      <c r="B114" s="96" t="s">
        <v>197</v>
      </c>
      <c r="C114" s="97" t="n">
        <v>0</v>
      </c>
      <c r="D114" s="97" t="n">
        <v>1</v>
      </c>
      <c r="E114" s="97" t="n">
        <v>12</v>
      </c>
      <c r="F114" s="101"/>
    </row>
    <row r="115" customFormat="false" ht="14.25" hidden="false" customHeight="true" outlineLevel="0" collapsed="false">
      <c r="A115" s="96" t="s">
        <v>259</v>
      </c>
      <c r="B115" s="96" t="s">
        <v>201</v>
      </c>
      <c r="C115" s="97" t="n">
        <v>0</v>
      </c>
      <c r="D115" s="97" t="n">
        <v>1</v>
      </c>
      <c r="E115" s="97" t="n">
        <v>7</v>
      </c>
      <c r="F115" s="101"/>
    </row>
    <row r="116" customFormat="false" ht="14.25" hidden="false" customHeight="true" outlineLevel="0" collapsed="false">
      <c r="A116" s="96" t="s">
        <v>237</v>
      </c>
      <c r="B116" s="96" t="s">
        <v>201</v>
      </c>
      <c r="C116" s="97" t="n">
        <v>0</v>
      </c>
      <c r="D116" s="97" t="n">
        <v>1</v>
      </c>
      <c r="E116" s="97" t="n">
        <v>0</v>
      </c>
      <c r="F116" s="101"/>
    </row>
    <row r="117" customFormat="false" ht="14.25" hidden="false" customHeight="true" outlineLevel="0" collapsed="false">
      <c r="A117" s="96" t="s">
        <v>317</v>
      </c>
      <c r="B117" s="96" t="s">
        <v>197</v>
      </c>
      <c r="C117" s="97" t="n">
        <v>1</v>
      </c>
      <c r="D117" s="97" t="n">
        <v>0</v>
      </c>
      <c r="E117" s="97" t="n">
        <v>0</v>
      </c>
      <c r="F117" s="101"/>
    </row>
    <row r="118" customFormat="false" ht="14.25" hidden="false" customHeight="true" outlineLevel="0" collapsed="false">
      <c r="A118" s="96" t="s">
        <v>242</v>
      </c>
      <c r="B118" s="96" t="s">
        <v>211</v>
      </c>
      <c r="C118" s="97" t="n">
        <v>8</v>
      </c>
      <c r="D118" s="97" t="n">
        <v>3</v>
      </c>
      <c r="E118" s="97" t="n">
        <v>15</v>
      </c>
      <c r="F118" s="101"/>
    </row>
    <row r="119" customFormat="false" ht="14.25" hidden="false" customHeight="true" outlineLevel="0" collapsed="false">
      <c r="A119" s="96" t="s">
        <v>278</v>
      </c>
      <c r="B119" s="96" t="s">
        <v>197</v>
      </c>
      <c r="C119" s="97" t="n">
        <v>0</v>
      </c>
      <c r="D119" s="97" t="n">
        <v>315</v>
      </c>
      <c r="E119" s="97" t="n">
        <v>48</v>
      </c>
      <c r="F119" s="101"/>
    </row>
    <row r="120" customFormat="false" ht="14.25" hidden="false" customHeight="true" outlineLevel="0" collapsed="false">
      <c r="A120" s="96" t="s">
        <v>239</v>
      </c>
      <c r="B120" s="96" t="s">
        <v>225</v>
      </c>
      <c r="C120" s="97" t="n">
        <v>1</v>
      </c>
      <c r="D120" s="97" t="n">
        <v>11</v>
      </c>
      <c r="E120" s="97" t="n">
        <v>55</v>
      </c>
      <c r="F120" s="101"/>
    </row>
    <row r="121" customFormat="false" ht="14.25" hidden="false" customHeight="true" outlineLevel="0" collapsed="false">
      <c r="A121" s="96" t="s">
        <v>337</v>
      </c>
      <c r="B121" s="96" t="s">
        <v>211</v>
      </c>
      <c r="C121" s="97" t="n">
        <v>0</v>
      </c>
      <c r="D121" s="97" t="n">
        <v>0</v>
      </c>
      <c r="E121" s="97" t="n">
        <v>28</v>
      </c>
      <c r="F121" s="101"/>
    </row>
    <row r="122" customFormat="false" ht="14.25" hidden="false" customHeight="true" outlineLevel="0" collapsed="false">
      <c r="A122" s="96" t="s">
        <v>287</v>
      </c>
      <c r="B122" s="96" t="s">
        <v>211</v>
      </c>
      <c r="C122" s="97" t="n">
        <v>0</v>
      </c>
      <c r="D122" s="97" t="n">
        <v>0</v>
      </c>
      <c r="E122" s="97" t="n">
        <v>1</v>
      </c>
      <c r="F122" s="101"/>
    </row>
    <row r="123" customFormat="false" ht="14.25" hidden="false" customHeight="true" outlineLevel="0" collapsed="false">
      <c r="A123" s="96" t="s">
        <v>343</v>
      </c>
      <c r="B123" s="96" t="s">
        <v>201</v>
      </c>
      <c r="C123" s="97" t="n">
        <v>0</v>
      </c>
      <c r="D123" s="97" t="n">
        <v>0</v>
      </c>
      <c r="E123" s="97" t="n">
        <v>1</v>
      </c>
      <c r="F123" s="101"/>
    </row>
    <row r="124" customFormat="false" ht="14.25" hidden="false" customHeight="true" outlineLevel="0" collapsed="false">
      <c r="A124" s="96" t="s">
        <v>354</v>
      </c>
      <c r="B124" s="96" t="s">
        <v>197</v>
      </c>
      <c r="C124" s="97" t="n">
        <v>0</v>
      </c>
      <c r="D124" s="97" t="n">
        <v>0</v>
      </c>
      <c r="E124" s="97" t="n">
        <v>6</v>
      </c>
      <c r="F124" s="101"/>
    </row>
    <row r="125" customFormat="false" ht="14.25" hidden="false" customHeight="true" outlineLevel="0" collapsed="false">
      <c r="A125" s="96" t="s">
        <v>216</v>
      </c>
      <c r="B125" s="96" t="s">
        <v>201</v>
      </c>
      <c r="C125" s="97" t="n">
        <v>1</v>
      </c>
      <c r="D125" s="97" t="n">
        <v>3</v>
      </c>
      <c r="E125" s="97" t="n">
        <v>89</v>
      </c>
      <c r="F125" s="101"/>
    </row>
    <row r="126" customFormat="false" ht="14.25" hidden="false" customHeight="true" outlineLevel="0" collapsed="false">
      <c r="A126" s="96" t="s">
        <v>266</v>
      </c>
      <c r="B126" s="96" t="s">
        <v>211</v>
      </c>
      <c r="C126" s="97" t="n">
        <v>0</v>
      </c>
      <c r="D126" s="97" t="n">
        <v>5</v>
      </c>
      <c r="E126" s="97" t="n">
        <v>28</v>
      </c>
      <c r="F126" s="101"/>
    </row>
    <row r="127" customFormat="false" ht="14.25" hidden="false" customHeight="true" outlineLevel="0" collapsed="false">
      <c r="A127" s="96" t="s">
        <v>309</v>
      </c>
      <c r="B127" s="96" t="s">
        <v>310</v>
      </c>
      <c r="C127" s="97" t="n">
        <v>1</v>
      </c>
      <c r="D127" s="97" t="n">
        <v>0</v>
      </c>
      <c r="E127" s="97" t="n">
        <v>1</v>
      </c>
      <c r="F127" s="101"/>
    </row>
    <row r="128" customFormat="false" ht="14.25" hidden="false" customHeight="true" outlineLevel="0" collapsed="false">
      <c r="A128" s="96" t="s">
        <v>316</v>
      </c>
      <c r="B128" s="96" t="s">
        <v>290</v>
      </c>
      <c r="C128" s="97" t="n">
        <v>0</v>
      </c>
      <c r="D128" s="97" t="n">
        <v>0</v>
      </c>
      <c r="E128" s="97" t="n">
        <v>1</v>
      </c>
      <c r="F128" s="101"/>
    </row>
    <row r="129" customFormat="false" ht="14.25" hidden="false" customHeight="true" outlineLevel="0" collapsed="false">
      <c r="A129" s="96" t="s">
        <v>334</v>
      </c>
      <c r="B129" s="96" t="s">
        <v>211</v>
      </c>
      <c r="C129" s="97" t="n">
        <v>0</v>
      </c>
      <c r="D129" s="97" t="n">
        <v>0</v>
      </c>
      <c r="E129" s="97" t="n">
        <v>10</v>
      </c>
      <c r="F129" s="101"/>
    </row>
    <row r="130" customFormat="false" ht="14.25" hidden="false" customHeight="true" outlineLevel="0" collapsed="false">
      <c r="A130" s="96" t="s">
        <v>207</v>
      </c>
      <c r="B130" s="96" t="s">
        <v>201</v>
      </c>
      <c r="C130" s="97" t="n">
        <v>3</v>
      </c>
      <c r="D130" s="97" t="n">
        <v>9</v>
      </c>
      <c r="E130" s="97" t="n">
        <v>14</v>
      </c>
      <c r="F130" s="101"/>
    </row>
    <row r="131" customFormat="false" ht="14.25" hidden="false" customHeight="true" outlineLevel="0" collapsed="false">
      <c r="A131" s="96" t="s">
        <v>229</v>
      </c>
      <c r="B131" s="96" t="s">
        <v>230</v>
      </c>
      <c r="C131" s="97" t="n">
        <v>19</v>
      </c>
      <c r="D131" s="97" t="n">
        <v>44</v>
      </c>
      <c r="E131" s="97" t="n">
        <v>72</v>
      </c>
      <c r="F131" s="101"/>
    </row>
    <row r="132" customFormat="false" ht="14.25" hidden="false" customHeight="true" outlineLevel="0" collapsed="false">
      <c r="A132" s="96" t="s">
        <v>234</v>
      </c>
      <c r="B132" s="96" t="s">
        <v>225</v>
      </c>
      <c r="C132" s="97" t="n">
        <v>6</v>
      </c>
      <c r="D132" s="97" t="n">
        <v>5</v>
      </c>
      <c r="E132" s="97" t="n">
        <v>181</v>
      </c>
      <c r="F132" s="101"/>
    </row>
    <row r="133" customFormat="false" ht="14.25" hidden="false" customHeight="true" outlineLevel="0" collapsed="false">
      <c r="A133" s="96" t="s">
        <v>279</v>
      </c>
      <c r="B133" s="96" t="s">
        <v>201</v>
      </c>
      <c r="C133" s="97" t="n">
        <v>1</v>
      </c>
      <c r="D133" s="97" t="n">
        <v>4</v>
      </c>
      <c r="E133" s="97" t="n">
        <v>3</v>
      </c>
      <c r="F133" s="101"/>
    </row>
    <row r="134" customFormat="false" ht="14.25" hidden="false" customHeight="true" outlineLevel="0" collapsed="false">
      <c r="A134" s="96" t="s">
        <v>350</v>
      </c>
      <c r="B134" s="96" t="s">
        <v>201</v>
      </c>
      <c r="C134" s="97" t="n">
        <v>0</v>
      </c>
      <c r="D134" s="97" t="n">
        <v>0</v>
      </c>
      <c r="E134" s="97" t="n">
        <v>4</v>
      </c>
      <c r="F134" s="101"/>
    </row>
    <row r="135" customFormat="false" ht="14.25" hidden="false" customHeight="true" outlineLevel="0" collapsed="false">
      <c r="A135" s="96" t="s">
        <v>349</v>
      </c>
      <c r="B135" s="96" t="s">
        <v>197</v>
      </c>
      <c r="C135" s="97" t="n">
        <v>0</v>
      </c>
      <c r="D135" s="97" t="n">
        <v>0</v>
      </c>
      <c r="E135" s="97" t="n">
        <v>2</v>
      </c>
      <c r="F135" s="101"/>
    </row>
    <row r="136" customFormat="false" ht="14.25" hidden="false" customHeight="true" outlineLevel="0" collapsed="false">
      <c r="A136" s="96" t="s">
        <v>351</v>
      </c>
      <c r="B136" s="96" t="s">
        <v>201</v>
      </c>
      <c r="C136" s="97" t="n">
        <v>0</v>
      </c>
      <c r="D136" s="97" t="n">
        <v>0</v>
      </c>
      <c r="E136" s="97" t="n">
        <v>12</v>
      </c>
      <c r="F136" s="101"/>
    </row>
    <row r="137" customFormat="false" ht="14.25" hidden="false" customHeight="true" outlineLevel="0" collapsed="false">
      <c r="A137" s="96" t="s">
        <v>366</v>
      </c>
      <c r="B137" s="96" t="s">
        <v>290</v>
      </c>
      <c r="C137" s="97" t="n">
        <v>0</v>
      </c>
      <c r="D137" s="97" t="n">
        <v>1</v>
      </c>
      <c r="E137" s="97" t="n">
        <v>0</v>
      </c>
      <c r="F137" s="101"/>
    </row>
    <row r="138" customFormat="false" ht="14.25" hidden="false" customHeight="true" outlineLevel="0" collapsed="false">
      <c r="A138" s="96" t="s">
        <v>213</v>
      </c>
      <c r="B138" s="96" t="s">
        <v>201</v>
      </c>
      <c r="C138" s="97" t="n">
        <v>2</v>
      </c>
      <c r="D138" s="97" t="n">
        <v>67</v>
      </c>
      <c r="E138" s="97" t="n">
        <v>60</v>
      </c>
      <c r="F138" s="101"/>
    </row>
    <row r="139" customFormat="false" ht="14.25" hidden="false" customHeight="true" outlineLevel="0" collapsed="false">
      <c r="A139" s="96" t="s">
        <v>248</v>
      </c>
      <c r="B139" s="96" t="s">
        <v>197</v>
      </c>
      <c r="C139" s="97" t="n">
        <v>4</v>
      </c>
      <c r="D139" s="97" t="n">
        <v>7</v>
      </c>
      <c r="E139" s="97" t="n">
        <v>203</v>
      </c>
      <c r="F139" s="101"/>
    </row>
    <row r="140" customFormat="false" ht="14.25" hidden="false" customHeight="true" outlineLevel="0" collapsed="false">
      <c r="A140" s="96" t="s">
        <v>294</v>
      </c>
      <c r="B140" s="96" t="s">
        <v>225</v>
      </c>
      <c r="C140" s="97" t="n">
        <v>0</v>
      </c>
      <c r="D140" s="97" t="n">
        <v>0</v>
      </c>
      <c r="E140" s="97" t="n">
        <v>1</v>
      </c>
      <c r="F140" s="101"/>
    </row>
    <row r="141" customFormat="false" ht="14.25" hidden="false" customHeight="true" outlineLevel="0" collapsed="false">
      <c r="A141" s="96" t="s">
        <v>227</v>
      </c>
      <c r="B141" s="96" t="s">
        <v>197</v>
      </c>
      <c r="C141" s="97" t="n">
        <v>21</v>
      </c>
      <c r="D141" s="97" t="n">
        <v>39</v>
      </c>
      <c r="E141" s="97" t="n">
        <v>64</v>
      </c>
      <c r="F141" s="101"/>
    </row>
    <row r="142" customFormat="false" ht="14.25" hidden="false" customHeight="true" outlineLevel="0" collapsed="false">
      <c r="A142" s="95" t="s">
        <v>665</v>
      </c>
      <c r="B142" s="95"/>
      <c r="C142" s="95" t="n">
        <f aca="false">SUM(C65:C141)</f>
        <v>556</v>
      </c>
      <c r="D142" s="95" t="n">
        <f aca="false">SUM(D65:D141)</f>
        <v>1234</v>
      </c>
      <c r="E142" s="95" t="n">
        <f aca="false">SUM(E65:E141)</f>
        <v>3480</v>
      </c>
    </row>
    <row r="144" customFormat="false" ht="14.25" hidden="false" customHeight="true" outlineLevel="0" collapsed="false">
      <c r="A144" s="94" t="s">
        <v>668</v>
      </c>
      <c r="B144" s="94"/>
      <c r="C144" s="94"/>
      <c r="D144" s="94"/>
      <c r="E144" s="94"/>
      <c r="F144" s="94"/>
      <c r="G144" s="94"/>
      <c r="H144" s="94"/>
    </row>
    <row r="146" customFormat="false" ht="26.25" hidden="false" customHeight="true" outlineLevel="0" collapsed="false">
      <c r="A146" s="95" t="s">
        <v>669</v>
      </c>
      <c r="B146" s="95" t="s">
        <v>670</v>
      </c>
      <c r="C146" s="95" t="s">
        <v>311</v>
      </c>
      <c r="D146" s="95" t="s">
        <v>190</v>
      </c>
      <c r="E146" s="100" t="s">
        <v>283</v>
      </c>
      <c r="F146" s="102" t="s">
        <v>671</v>
      </c>
    </row>
    <row r="147" customFormat="false" ht="14.25" hidden="false" customHeight="true" outlineLevel="0" collapsed="false">
      <c r="A147" s="96" t="s">
        <v>672</v>
      </c>
      <c r="B147" s="97" t="s">
        <v>673</v>
      </c>
      <c r="C147" s="103" t="n">
        <f aca="false">COUNTIF(D10:D59,"&gt;0")</f>
        <v>27</v>
      </c>
      <c r="D147" s="103" t="n">
        <f aca="false">COUNTIF(E10:E59,"&gt;0")</f>
        <v>32</v>
      </c>
      <c r="E147" s="103" t="n">
        <f aca="false">COUNTIF(F10:F59,"&gt;0")</f>
        <v>46</v>
      </c>
      <c r="F147" s="103" t="s">
        <v>674</v>
      </c>
    </row>
    <row r="148" customFormat="false" ht="14.25" hidden="false" customHeight="true" outlineLevel="0" collapsed="false">
      <c r="A148" s="96" t="s">
        <v>675</v>
      </c>
      <c r="B148" s="97" t="s">
        <v>676</v>
      </c>
      <c r="C148" s="103" t="n">
        <f aca="false" t="array" ref="C148:C148">SUM(COUNTIFS($A$10:$A$59,{"Trichoptera";"Ephemeroptera";"Plecoptera"},D10:D59,"&gt;0"))</f>
        <v>8</v>
      </c>
      <c r="D148" s="103" t="n">
        <f aca="false" t="array" ref="D148:D148">SUM(COUNTIFS($A$10:$A$59,{"Trichoptera";"Ephemeroptera";"Plecoptera"},E10:E59,"&gt;0"))</f>
        <v>9</v>
      </c>
      <c r="E148" s="103" t="n">
        <f aca="false" t="array" ref="E148:E148">SUM(COUNTIFS($A$10:$A$59,{"Trichoptera";"Ephemeroptera";"Plecoptera"},F10:F59,"&gt;0"))</f>
        <v>13</v>
      </c>
      <c r="F148" s="103" t="s">
        <v>674</v>
      </c>
    </row>
    <row r="149" customFormat="false" ht="14.25" hidden="false" customHeight="true" outlineLevel="0" collapsed="false">
      <c r="A149" s="96" t="s">
        <v>677</v>
      </c>
      <c r="B149" s="97" t="s">
        <v>678</v>
      </c>
      <c r="C149" s="103" t="n">
        <f aca="false">COUNTIF(C65:C141,"1")</f>
        <v>13</v>
      </c>
      <c r="D149" s="103" t="n">
        <f aca="false">COUNTIF(D65:D141,"1")</f>
        <v>17</v>
      </c>
      <c r="E149" s="103" t="n">
        <f aca="false">COUNTIF(E65:E141,"1")</f>
        <v>11</v>
      </c>
      <c r="F149" s="103"/>
    </row>
    <row r="150" customFormat="false" ht="14.25" hidden="false" customHeight="true" outlineLevel="0" collapsed="false">
      <c r="A150" s="96" t="s">
        <v>679</v>
      </c>
      <c r="B150" s="97" t="s">
        <v>680</v>
      </c>
      <c r="C150" s="103" t="n">
        <f aca="false">COUNTIFS($A$10:$A$59,"Trichoptera",D10:D59,"&gt;0")</f>
        <v>4</v>
      </c>
      <c r="D150" s="103" t="n">
        <f aca="false">COUNTIFS($A$10:$A$59,"Trichoptera",E10:E59,"&gt;0")</f>
        <v>5</v>
      </c>
      <c r="E150" s="103" t="n">
        <f aca="false">COUNTIFS($A$10:$A$59,"Trichoptera",F10:F59,"&gt;0")</f>
        <v>9</v>
      </c>
      <c r="F150" s="103" t="s">
        <v>674</v>
      </c>
    </row>
    <row r="151" customFormat="false" ht="14.25" hidden="false" customHeight="true" outlineLevel="0" collapsed="false">
      <c r="A151" s="96" t="s">
        <v>681</v>
      </c>
      <c r="B151" s="97" t="s">
        <v>682</v>
      </c>
      <c r="C151" s="103" t="n">
        <f aca="false">COUNTIFS($A$10:$A$59,"Diptera",D10:D59,"&gt;0")</f>
        <v>5</v>
      </c>
      <c r="D151" s="103" t="n">
        <f aca="false">COUNTIFS($A$10:$A$59,"Diptera",E10:E59,"&gt;0")</f>
        <v>5</v>
      </c>
      <c r="E151" s="103" t="n">
        <f aca="false">COUNTIFS($A$10:$A$59,"Diptera",F10:F59,"&gt;0")</f>
        <v>11</v>
      </c>
      <c r="F151" s="103" t="s">
        <v>674</v>
      </c>
    </row>
    <row r="152" customFormat="false" ht="14.25" hidden="false" customHeight="true" outlineLevel="0" collapsed="false">
      <c r="A152" s="96" t="s">
        <v>100</v>
      </c>
      <c r="B152" s="97" t="s">
        <v>683</v>
      </c>
      <c r="C152" s="103" t="n">
        <f aca="false">D60</f>
        <v>556</v>
      </c>
      <c r="D152" s="103" t="n">
        <f aca="false">E60</f>
        <v>1234</v>
      </c>
      <c r="E152" s="103" t="n">
        <f aca="false">F60</f>
        <v>3480</v>
      </c>
      <c r="F152" s="104" t="s">
        <v>684</v>
      </c>
    </row>
    <row r="153" customFormat="false" ht="14.25" hidden="false" customHeight="true" outlineLevel="0" collapsed="false">
      <c r="A153" s="96" t="s">
        <v>685</v>
      </c>
      <c r="B153" s="97" t="s">
        <v>686</v>
      </c>
      <c r="C153" s="105" t="n">
        <f aca="false">(SUMIFS(D10:D59,$A$10:$A$59,"Ephemeroptera")/D$60)*100</f>
        <v>24.4604316546763</v>
      </c>
      <c r="D153" s="105" t="n">
        <f aca="false">(SUMIFS(E10:E59,$A$10:$A$59,"Ephemeroptera")/E$60)*100</f>
        <v>17.5040518638574</v>
      </c>
      <c r="E153" s="105" t="n">
        <f aca="false">(SUMIFS(F10:F59,$A$10:$A$59,"Ephemeroptera")/F$60)*100</f>
        <v>33.8793103448276</v>
      </c>
      <c r="F153" s="103" t="s">
        <v>674</v>
      </c>
    </row>
    <row r="154" customFormat="false" ht="14.25" hidden="false" customHeight="true" outlineLevel="0" collapsed="false">
      <c r="A154" s="96" t="s">
        <v>687</v>
      </c>
      <c r="B154" s="97" t="s">
        <v>688</v>
      </c>
      <c r="C154" s="105" t="n">
        <f aca="false">(SUMIFS(D10:D59,$B$10:$B$59,"Chironomidae")/D$60)*100</f>
        <v>4.49640287769784</v>
      </c>
      <c r="D154" s="105" t="n">
        <f aca="false">(SUMIFS(E10:E59,$B$10:$B$59,"Chironomidae")/E$60)*100</f>
        <v>19.2058346839546</v>
      </c>
      <c r="E154" s="105" t="n">
        <f aca="false">(SUMIFS(F10:F59,$B$10:$B$59,"Chironomidae")/F$60)*100</f>
        <v>7.95977011494253</v>
      </c>
      <c r="F154" s="103" t="s">
        <v>689</v>
      </c>
    </row>
    <row r="155" customFormat="false" ht="14.25" hidden="false" customHeight="true" outlineLevel="0" collapsed="false">
      <c r="A155" s="96" t="s">
        <v>93</v>
      </c>
      <c r="B155" s="97" t="s">
        <v>93</v>
      </c>
      <c r="C155" s="105" t="n">
        <f aca="false" t="array" ref="C155:C155">(SUMPRODUCT((D10:D59)*(($A$10:$A$59="Ephemeroptera")+($A$10:$A$59="Plecoptera")+($A$10:$A$59="Trichoptera")))/D$60)*100</f>
        <v>32.7338129496403</v>
      </c>
      <c r="D155" s="105" t="n">
        <f aca="false" t="array" ref="D155:D155">(SUMPRODUCT((E10:E59)*(($A$10:$A$59="Ephemeroptera")+($A$10:$A$59="Plecoptera")+($A$10:$A$59="Trichoptera")))/E$60)*100</f>
        <v>23.6628849270665</v>
      </c>
      <c r="E155" s="105" t="n">
        <f aca="false" t="array" ref="E155:E155">(SUMPRODUCT((F10:F59)*(($A$10:$A$59="Ephemeroptera")+($A$10:$A$59="Plecoptera")+($A$10:$A$59="Trichoptera")))/F$60)*100</f>
        <v>58.0459770114943</v>
      </c>
      <c r="F155" s="103" t="s">
        <v>674</v>
      </c>
    </row>
    <row r="156" customFormat="false" ht="14.25" hidden="false" customHeight="true" outlineLevel="0" collapsed="false">
      <c r="A156" s="96" t="s">
        <v>690</v>
      </c>
      <c r="B156" s="97" t="s">
        <v>691</v>
      </c>
      <c r="C156" s="105" t="n">
        <f aca="false">(SUMIFS(C65:C141,$B$65:$B$141,"CG")/C$142)*100</f>
        <v>82.9136690647482</v>
      </c>
      <c r="D156" s="105" t="n">
        <f aca="false">(SUMIFS(D65:D141,$B$65:$B$141,"CG")/D$142)*100</f>
        <v>61.3452188006483</v>
      </c>
      <c r="E156" s="105" t="n">
        <f aca="false">(SUMIFS(E65:E141,$B$65:$B$141,"CG")/E$142)*100</f>
        <v>45</v>
      </c>
      <c r="F156" s="103" t="s">
        <v>674</v>
      </c>
    </row>
    <row r="157" customFormat="false" ht="14.25" hidden="false" customHeight="true" outlineLevel="0" collapsed="false">
      <c r="A157" s="96" t="s">
        <v>692</v>
      </c>
      <c r="B157" s="97" t="s">
        <v>693</v>
      </c>
      <c r="C157" s="105" t="n">
        <f aca="false">(SUMIFS(C65:C141,$B$65:$B$141,"Pr")/C$142)*100</f>
        <v>8.99280575539568</v>
      </c>
      <c r="D157" s="105" t="n">
        <f aca="false">(SUMIFS(D65:D141,$B$65:$B$141,"Pr")/D$142)*100</f>
        <v>22.2852512155592</v>
      </c>
      <c r="E157" s="105" t="n">
        <f aca="false">(SUMIFS(E65:E141,$B$65:$B$141,"Pr")/E$142)*100</f>
        <v>21.7528735632184</v>
      </c>
      <c r="F157" s="103" t="s">
        <v>674</v>
      </c>
    </row>
    <row r="158" customFormat="false" ht="14.25" hidden="false" customHeight="true" outlineLevel="0" collapsed="false">
      <c r="A158" s="96" t="s">
        <v>694</v>
      </c>
      <c r="B158" s="97" t="s">
        <v>230</v>
      </c>
      <c r="C158" s="103" t="n">
        <f aca="false">COUNTIFS($B$65:$B$141,"Ft",C65:C141,"&gt;0")</f>
        <v>1</v>
      </c>
      <c r="D158" s="103" t="n">
        <f aca="false">COUNTIFS($B$65:$B$141,"Ft",D65:D141,"&gt;0")</f>
        <v>2</v>
      </c>
      <c r="E158" s="103" t="n">
        <f aca="false">COUNTIFS($B$65:$B$141,"Ft",E65:E141,"&gt;0")</f>
        <v>2</v>
      </c>
      <c r="F158" s="103" t="s">
        <v>674</v>
      </c>
    </row>
    <row r="159" customFormat="false" ht="14.25" hidden="false" customHeight="true" outlineLevel="0" collapsed="false">
      <c r="A159" s="96" t="s">
        <v>695</v>
      </c>
      <c r="B159" s="97" t="s">
        <v>696</v>
      </c>
      <c r="C159" s="105" t="n">
        <f aca="false">(SUMIFS(C65:C141,$B$65:$B$141,"Ft")/C$142)*100</f>
        <v>3.41726618705036</v>
      </c>
      <c r="D159" s="105" t="n">
        <f aca="false">(SUMIFS(D65:D141,$B$65:$B$141,"Ft")/D$142)*100</f>
        <v>3.72771474878444</v>
      </c>
      <c r="E159" s="105" t="n">
        <f aca="false">(SUMIFS(E65:E141,$B$65:$B$141,"Ft")/E$142)*100</f>
        <v>2.44252873563218</v>
      </c>
      <c r="F159" s="103" t="s">
        <v>674</v>
      </c>
    </row>
    <row r="160" customFormat="false" ht="14.25" hidden="false" customHeight="true" outlineLevel="0" collapsed="false">
      <c r="A160" s="96" t="s">
        <v>697</v>
      </c>
      <c r="B160" s="97" t="s">
        <v>698</v>
      </c>
      <c r="C160" s="105" t="n">
        <f aca="false">(SUMIFS(C65:C141,$B$65:$B$141,"Sh-Dt")/C$142)*100</f>
        <v>2.15827338129496</v>
      </c>
      <c r="D160" s="105" t="n">
        <f aca="false">(SUMIFS(D65:D141,$B$65:$B$141,"Sh-Dt")/D$142)*100</f>
        <v>4.13290113452188</v>
      </c>
      <c r="E160" s="105" t="n">
        <f aca="false">(SUMIFS(E65:E141,$B$65:$B$141,"Sh-Dt")/E$142)*100</f>
        <v>13.1609195402299</v>
      </c>
      <c r="F160" s="103" t="s">
        <v>674</v>
      </c>
    </row>
    <row r="161" customFormat="false" ht="14.25" hidden="false" customHeight="true" outlineLevel="0" collapsed="false">
      <c r="A161" s="96" t="s">
        <v>699</v>
      </c>
      <c r="B161" s="97" t="s">
        <v>700</v>
      </c>
      <c r="C161" s="105" t="n">
        <f aca="false">(SUMIFS(C65:C141,$B$65:$B$141,"Ras")/C$142)*100</f>
        <v>2.33812949640288</v>
      </c>
      <c r="D161" s="105" t="n">
        <f aca="false">(SUMIFS(D65:D141,$B$65:$B$141,"Ras")/D$142)*100</f>
        <v>8.42787682333874</v>
      </c>
      <c r="E161" s="105" t="n">
        <f aca="false">(SUMIFS(E65:E141,$B$65:$B$141,"Ras")/E$142)*100</f>
        <v>15.8908045977012</v>
      </c>
      <c r="F161" s="103" t="s">
        <v>674</v>
      </c>
    </row>
    <row r="162" customFormat="false" ht="14.25" hidden="false" customHeight="true" outlineLevel="0" collapsed="false">
      <c r="A162" s="96" t="s">
        <v>664</v>
      </c>
      <c r="B162" s="97" t="s">
        <v>111</v>
      </c>
      <c r="C162" s="103" t="n">
        <f aca="false" t="array" ref="C162:C162">SUMPRODUCT((D10:D59&gt;0)*IFERROR($C$10:$C$59*1,0))</f>
        <v>183</v>
      </c>
      <c r="D162" s="103" t="n">
        <f aca="false" t="array" ref="D162:D162">SUMPRODUCT((E10:E59&gt;0)*IFERROR($C$10:$C$59*1,0))</f>
        <v>218</v>
      </c>
      <c r="E162" s="103" t="n">
        <f aca="false" t="array" ref="E162:E162">SUMPRODUCT((F10:F59&gt;0)*IFERROR($C$10:$C$59*1,0))</f>
        <v>296</v>
      </c>
      <c r="F162" s="103" t="s">
        <v>674</v>
      </c>
    </row>
    <row r="164" customFormat="false" ht="14.25" hidden="false" customHeight="true" outlineLevel="0" collapsed="false">
      <c r="A164" s="106" t="s">
        <v>701</v>
      </c>
      <c r="B164" s="106"/>
      <c r="C164" s="106"/>
      <c r="D164" s="106"/>
      <c r="E164" s="106"/>
      <c r="F164" s="106"/>
      <c r="G164" s="106"/>
      <c r="H164" s="106"/>
    </row>
    <row r="166" customFormat="false" ht="14.25" hidden="false" customHeight="true" outlineLevel="0" collapsed="false">
      <c r="A166" s="1" t="s">
        <v>702</v>
      </c>
    </row>
    <row r="168" customFormat="false" ht="14.25" hidden="false" customHeight="true" outlineLevel="0" collapsed="false">
      <c r="A168" s="107" t="s">
        <v>703</v>
      </c>
      <c r="B168" s="95"/>
      <c r="C168" s="95" t="s">
        <v>704</v>
      </c>
      <c r="D168" s="95"/>
      <c r="E168" s="95"/>
    </row>
    <row r="169" customFormat="false" ht="14.25" hidden="false" customHeight="true" outlineLevel="0" collapsed="false">
      <c r="A169" s="95" t="s">
        <v>669</v>
      </c>
      <c r="B169" s="95" t="s">
        <v>670</v>
      </c>
      <c r="C169" s="95" t="n">
        <v>0.2</v>
      </c>
      <c r="D169" s="95" t="n">
        <v>0.6</v>
      </c>
      <c r="E169" s="95" t="n">
        <v>1</v>
      </c>
    </row>
    <row r="170" customFormat="false" ht="14.25" hidden="false" customHeight="true" outlineLevel="0" collapsed="false">
      <c r="A170" s="96" t="s">
        <v>672</v>
      </c>
      <c r="B170" s="97" t="s">
        <v>673</v>
      </c>
      <c r="C170" s="103" t="s">
        <v>705</v>
      </c>
      <c r="D170" s="103" t="s">
        <v>706</v>
      </c>
      <c r="E170" s="103" t="s">
        <v>707</v>
      </c>
    </row>
    <row r="171" customFormat="false" ht="14.25" hidden="false" customHeight="true" outlineLevel="0" collapsed="false">
      <c r="A171" s="96" t="s">
        <v>708</v>
      </c>
      <c r="B171" s="97" t="s">
        <v>680</v>
      </c>
      <c r="C171" s="103" t="s">
        <v>709</v>
      </c>
      <c r="D171" s="103" t="s">
        <v>710</v>
      </c>
      <c r="E171" s="103" t="s">
        <v>711</v>
      </c>
    </row>
    <row r="172" customFormat="false" ht="14.25" hidden="false" customHeight="true" outlineLevel="0" collapsed="false">
      <c r="A172" s="96" t="s">
        <v>712</v>
      </c>
      <c r="B172" s="97" t="s">
        <v>682</v>
      </c>
      <c r="C172" s="103" t="s">
        <v>713</v>
      </c>
      <c r="D172" s="103" t="s">
        <v>714</v>
      </c>
      <c r="E172" s="103" t="s">
        <v>715</v>
      </c>
    </row>
    <row r="173" customFormat="false" ht="14.25" hidden="false" customHeight="true" outlineLevel="0" collapsed="false">
      <c r="A173" s="96" t="s">
        <v>716</v>
      </c>
      <c r="B173" s="97" t="s">
        <v>686</v>
      </c>
      <c r="C173" s="103" t="s">
        <v>717</v>
      </c>
      <c r="D173" s="103" t="s">
        <v>718</v>
      </c>
      <c r="E173" s="103" t="s">
        <v>719</v>
      </c>
    </row>
    <row r="174" customFormat="false" ht="14.25" hidden="false" customHeight="true" outlineLevel="0" collapsed="false">
      <c r="A174" s="96" t="s">
        <v>720</v>
      </c>
      <c r="B174" s="97" t="s">
        <v>93</v>
      </c>
      <c r="C174" s="103" t="s">
        <v>721</v>
      </c>
      <c r="D174" s="103" t="s">
        <v>722</v>
      </c>
      <c r="E174" s="103" t="s">
        <v>723</v>
      </c>
    </row>
    <row r="175" customFormat="false" ht="14.25" hidden="false" customHeight="true" outlineLevel="0" collapsed="false">
      <c r="A175" s="96" t="s">
        <v>724</v>
      </c>
      <c r="B175" s="97" t="s">
        <v>725</v>
      </c>
      <c r="C175" s="103" t="s">
        <v>726</v>
      </c>
      <c r="D175" s="103" t="s">
        <v>727</v>
      </c>
      <c r="E175" s="103" t="s">
        <v>728</v>
      </c>
    </row>
    <row r="176" customFormat="false" ht="14.25" hidden="false" customHeight="true" outlineLevel="0" collapsed="false">
      <c r="A176" s="96" t="s">
        <v>729</v>
      </c>
      <c r="B176" s="97" t="s">
        <v>730</v>
      </c>
      <c r="C176" s="103" t="s">
        <v>731</v>
      </c>
      <c r="D176" s="103" t="s">
        <v>732</v>
      </c>
      <c r="E176" s="103" t="s">
        <v>733</v>
      </c>
    </row>
    <row r="177" customFormat="false" ht="14.25" hidden="false" customHeight="true" outlineLevel="0" collapsed="false">
      <c r="A177" s="96" t="s">
        <v>734</v>
      </c>
      <c r="B177" s="97" t="s">
        <v>735</v>
      </c>
      <c r="C177" s="103" t="s">
        <v>736</v>
      </c>
      <c r="D177" s="103" t="s">
        <v>737</v>
      </c>
      <c r="E177" s="103" t="s">
        <v>721</v>
      </c>
    </row>
    <row r="178" customFormat="false" ht="14.25" hidden="false" customHeight="true" outlineLevel="0" collapsed="false">
      <c r="A178" s="96" t="s">
        <v>738</v>
      </c>
      <c r="B178" s="97" t="s">
        <v>691</v>
      </c>
      <c r="C178" s="103" t="s">
        <v>739</v>
      </c>
      <c r="D178" s="103" t="s">
        <v>740</v>
      </c>
      <c r="E178" s="103" t="s">
        <v>741</v>
      </c>
    </row>
    <row r="179" customFormat="false" ht="14.25" hidden="false" customHeight="true" outlineLevel="0" collapsed="false">
      <c r="A179" s="96" t="s">
        <v>742</v>
      </c>
      <c r="B179" s="97" t="s">
        <v>230</v>
      </c>
      <c r="C179" s="103" t="s">
        <v>731</v>
      </c>
      <c r="D179" s="103" t="s">
        <v>743</v>
      </c>
      <c r="E179" s="103" t="s">
        <v>711</v>
      </c>
    </row>
    <row r="180" customFormat="false" ht="14.25" hidden="false" customHeight="true" outlineLevel="0" collapsed="false">
      <c r="A180" s="96" t="s">
        <v>744</v>
      </c>
      <c r="B180" s="97" t="s">
        <v>745</v>
      </c>
      <c r="C180" s="103" t="s">
        <v>711</v>
      </c>
      <c r="D180" s="103" t="s">
        <v>746</v>
      </c>
      <c r="E180" s="103" t="s">
        <v>709</v>
      </c>
    </row>
    <row r="181" customFormat="false" ht="14.25" hidden="false" customHeight="true" outlineLevel="0" collapsed="false">
      <c r="A181" s="108"/>
      <c r="B181" s="101"/>
      <c r="C181" s="109"/>
      <c r="D181" s="109"/>
      <c r="E181" s="109"/>
    </row>
    <row r="182" customFormat="false" ht="14.25" hidden="false" customHeight="true" outlineLevel="0" collapsed="false">
      <c r="A182" s="108"/>
      <c r="B182" s="101"/>
      <c r="C182" s="109"/>
      <c r="D182" s="109"/>
      <c r="E182" s="109"/>
    </row>
    <row r="183" customFormat="false" ht="14.25" hidden="false" customHeight="true" outlineLevel="0" collapsed="false">
      <c r="A183" s="106" t="s">
        <v>747</v>
      </c>
      <c r="B183" s="106"/>
      <c r="C183" s="106"/>
      <c r="D183" s="106"/>
      <c r="E183" s="106"/>
      <c r="F183" s="106"/>
      <c r="G183" s="106"/>
      <c r="H183" s="106"/>
    </row>
    <row r="184" customFormat="false" ht="14.25" hidden="false" customHeight="true" outlineLevel="0" collapsed="false">
      <c r="B184" s="101"/>
      <c r="C184" s="109"/>
      <c r="D184" s="109"/>
      <c r="E184" s="109"/>
    </row>
    <row r="185" customFormat="false" ht="45.75" hidden="false" customHeight="true" outlineLevel="0" collapsed="false">
      <c r="A185" s="110" t="s">
        <v>748</v>
      </c>
      <c r="B185" s="110"/>
      <c r="C185" s="110"/>
      <c r="D185" s="110"/>
      <c r="E185" s="110"/>
      <c r="F185" s="110"/>
      <c r="G185" s="110"/>
      <c r="H185" s="110"/>
    </row>
    <row r="186" customFormat="false" ht="14.25" hidden="false" customHeight="true" outlineLevel="0" collapsed="false">
      <c r="B186" s="101"/>
      <c r="C186" s="109"/>
      <c r="D186" s="109"/>
      <c r="E186" s="109"/>
    </row>
    <row r="187" customFormat="false" ht="14.25" hidden="false" customHeight="true" outlineLevel="0" collapsed="false">
      <c r="A187" s="111" t="s">
        <v>749</v>
      </c>
      <c r="B187" s="101"/>
      <c r="C187" s="109"/>
      <c r="D187" s="109"/>
      <c r="E187" s="109"/>
    </row>
    <row r="188" customFormat="false" ht="14.25" hidden="false" customHeight="true" outlineLevel="0" collapsed="false">
      <c r="A188" s="112"/>
      <c r="B188" s="101"/>
      <c r="C188" s="109"/>
      <c r="D188" s="109"/>
      <c r="E188" s="109"/>
    </row>
    <row r="189" customFormat="false" ht="14.25" hidden="false" customHeight="true" outlineLevel="0" collapsed="false">
      <c r="A189" s="113"/>
      <c r="B189" s="101"/>
      <c r="C189" s="109"/>
      <c r="D189" s="109"/>
      <c r="E189" s="109"/>
    </row>
    <row r="190" customFormat="false" ht="14.25" hidden="false" customHeight="true" outlineLevel="0" collapsed="false">
      <c r="A190" s="113"/>
      <c r="B190" s="101"/>
      <c r="C190" s="109"/>
      <c r="D190" s="109"/>
      <c r="E190" s="109"/>
    </row>
    <row r="191" customFormat="false" ht="14.25" hidden="false" customHeight="true" outlineLevel="0" collapsed="false">
      <c r="A191" s="108"/>
      <c r="B191" s="101"/>
      <c r="C191" s="109"/>
      <c r="D191" s="109"/>
      <c r="E191" s="109"/>
    </row>
    <row r="192" customFormat="false" ht="26.25" hidden="false" customHeight="true" outlineLevel="0" collapsed="false">
      <c r="A192" s="95" t="s">
        <v>669</v>
      </c>
      <c r="B192" s="95" t="s">
        <v>670</v>
      </c>
      <c r="C192" s="102" t="s">
        <v>671</v>
      </c>
      <c r="D192" s="114" t="s">
        <v>750</v>
      </c>
      <c r="E192" s="114" t="s">
        <v>751</v>
      </c>
      <c r="F192" s="114" t="s">
        <v>752</v>
      </c>
    </row>
    <row r="193" customFormat="false" ht="14.25" hidden="false" customHeight="true" outlineLevel="0" collapsed="false">
      <c r="A193" s="96" t="s">
        <v>672</v>
      </c>
      <c r="B193" s="97" t="s">
        <v>673</v>
      </c>
      <c r="C193" s="104" t="s">
        <v>674</v>
      </c>
      <c r="D193" s="105" t="n">
        <f aca="false">IF(C147&gt;22,1,IF(C147&gt;=9,0.6,0.2))</f>
        <v>1</v>
      </c>
      <c r="E193" s="105" t="n">
        <f aca="false">IF(D147&gt;22,1,IF(D147&gt;=9,0.6,0.2))</f>
        <v>1</v>
      </c>
      <c r="F193" s="105" t="n">
        <f aca="false">IF(E147&gt;22,1,IF(E147&gt;=9,0.6,0.2))</f>
        <v>1</v>
      </c>
    </row>
    <row r="194" customFormat="false" ht="14.25" hidden="false" customHeight="true" outlineLevel="0" collapsed="false">
      <c r="A194" s="96" t="s">
        <v>679</v>
      </c>
      <c r="B194" s="97" t="s">
        <v>680</v>
      </c>
      <c r="C194" s="104" t="s">
        <v>674</v>
      </c>
      <c r="D194" s="105" t="n">
        <f aca="false">IF(C150&gt;5,1,IF(C150&gt;=2,0.6,0.2))</f>
        <v>0.6</v>
      </c>
      <c r="E194" s="105" t="n">
        <f aca="false">IF(D150&gt;5,1,IF(D150&gt;=2,0.6,0.2))</f>
        <v>0.6</v>
      </c>
      <c r="F194" s="105" t="n">
        <f aca="false">IF(E150&gt;5,1,IF(E150&gt;=2,0.6,0.2))</f>
        <v>1</v>
      </c>
    </row>
    <row r="195" customFormat="false" ht="14.25" hidden="false" customHeight="true" outlineLevel="0" collapsed="false">
      <c r="A195" s="96" t="s">
        <v>681</v>
      </c>
      <c r="B195" s="97" t="s">
        <v>682</v>
      </c>
      <c r="C195" s="104" t="s">
        <v>674</v>
      </c>
      <c r="D195" s="105" t="n">
        <f aca="false">IF(C151&gt;10,1,IF(C151&gt;=6,0.6,0.2))</f>
        <v>0.2</v>
      </c>
      <c r="E195" s="105" t="n">
        <f aca="false">IF(D151&gt;10,1,IF(D151&gt;=6,0.6,0.2))</f>
        <v>0.2</v>
      </c>
      <c r="F195" s="105" t="n">
        <f aca="false">IF(E151&gt;10,1,IF(E151&gt;=6,0.6,0.2))</f>
        <v>1</v>
      </c>
    </row>
    <row r="196" customFormat="false" ht="14.25" hidden="false" customHeight="true" outlineLevel="0" collapsed="false">
      <c r="A196" s="96" t="s">
        <v>685</v>
      </c>
      <c r="B196" s="97" t="s">
        <v>686</v>
      </c>
      <c r="C196" s="104" t="s">
        <v>674</v>
      </c>
      <c r="D196" s="105" t="n">
        <f aca="false">IF(C153&gt;20,1,IF(C153&gt;=6,0.6,0.2))</f>
        <v>1</v>
      </c>
      <c r="E196" s="105" t="n">
        <f aca="false">IF(D153&gt;20,1,IF(D153&gt;=6,0.6,0.2))</f>
        <v>0.6</v>
      </c>
      <c r="F196" s="105" t="n">
        <f aca="false">IF(E153&gt;20,1,IF(E153&gt;=6,0.6,0.2))</f>
        <v>1</v>
      </c>
    </row>
    <row r="197" customFormat="false" ht="14.25" hidden="false" customHeight="true" outlineLevel="0" collapsed="false">
      <c r="A197" s="96" t="s">
        <v>93</v>
      </c>
      <c r="B197" s="97" t="s">
        <v>93</v>
      </c>
      <c r="C197" s="104" t="s">
        <v>674</v>
      </c>
      <c r="D197" s="105" t="n">
        <f aca="false">IF(C155&gt;40,1,IF(C155&gt;=10,0.6,0.2))</f>
        <v>0.6</v>
      </c>
      <c r="E197" s="105" t="n">
        <f aca="false">IF(D155&gt;40,1,IF(D155&gt;=10,0.6,0.2))</f>
        <v>0.6</v>
      </c>
      <c r="F197" s="105" t="n">
        <f aca="false">IF(E155&gt;40,1,IF(E155&gt;=10,0.6,0.2))</f>
        <v>1</v>
      </c>
    </row>
    <row r="198" customFormat="false" ht="14.25" hidden="false" customHeight="true" outlineLevel="0" collapsed="false">
      <c r="A198" s="96" t="s">
        <v>753</v>
      </c>
      <c r="B198" s="97" t="s">
        <v>725</v>
      </c>
      <c r="C198" s="104" t="s">
        <v>689</v>
      </c>
      <c r="D198" s="105" t="n">
        <f aca="false">IF(C220&gt;5,0.2,IF(C220&gt;=1,0.6,1))</f>
        <v>1</v>
      </c>
      <c r="E198" s="105" t="n">
        <f aca="false">IF(D220&gt;5,0.2,IF(D220&gt;=1,0.6,1))</f>
        <v>1</v>
      </c>
      <c r="F198" s="105" t="n">
        <f aca="false">IF(E220&gt;5,0.2,IF(E220&gt;=1,0.6,1))</f>
        <v>1</v>
      </c>
    </row>
    <row r="199" customFormat="false" ht="14.25" hidden="false" customHeight="true" outlineLevel="0" collapsed="false">
      <c r="A199" s="96" t="s">
        <v>754</v>
      </c>
      <c r="B199" s="97" t="s">
        <v>730</v>
      </c>
      <c r="C199" s="104" t="s">
        <v>674</v>
      </c>
      <c r="D199" s="105" t="n">
        <f aca="false">IF(C221&gt;8,1,IF(C221&gt;=3,0.6,0.2))</f>
        <v>1</v>
      </c>
      <c r="E199" s="105" t="n">
        <f aca="false">IF(D221&gt;8,1,IF(D221&gt;=3,0.6,0.2))</f>
        <v>1</v>
      </c>
      <c r="F199" s="105" t="n">
        <f aca="false">IF(E221&gt;8,1,IF(E221&gt;=3,0.6,0.2))</f>
        <v>1</v>
      </c>
    </row>
    <row r="200" customFormat="false" ht="14.25" hidden="false" customHeight="true" outlineLevel="0" collapsed="false">
      <c r="A200" s="1" t="s">
        <v>755</v>
      </c>
      <c r="B200" s="1" t="s">
        <v>735</v>
      </c>
      <c r="C200" s="1" t="s">
        <v>689</v>
      </c>
      <c r="D200" s="1" t="n">
        <f aca="false">IF(C222&gt;50,0.2,IF(C222&gt;=10,0.6,1))</f>
        <v>1</v>
      </c>
      <c r="E200" s="1" t="n">
        <f aca="false">IF(D222&gt;50,0.2,IF(D222&gt;=10,0.6,1))</f>
        <v>0.6</v>
      </c>
      <c r="F200" s="1" t="n">
        <f aca="false">IF(E222&gt;50,0.2,IF(E222&gt;=10,0.6,1))</f>
        <v>0.6</v>
      </c>
    </row>
    <row r="201" customFormat="false" ht="14.25" hidden="false" customHeight="true" outlineLevel="0" collapsed="false">
      <c r="A201" s="1" t="s">
        <v>690</v>
      </c>
      <c r="B201" s="1" t="s">
        <v>691</v>
      </c>
      <c r="C201" s="1" t="s">
        <v>674</v>
      </c>
      <c r="D201" s="1" t="n">
        <f aca="false">IF(C156&gt;31,1,IF(C156&gt;=13,0.6,0.2))</f>
        <v>1</v>
      </c>
      <c r="E201" s="1" t="n">
        <f aca="false">IF(D156&gt;31,1,IF(D156&gt;=13,0.6,0.2))</f>
        <v>1</v>
      </c>
      <c r="F201" s="1" t="n">
        <f aca="false">IF(E156&gt;31,1,IF(E156&gt;=13,0.6,0.2))</f>
        <v>1</v>
      </c>
    </row>
    <row r="202" customFormat="false" ht="14.25" hidden="false" customHeight="true" outlineLevel="0" collapsed="false">
      <c r="A202" s="115" t="s">
        <v>694</v>
      </c>
      <c r="B202" s="1" t="s">
        <v>230</v>
      </c>
      <c r="C202" s="1" t="s">
        <v>674</v>
      </c>
      <c r="D202" s="1" t="n">
        <f aca="false">IF(C158&gt;5,1,IF(C158&gt;=3,0.6,0.2))</f>
        <v>0.2</v>
      </c>
      <c r="E202" s="1" t="n">
        <f aca="false">IF(D158&gt;5,1,IF(D158&gt;=3,0.6,0.2))</f>
        <v>0.2</v>
      </c>
      <c r="F202" s="1" t="n">
        <f aca="false">IF(E158&gt;5,1,IF(E158&gt;=3,0.6,0.2))</f>
        <v>0.2</v>
      </c>
    </row>
    <row r="205" customFormat="false" ht="14.25" hidden="false" customHeight="true" outlineLevel="0" collapsed="false">
      <c r="A205" s="116"/>
      <c r="B205" s="116"/>
      <c r="C205" s="116"/>
      <c r="D205" s="116"/>
    </row>
    <row r="206" customFormat="false" ht="14.25" hidden="false" customHeight="true" outlineLevel="0" collapsed="false">
      <c r="A206" s="96"/>
      <c r="B206" s="117"/>
      <c r="C206" s="96"/>
      <c r="D206" s="118"/>
    </row>
    <row r="207" customFormat="false" ht="14.25" hidden="false" customHeight="true" outlineLevel="0" collapsed="false">
      <c r="A207" s="96"/>
      <c r="B207" s="117"/>
      <c r="C207" s="96"/>
      <c r="D207" s="119"/>
    </row>
    <row r="208" customFormat="false" ht="14.25" hidden="false" customHeight="true" outlineLevel="0" collapsed="false">
      <c r="A208" s="96" t="s">
        <v>370</v>
      </c>
      <c r="B208" s="117" t="s">
        <v>756</v>
      </c>
      <c r="C208" s="96" t="s">
        <v>757</v>
      </c>
      <c r="D208" s="120" t="s">
        <v>758</v>
      </c>
    </row>
    <row r="209" customFormat="false" ht="14.25" hidden="false" customHeight="true" outlineLevel="0" collapsed="false">
      <c r="A209" s="1" t="s">
        <v>311</v>
      </c>
      <c r="B209" s="1" t="n">
        <f aca="false">SUM(D193:D202)/COUNT(D193:D202)</f>
        <v>0.76</v>
      </c>
      <c r="C209" s="1" t="str">
        <f aca="false">IF(B209&gt;0.6,"Alta",IF(B209&gt;=0.31,"Moderada","Baja"))</f>
        <v>Alta</v>
      </c>
    </row>
    <row r="210" customFormat="false" ht="14.25" hidden="false" customHeight="true" outlineLevel="0" collapsed="false">
      <c r="A210" s="1" t="s">
        <v>190</v>
      </c>
      <c r="B210" s="1" t="n">
        <f aca="false">SUM(E193:E202)/COUNT(E193:E202)</f>
        <v>0.68</v>
      </c>
      <c r="C210" s="1" t="str">
        <f aca="false">IF(B210&gt;0.6,"Alta",IF(B210&gt;=0.31,"Moderada","Baja"))</f>
        <v>Alta</v>
      </c>
    </row>
    <row r="211" customFormat="false" ht="14.25" hidden="false" customHeight="true" outlineLevel="0" collapsed="false">
      <c r="A211" s="1" t="s">
        <v>283</v>
      </c>
      <c r="B211" s="1" t="n">
        <f aca="false">SUM(F193:F202)/COUNT(F193:F202)</f>
        <v>0.88</v>
      </c>
      <c r="C211" s="1" t="str">
        <f aca="false">IF(B211&gt;0.6,"Alta",IF(B211&gt;=0.31,"Moderada","Baja"))</f>
        <v>Alta</v>
      </c>
    </row>
    <row r="219" customFormat="false" ht="14.25" hidden="false" customHeight="true" outlineLevel="0" collapsed="false">
      <c r="A219" s="1" t="s">
        <v>759</v>
      </c>
    </row>
    <row r="220" customFormat="false" ht="14.25" hidden="false" customHeight="true" outlineLevel="0" collapsed="false">
      <c r="A220" s="1" t="s">
        <v>760</v>
      </c>
      <c r="B220" s="1" t="s">
        <v>725</v>
      </c>
      <c r="C220" s="1" t="n">
        <f aca="false">+(SUMIFS(D10:D59,$A$10:$A$59,"Lumbriculida")/D$60)*100</f>
        <v>0</v>
      </c>
      <c r="D220" s="1" t="n">
        <f aca="false">+(SUMIFS(E10:E59,$A$10:$A$59,"Lumbriculida")/E$60)*100</f>
        <v>0</v>
      </c>
      <c r="E220" s="1" t="n">
        <f aca="false">+(SUMIFS(F10:F59,$A$10:$A$59,"Lumbriculida")/F$60)*100</f>
        <v>0.229885057471264</v>
      </c>
      <c r="F220" s="1" t="s">
        <v>689</v>
      </c>
    </row>
    <row r="221" customFormat="false" ht="14.25" hidden="false" customHeight="true" outlineLevel="0" collapsed="false">
      <c r="A221" s="1" t="s">
        <v>761</v>
      </c>
      <c r="B221" s="1" t="s">
        <v>730</v>
      </c>
      <c r="C221" s="1" t="n">
        <f aca="false">SUMPRODUCT((D10:D59&gt;0)*(IFERROR($C$10:$C$59*1,0)&gt;=7))</f>
        <v>17</v>
      </c>
      <c r="D221" s="1" t="n">
        <f aca="false">SUMPRODUCT((E10:E59&gt;0)*(IFERROR($C$10:$C$59*1,0)&gt;=7))</f>
        <v>17</v>
      </c>
      <c r="E221" s="1" t="n">
        <f aca="false">SUMPRODUCT((F10:F59&gt;0)*(IFERROR($C$10:$C$59*1,0)&gt;=7))</f>
        <v>25</v>
      </c>
      <c r="F221" s="1" t="s">
        <v>674</v>
      </c>
    </row>
    <row r="222" customFormat="false" ht="14.25" hidden="false" customHeight="true" outlineLevel="0" collapsed="false">
      <c r="A222" s="1" t="s">
        <v>762</v>
      </c>
      <c r="B222" s="1" t="s">
        <v>735</v>
      </c>
      <c r="C222" s="1" t="n">
        <f aca="false">+(SUMPRODUCT((D10:D59)*(IFERROR($C$10:$C$59*1,0)&lt;=3))/D$60)*100</f>
        <v>4.67625899280576</v>
      </c>
      <c r="D222" s="1" t="n">
        <f aca="false">+(SUMPRODUCT((E10:E59)*(IFERROR($C$10:$C$59*1,0)&lt;=3))/E$60)*100</f>
        <v>20.4213938411669</v>
      </c>
      <c r="E222" s="1" t="n">
        <f aca="false">+(SUMPRODUCT((F10:F59)*(IFERROR($C$10:$C$59*1,0)&lt;=3))/F$60)*100</f>
        <v>11.1206896551724</v>
      </c>
      <c r="F222" s="1" t="s">
        <v>689</v>
      </c>
    </row>
  </sheetData>
  <mergeCells count="11">
    <mergeCell ref="A1:F1"/>
    <mergeCell ref="A4:H4"/>
    <mergeCell ref="A7:H7"/>
    <mergeCell ref="A60:B60"/>
    <mergeCell ref="A62:H62"/>
    <mergeCell ref="A142:B142"/>
    <mergeCell ref="A144:H144"/>
    <mergeCell ref="A164:H164"/>
    <mergeCell ref="C168:E168"/>
    <mergeCell ref="A183:H183"/>
    <mergeCell ref="A185:H18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XE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0.6796875" defaultRowHeight="14.25" zeroHeight="false" outlineLevelRow="0" outlineLevelCol="0"/>
  <cols>
    <col collapsed="false" customWidth="true" hidden="false" outlineLevel="0" max="1" min="1" style="1" width="24.67"/>
    <col collapsed="false" customWidth="true" hidden="false" outlineLevel="0" max="2" min="2" style="1" width="16.11"/>
    <col collapsed="false" customWidth="true" hidden="false" outlineLevel="0" max="3" min="3" style="1" width="14"/>
    <col collapsed="false" customWidth="true" hidden="false" outlineLevel="0" max="4" min="4" style="1" width="11.77"/>
    <col collapsed="false" customWidth="true" hidden="false" outlineLevel="0" max="5" min="5" style="1" width="12.22"/>
    <col collapsed="false" customWidth="true" hidden="false" outlineLevel="0" max="6" min="6" style="1" width="14.21"/>
  </cols>
  <sheetData>
    <row r="1" customFormat="false" ht="16.5" hidden="false" customHeight="true" outlineLevel="0" collapsed="false">
      <c r="A1" s="90" t="s">
        <v>763</v>
      </c>
      <c r="B1" s="90"/>
      <c r="C1" s="90"/>
      <c r="D1" s="90"/>
      <c r="E1" s="90"/>
      <c r="F1" s="90"/>
      <c r="G1" s="90"/>
      <c r="H1" s="90"/>
    </row>
    <row r="2" customFormat="false" ht="16.5" hidden="false" customHeight="true" outlineLevel="0" collapsed="false">
      <c r="A2" s="91"/>
      <c r="B2" s="91"/>
      <c r="C2" s="91"/>
      <c r="D2" s="91"/>
      <c r="E2" s="91"/>
      <c r="F2" s="91"/>
      <c r="G2" s="91"/>
      <c r="H2" s="91"/>
    </row>
    <row r="3" customFormat="false" ht="16.5" hidden="false" customHeight="true" outlineLevel="0" collapsed="false">
      <c r="A3" s="92" t="s">
        <v>661</v>
      </c>
      <c r="B3" s="91"/>
      <c r="C3" s="91"/>
      <c r="D3" s="91"/>
      <c r="E3" s="91"/>
      <c r="F3" s="91"/>
      <c r="G3" s="91"/>
      <c r="H3" s="91"/>
    </row>
    <row r="4" customFormat="false" ht="51" hidden="false" customHeight="true" outlineLevel="0" collapsed="false">
      <c r="A4" s="110" t="s">
        <v>764</v>
      </c>
      <c r="B4" s="110"/>
      <c r="C4" s="110"/>
      <c r="D4" s="110"/>
      <c r="E4" s="110"/>
      <c r="F4" s="110"/>
      <c r="G4" s="110"/>
    </row>
    <row r="6" customFormat="false" ht="14.25" hidden="false" customHeight="true" outlineLevel="0" collapsed="false">
      <c r="A6" s="106" t="s">
        <v>765</v>
      </c>
      <c r="B6" s="106"/>
      <c r="C6" s="106"/>
      <c r="D6" s="106"/>
      <c r="E6" s="106"/>
      <c r="F6" s="106"/>
      <c r="G6" s="106"/>
      <c r="H6" s="106"/>
    </row>
    <row r="8" customFormat="false" ht="14.25" hidden="false" customHeight="true" outlineLevel="0" collapsed="false">
      <c r="F8" s="114" t="s">
        <v>766</v>
      </c>
      <c r="G8" s="114"/>
      <c r="H8" s="114"/>
    </row>
    <row r="9" customFormat="false" ht="26.25" hidden="false" customHeight="true" outlineLevel="0" collapsed="false">
      <c r="A9" s="114" t="s">
        <v>371</v>
      </c>
      <c r="B9" s="114" t="s">
        <v>138</v>
      </c>
      <c r="C9" s="114" t="s">
        <v>767</v>
      </c>
      <c r="D9" s="114" t="s">
        <v>171</v>
      </c>
      <c r="E9" s="114" t="s">
        <v>139</v>
      </c>
      <c r="F9" s="114" t="s">
        <v>311</v>
      </c>
      <c r="G9" s="114" t="s">
        <v>190</v>
      </c>
      <c r="H9" s="114" t="s">
        <v>283</v>
      </c>
    </row>
    <row r="10" customFormat="false" ht="14.25" hidden="false" customHeight="true" outlineLevel="0" collapsed="false">
      <c r="A10" s="96" t="s">
        <v>401</v>
      </c>
      <c r="B10" s="96" t="s">
        <v>402</v>
      </c>
      <c r="C10" s="96" t="s">
        <v>130</v>
      </c>
      <c r="D10" s="96" t="s">
        <v>405</v>
      </c>
      <c r="E10" s="96" t="s">
        <v>154</v>
      </c>
      <c r="F10" s="97" t="n">
        <v>6</v>
      </c>
      <c r="G10" s="97" t="n">
        <v>0</v>
      </c>
      <c r="H10" s="97" t="n">
        <v>0</v>
      </c>
    </row>
    <row r="11" customFormat="false" ht="14.25" hidden="false" customHeight="true" outlineLevel="0" collapsed="false">
      <c r="A11" s="96" t="s">
        <v>413</v>
      </c>
      <c r="B11" s="96" t="s">
        <v>414</v>
      </c>
      <c r="C11" s="96" t="s">
        <v>114</v>
      </c>
      <c r="D11" s="96" t="s">
        <v>416</v>
      </c>
      <c r="E11" s="96" t="s">
        <v>417</v>
      </c>
      <c r="F11" s="97" t="n">
        <v>6</v>
      </c>
      <c r="G11" s="97" t="n">
        <v>0</v>
      </c>
      <c r="H11" s="97" t="n">
        <v>0</v>
      </c>
    </row>
    <row r="12" customFormat="false" ht="14.25" hidden="false" customHeight="true" outlineLevel="0" collapsed="false">
      <c r="A12" s="96" t="s">
        <v>413</v>
      </c>
      <c r="B12" s="96" t="s">
        <v>419</v>
      </c>
      <c r="C12" s="96" t="s">
        <v>114</v>
      </c>
      <c r="D12" s="96" t="s">
        <v>405</v>
      </c>
      <c r="E12" s="96" t="s">
        <v>154</v>
      </c>
      <c r="F12" s="97" t="n">
        <v>3</v>
      </c>
      <c r="G12" s="97" t="n">
        <v>0</v>
      </c>
      <c r="H12" s="97" t="n">
        <v>0</v>
      </c>
    </row>
    <row r="13" customFormat="false" ht="14.25" hidden="false" customHeight="true" outlineLevel="0" collapsed="false">
      <c r="A13" s="96" t="s">
        <v>388</v>
      </c>
      <c r="B13" s="96" t="s">
        <v>389</v>
      </c>
      <c r="C13" s="96" t="s">
        <v>114</v>
      </c>
      <c r="D13" s="96" t="s">
        <v>385</v>
      </c>
      <c r="E13" s="96" t="s">
        <v>143</v>
      </c>
      <c r="F13" s="97" t="n">
        <v>132</v>
      </c>
      <c r="G13" s="97" t="n">
        <v>90</v>
      </c>
      <c r="H13" s="97" t="n">
        <v>30</v>
      </c>
    </row>
    <row r="14" customFormat="false" ht="14.25" hidden="false" customHeight="true" outlineLevel="0" collapsed="false">
      <c r="A14" s="96" t="s">
        <v>396</v>
      </c>
      <c r="B14" s="96" t="s">
        <v>397</v>
      </c>
      <c r="C14" s="96" t="s">
        <v>114</v>
      </c>
      <c r="D14" s="96" t="s">
        <v>385</v>
      </c>
      <c r="E14" s="96" t="s">
        <v>154</v>
      </c>
      <c r="F14" s="97" t="n">
        <v>50</v>
      </c>
      <c r="G14" s="97" t="n">
        <v>33</v>
      </c>
      <c r="H14" s="97" t="n">
        <v>0</v>
      </c>
    </row>
    <row r="15" customFormat="false" ht="14.25" hidden="false" customHeight="true" outlineLevel="0" collapsed="false">
      <c r="A15" s="96" t="s">
        <v>408</v>
      </c>
      <c r="B15" s="96" t="s">
        <v>409</v>
      </c>
      <c r="C15" s="96" t="s">
        <v>130</v>
      </c>
      <c r="D15" s="96" t="s">
        <v>405</v>
      </c>
      <c r="E15" s="96" t="s">
        <v>143</v>
      </c>
      <c r="F15" s="97" t="n">
        <v>15</v>
      </c>
      <c r="G15" s="97" t="n">
        <v>0</v>
      </c>
      <c r="H15" s="97" t="n">
        <v>0</v>
      </c>
    </row>
    <row r="16" customFormat="false" ht="14.25" hidden="false" customHeight="true" outlineLevel="0" collapsed="false">
      <c r="A16" s="96" t="s">
        <v>380</v>
      </c>
      <c r="B16" s="96" t="s">
        <v>381</v>
      </c>
      <c r="C16" s="96" t="s">
        <v>130</v>
      </c>
      <c r="D16" s="96" t="s">
        <v>385</v>
      </c>
      <c r="E16" s="96" t="s">
        <v>154</v>
      </c>
      <c r="F16" s="97" t="n">
        <v>9</v>
      </c>
      <c r="G16" s="97" t="n">
        <v>86</v>
      </c>
      <c r="H16" s="97" t="n">
        <v>0</v>
      </c>
    </row>
    <row r="17" customFormat="false" ht="14.25" hidden="false" customHeight="true" outlineLevel="0" collapsed="false">
      <c r="A17" s="96" t="s">
        <v>424</v>
      </c>
      <c r="B17" s="96" t="s">
        <v>425</v>
      </c>
      <c r="C17" s="96" t="s">
        <v>130</v>
      </c>
      <c r="D17" s="96" t="s">
        <v>416</v>
      </c>
      <c r="E17" s="96" t="s">
        <v>154</v>
      </c>
      <c r="F17" s="97" t="n">
        <v>0</v>
      </c>
      <c r="G17" s="97" t="n">
        <v>0</v>
      </c>
      <c r="H17" s="97" t="n">
        <v>5</v>
      </c>
    </row>
    <row r="20" customFormat="false" ht="14.25" hidden="false" customHeight="true" outlineLevel="0" collapsed="false">
      <c r="A20" s="106" t="s">
        <v>768</v>
      </c>
      <c r="B20" s="106"/>
      <c r="C20" s="106"/>
      <c r="D20" s="106"/>
      <c r="E20" s="106"/>
      <c r="F20" s="106"/>
      <c r="G20" s="106"/>
      <c r="H20" s="106"/>
    </row>
    <row r="22" customFormat="false" ht="26.25" hidden="false" customHeight="true" outlineLevel="0" collapsed="false">
      <c r="A22" s="95" t="s">
        <v>769</v>
      </c>
      <c r="B22" s="95" t="s">
        <v>770</v>
      </c>
      <c r="C22" s="95" t="s">
        <v>311</v>
      </c>
      <c r="D22" s="95" t="s">
        <v>190</v>
      </c>
      <c r="E22" s="95" t="s">
        <v>283</v>
      </c>
      <c r="F22" s="121" t="s">
        <v>771</v>
      </c>
    </row>
    <row r="23" customFormat="false" ht="14.25" hidden="false" customHeight="true" outlineLevel="0" collapsed="false">
      <c r="A23" s="96" t="s">
        <v>96</v>
      </c>
      <c r="B23" s="97" t="s">
        <v>683</v>
      </c>
      <c r="C23" s="97" t="n">
        <f aca="false">SUM(F10:F17)</f>
        <v>221</v>
      </c>
      <c r="D23" s="97" t="n">
        <f aca="false">SUM(G10:G17)</f>
        <v>209</v>
      </c>
      <c r="E23" s="97" t="n">
        <f aca="false">SUM(H10:H17)</f>
        <v>35</v>
      </c>
      <c r="F23" s="97" t="s">
        <v>772</v>
      </c>
    </row>
    <row r="24" customFormat="false" ht="14.25" hidden="false" customHeight="true" outlineLevel="0" collapsed="false">
      <c r="A24" s="96" t="s">
        <v>672</v>
      </c>
      <c r="B24" s="97" t="s">
        <v>673</v>
      </c>
      <c r="C24" s="97" t="n">
        <f aca="false">COUNTIF(F10:F17,"&gt;0")</f>
        <v>7</v>
      </c>
      <c r="D24" s="97" t="n">
        <f aca="false">COUNTIF(G10:G17,"&gt;0")</f>
        <v>3</v>
      </c>
      <c r="E24" s="97" t="n">
        <f aca="false">COUNTIF(H10:H17,"&gt;0")</f>
        <v>2</v>
      </c>
      <c r="F24" s="97" t="s">
        <v>772</v>
      </c>
    </row>
    <row r="25" customFormat="false" ht="14.25" hidden="false" customHeight="true" outlineLevel="0" collapsed="false">
      <c r="A25" s="96" t="s">
        <v>773</v>
      </c>
      <c r="B25" s="97" t="s">
        <v>774</v>
      </c>
      <c r="C25" s="97" t="n">
        <f aca="false">COUNTIFS($C$10:$C$17,"Catádromo",F10:F17,"&gt;0")</f>
        <v>4</v>
      </c>
      <c r="D25" s="97" t="n">
        <f aca="false">COUNTIFS($C$10:$C$17,"Catádromo",G10:G17,"&gt;0")</f>
        <v>2</v>
      </c>
      <c r="E25" s="97" t="n">
        <f aca="false">COUNTIFS($C$10:$C$17,"Catádromo",H10:H17,"&gt;0")</f>
        <v>1</v>
      </c>
      <c r="F25" s="97" t="s">
        <v>772</v>
      </c>
    </row>
    <row r="26" customFormat="false" ht="14.25" hidden="false" customHeight="true" outlineLevel="0" collapsed="false">
      <c r="A26" s="96" t="s">
        <v>775</v>
      </c>
      <c r="B26" s="97" t="s">
        <v>776</v>
      </c>
      <c r="C26" s="97" t="n">
        <f aca="false">COUNTIFS($D$10:$D$17,"Sensible",F10:F17,"&gt;0")</f>
        <v>3</v>
      </c>
      <c r="D26" s="97" t="n">
        <f aca="false">COUNTIFS($D$10:$D$17,"Sensible",G10:G17,"&gt;0")</f>
        <v>3</v>
      </c>
      <c r="E26" s="97" t="n">
        <f aca="false">COUNTIFS($D$10:$D$17,"Sensible",H10:H17,"&gt;0")</f>
        <v>1</v>
      </c>
      <c r="F26" s="97" t="s">
        <v>772</v>
      </c>
    </row>
    <row r="27" customFormat="false" ht="14.25" hidden="false" customHeight="true" outlineLevel="0" collapsed="false">
      <c r="A27" s="96" t="s">
        <v>777</v>
      </c>
      <c r="B27" s="97" t="s">
        <v>778</v>
      </c>
      <c r="C27" s="105" t="n">
        <f aca="false">(SUMIFS(F10:F17,$E$10:$E$17,"Herbívoro")/C$23)*100</f>
        <v>66.5158371040724</v>
      </c>
      <c r="D27" s="105" t="n">
        <f aca="false">(SUMIFS(G10:G17,$E$10:$E$17,"Herbívoro")/D$23)*100</f>
        <v>43.0622009569378</v>
      </c>
      <c r="E27" s="105" t="n">
        <f aca="false">(SUMIFS(H10:H17,$E$10:$E$17,"Herbívoro")/E$23)*100</f>
        <v>85.7142857142857</v>
      </c>
      <c r="F27" s="97" t="s">
        <v>772</v>
      </c>
    </row>
    <row r="28" customFormat="false" ht="14.25" hidden="false" customHeight="true" outlineLevel="0" collapsed="false">
      <c r="A28" s="96" t="s">
        <v>779</v>
      </c>
      <c r="B28" s="97" t="s">
        <v>780</v>
      </c>
      <c r="C28" s="105" t="n">
        <f aca="false">(SUMIFS(F10:F17,$E$10:$E$17,"Omnívoro")/C$23)*100</f>
        <v>30.7692307692308</v>
      </c>
      <c r="D28" s="105" t="n">
        <f aca="false">(SUMIFS(G10:G17,$E$10:$E$17,"Omnívoro")/D$23)*100</f>
        <v>56.9377990430622</v>
      </c>
      <c r="E28" s="105" t="n">
        <f aca="false">(SUMIFS(H10:H17,$E$10:$E$17,"Omnívoro")/E$23)*100</f>
        <v>14.2857142857143</v>
      </c>
      <c r="F28" s="97" t="s">
        <v>689</v>
      </c>
    </row>
    <row r="29" customFormat="false" ht="14.25" hidden="false" customHeight="true" outlineLevel="0" collapsed="false">
      <c r="A29" s="96" t="s">
        <v>781</v>
      </c>
      <c r="B29" s="97" t="s">
        <v>782</v>
      </c>
      <c r="C29" s="105" t="n">
        <f aca="false">(SUMIFS(F10:F17,$C$10:$C$17,"Catádromo")/C$23)*100</f>
        <v>86.4253393665158</v>
      </c>
      <c r="D29" s="105" t="n">
        <f aca="false">(SUMIFS(G10:G17,$C$10:$C$17,"Catádromo")/D$23)*100</f>
        <v>58.8516746411483</v>
      </c>
      <c r="E29" s="105" t="n">
        <f aca="false">(SUMIFS(H10:H17,$C$10:$C$17,"Catádromo")/E$23)*100</f>
        <v>85.7142857142857</v>
      </c>
      <c r="F29" s="97" t="s">
        <v>772</v>
      </c>
    </row>
    <row r="32" customFormat="false" ht="14.25" hidden="false" customHeight="true" outlineLevel="0" collapsed="false">
      <c r="A32" s="115" t="s">
        <v>783</v>
      </c>
    </row>
    <row r="34" customFormat="false" ht="48" hidden="false" customHeight="true" outlineLevel="0" collapsed="false">
      <c r="A34" s="122" t="s">
        <v>784</v>
      </c>
    </row>
    <row r="36" customFormat="false" ht="14.25" hidden="false" customHeight="true" outlineLevel="0" collapsed="false">
      <c r="A36" s="111" t="s">
        <v>785</v>
      </c>
    </row>
    <row r="37" customFormat="false" ht="14.25" hidden="false" customHeight="true" outlineLevel="0" collapsed="false">
      <c r="A37" s="112"/>
    </row>
    <row r="38" customFormat="false" ht="14.25" hidden="false" customHeight="true" outlineLevel="0" collapsed="false">
      <c r="A38" s="113" t="s">
        <v>786</v>
      </c>
    </row>
    <row r="39" customFormat="false" ht="14.25" hidden="false" customHeight="true" outlineLevel="0" collapsed="false">
      <c r="A39" s="113" t="s">
        <v>787</v>
      </c>
    </row>
    <row r="40" customFormat="false" ht="14.25" hidden="false" customHeight="true" outlineLevel="0" collapsed="false">
      <c r="A40" s="1" t="s">
        <v>788</v>
      </c>
    </row>
    <row r="41" customFormat="false" ht="26.25" hidden="false" customHeight="true" outlineLevel="0" collapsed="false">
      <c r="A41" s="95" t="s">
        <v>769</v>
      </c>
      <c r="B41" s="95" t="s">
        <v>770</v>
      </c>
      <c r="C41" s="114" t="s">
        <v>750</v>
      </c>
      <c r="D41" s="114" t="s">
        <v>751</v>
      </c>
      <c r="E41" s="114" t="s">
        <v>752</v>
      </c>
    </row>
    <row r="42" customFormat="false" ht="14.25" hidden="false" customHeight="true" outlineLevel="0" collapsed="false">
      <c r="A42" s="96" t="s">
        <v>96</v>
      </c>
      <c r="B42" s="97" t="s">
        <v>683</v>
      </c>
      <c r="C42" s="63" t="s">
        <v>789</v>
      </c>
      <c r="D42" s="63" t="s">
        <v>789</v>
      </c>
      <c r="E42" s="63" t="s">
        <v>789</v>
      </c>
    </row>
    <row r="43" customFormat="false" ht="14.25" hidden="false" customHeight="true" outlineLevel="0" collapsed="false">
      <c r="A43" s="96" t="s">
        <v>672</v>
      </c>
      <c r="B43" s="97" t="s">
        <v>673</v>
      </c>
      <c r="C43" s="63" t="n">
        <f aca="false">C24/7</f>
        <v>1</v>
      </c>
      <c r="D43" s="63" t="n">
        <f aca="false">D24/7</f>
        <v>0.428571428571429</v>
      </c>
      <c r="E43" s="63" t="n">
        <f aca="false">E24/7</f>
        <v>0.285714285714286</v>
      </c>
    </row>
    <row r="44" customFormat="false" ht="14.25" hidden="false" customHeight="true" outlineLevel="0" collapsed="false">
      <c r="A44" s="96" t="s">
        <v>773</v>
      </c>
      <c r="B44" s="97" t="s">
        <v>774</v>
      </c>
      <c r="C44" s="63" t="n">
        <f aca="false">C25/4</f>
        <v>1</v>
      </c>
      <c r="D44" s="63" t="n">
        <f aca="false">D25/4</f>
        <v>0.5</v>
      </c>
      <c r="E44" s="63" t="n">
        <f aca="false">E25/4</f>
        <v>0.25</v>
      </c>
    </row>
    <row r="45" customFormat="false" ht="14.25" hidden="false" customHeight="true" outlineLevel="0" collapsed="false">
      <c r="A45" s="96" t="s">
        <v>775</v>
      </c>
      <c r="B45" s="97" t="s">
        <v>776</v>
      </c>
      <c r="C45" s="63" t="n">
        <f aca="false">C26/3</f>
        <v>1</v>
      </c>
      <c r="D45" s="63" t="n">
        <f aca="false">D26/3</f>
        <v>1</v>
      </c>
      <c r="E45" s="63" t="n">
        <f aca="false">E26/3</f>
        <v>0.333333333333333</v>
      </c>
    </row>
    <row r="46" customFormat="false" ht="14.25" hidden="false" customHeight="true" outlineLevel="0" collapsed="false">
      <c r="A46" s="96" t="s">
        <v>777</v>
      </c>
      <c r="B46" s="97" t="s">
        <v>778</v>
      </c>
      <c r="C46" s="63" t="n">
        <f aca="false">IF(C27&gt;67,1,IF(C27&gt;=33,0.6,0.2))</f>
        <v>0.6</v>
      </c>
      <c r="D46" s="63" t="n">
        <f aca="false">IF(D27&gt;67,1,IF(D27&gt;=33,0.6,0.2))</f>
        <v>0.6</v>
      </c>
      <c r="E46" s="63" t="n">
        <f aca="false">IF(E27&gt;67,1,IF(E27&gt;=33,0.6,0.2))</f>
        <v>1</v>
      </c>
    </row>
    <row r="47" customFormat="false" ht="14.25" hidden="false" customHeight="true" outlineLevel="0" collapsed="false">
      <c r="A47" s="96" t="s">
        <v>779</v>
      </c>
      <c r="B47" s="97" t="s">
        <v>780</v>
      </c>
      <c r="C47" s="63" t="n">
        <f aca="false">IF(C28&gt;67,0.2,IF(C28&gt;=33,0.6,1))</f>
        <v>1</v>
      </c>
      <c r="D47" s="63" t="n">
        <f aca="false">IF(D28&gt;67,0.2,IF(D28&gt;=33,0.6,1))</f>
        <v>0.6</v>
      </c>
      <c r="E47" s="63" t="n">
        <f aca="false">IF(E28&gt;67,0.2,IF(E28&gt;=33,0.6,1))</f>
        <v>1</v>
      </c>
    </row>
    <row r="48" customFormat="false" ht="14.25" hidden="false" customHeight="true" outlineLevel="0" collapsed="false">
      <c r="A48" s="96" t="s">
        <v>781</v>
      </c>
      <c r="B48" s="97" t="s">
        <v>782</v>
      </c>
      <c r="C48" s="63" t="n">
        <f aca="false">IF(C29&gt;67,1,IF(C29&gt;=33,0.6,0.2))</f>
        <v>1</v>
      </c>
      <c r="D48" s="63" t="n">
        <f aca="false">IF(D29&gt;67,1,IF(D29&gt;=33,0.6,0.2))</f>
        <v>0.6</v>
      </c>
      <c r="E48" s="63" t="n">
        <f aca="false">IF(E29&gt;67,1,IF(E29&gt;=33,0.6,0.2))</f>
        <v>1</v>
      </c>
    </row>
    <row r="52" customFormat="false" ht="14.25" hidden="false" customHeight="true" outlineLevel="0" collapsed="false">
      <c r="A52" s="115" t="s">
        <v>790</v>
      </c>
    </row>
    <row r="54" s="123" customFormat="true" ht="23.25" hidden="false" customHeight="true" outlineLevel="0" collapsed="false">
      <c r="A54" s="123" t="s">
        <v>791</v>
      </c>
      <c r="I54" s="123" t="s">
        <v>792</v>
      </c>
      <c r="Q54" s="123" t="s">
        <v>792</v>
      </c>
      <c r="Y54" s="123" t="s">
        <v>792</v>
      </c>
      <c r="AG54" s="123" t="s">
        <v>792</v>
      </c>
      <c r="AO54" s="123" t="s">
        <v>792</v>
      </c>
      <c r="AW54" s="123" t="s">
        <v>792</v>
      </c>
      <c r="BE54" s="123" t="s">
        <v>792</v>
      </c>
      <c r="BM54" s="123" t="s">
        <v>792</v>
      </c>
      <c r="BU54" s="123" t="s">
        <v>792</v>
      </c>
      <c r="CC54" s="123" t="s">
        <v>792</v>
      </c>
      <c r="CK54" s="123" t="s">
        <v>792</v>
      </c>
      <c r="CS54" s="123" t="s">
        <v>792</v>
      </c>
      <c r="DA54" s="123" t="s">
        <v>792</v>
      </c>
      <c r="DI54" s="123" t="s">
        <v>792</v>
      </c>
      <c r="DQ54" s="123" t="s">
        <v>792</v>
      </c>
      <c r="DY54" s="123" t="s">
        <v>792</v>
      </c>
      <c r="EG54" s="123" t="s">
        <v>792</v>
      </c>
      <c r="EO54" s="123" t="s">
        <v>792</v>
      </c>
      <c r="EW54" s="123" t="s">
        <v>792</v>
      </c>
      <c r="FE54" s="123" t="s">
        <v>792</v>
      </c>
      <c r="FM54" s="123" t="s">
        <v>792</v>
      </c>
      <c r="FU54" s="123" t="s">
        <v>792</v>
      </c>
      <c r="GC54" s="123" t="s">
        <v>792</v>
      </c>
      <c r="GK54" s="123" t="s">
        <v>792</v>
      </c>
      <c r="GS54" s="123" t="s">
        <v>792</v>
      </c>
      <c r="HA54" s="123" t="s">
        <v>792</v>
      </c>
      <c r="HI54" s="123" t="s">
        <v>792</v>
      </c>
      <c r="HQ54" s="123" t="s">
        <v>792</v>
      </c>
      <c r="HY54" s="123" t="s">
        <v>792</v>
      </c>
      <c r="IG54" s="123" t="s">
        <v>792</v>
      </c>
      <c r="IO54" s="123" t="s">
        <v>792</v>
      </c>
      <c r="IW54" s="123" t="s">
        <v>792</v>
      </c>
      <c r="JE54" s="123" t="s">
        <v>792</v>
      </c>
      <c r="JM54" s="123" t="s">
        <v>792</v>
      </c>
      <c r="JU54" s="123" t="s">
        <v>792</v>
      </c>
      <c r="KC54" s="123" t="s">
        <v>792</v>
      </c>
      <c r="KK54" s="123" t="s">
        <v>792</v>
      </c>
      <c r="KS54" s="123" t="s">
        <v>792</v>
      </c>
      <c r="LA54" s="123" t="s">
        <v>792</v>
      </c>
      <c r="LI54" s="123" t="s">
        <v>792</v>
      </c>
      <c r="LQ54" s="123" t="s">
        <v>792</v>
      </c>
      <c r="LY54" s="123" t="s">
        <v>792</v>
      </c>
      <c r="MG54" s="123" t="s">
        <v>792</v>
      </c>
      <c r="MO54" s="123" t="s">
        <v>792</v>
      </c>
      <c r="MW54" s="123" t="s">
        <v>792</v>
      </c>
      <c r="NE54" s="123" t="s">
        <v>792</v>
      </c>
      <c r="NM54" s="123" t="s">
        <v>792</v>
      </c>
      <c r="NU54" s="123" t="s">
        <v>792</v>
      </c>
      <c r="OC54" s="123" t="s">
        <v>792</v>
      </c>
      <c r="OK54" s="123" t="s">
        <v>792</v>
      </c>
      <c r="OS54" s="123" t="s">
        <v>792</v>
      </c>
      <c r="PA54" s="123" t="s">
        <v>792</v>
      </c>
      <c r="PI54" s="123" t="s">
        <v>792</v>
      </c>
      <c r="PQ54" s="123" t="s">
        <v>792</v>
      </c>
      <c r="PY54" s="123" t="s">
        <v>792</v>
      </c>
      <c r="QG54" s="123" t="s">
        <v>792</v>
      </c>
      <c r="QO54" s="123" t="s">
        <v>792</v>
      </c>
      <c r="QW54" s="123" t="s">
        <v>792</v>
      </c>
      <c r="RE54" s="123" t="s">
        <v>792</v>
      </c>
      <c r="RM54" s="123" t="s">
        <v>792</v>
      </c>
      <c r="RU54" s="123" t="s">
        <v>792</v>
      </c>
      <c r="SC54" s="123" t="s">
        <v>792</v>
      </c>
      <c r="SK54" s="123" t="s">
        <v>792</v>
      </c>
      <c r="SS54" s="123" t="s">
        <v>792</v>
      </c>
      <c r="TA54" s="123" t="s">
        <v>792</v>
      </c>
      <c r="TI54" s="123" t="s">
        <v>792</v>
      </c>
      <c r="TQ54" s="123" t="s">
        <v>792</v>
      </c>
      <c r="TY54" s="123" t="s">
        <v>792</v>
      </c>
      <c r="UG54" s="123" t="s">
        <v>792</v>
      </c>
      <c r="UO54" s="123" t="s">
        <v>792</v>
      </c>
      <c r="UW54" s="123" t="s">
        <v>792</v>
      </c>
      <c r="VE54" s="123" t="s">
        <v>792</v>
      </c>
      <c r="VM54" s="123" t="s">
        <v>792</v>
      </c>
      <c r="VU54" s="123" t="s">
        <v>792</v>
      </c>
      <c r="WC54" s="123" t="s">
        <v>792</v>
      </c>
      <c r="WK54" s="123" t="s">
        <v>792</v>
      </c>
      <c r="WS54" s="123" t="s">
        <v>792</v>
      </c>
      <c r="XA54" s="123" t="s">
        <v>792</v>
      </c>
      <c r="XI54" s="123" t="s">
        <v>792</v>
      </c>
      <c r="XQ54" s="123" t="s">
        <v>792</v>
      </c>
      <c r="XY54" s="123" t="s">
        <v>792</v>
      </c>
      <c r="YG54" s="123" t="s">
        <v>792</v>
      </c>
      <c r="YO54" s="123" t="s">
        <v>792</v>
      </c>
      <c r="YW54" s="123" t="s">
        <v>792</v>
      </c>
      <c r="ZE54" s="123" t="s">
        <v>792</v>
      </c>
      <c r="ZM54" s="123" t="s">
        <v>792</v>
      </c>
      <c r="ZU54" s="123" t="s">
        <v>792</v>
      </c>
      <c r="AAC54" s="123" t="s">
        <v>792</v>
      </c>
      <c r="AAK54" s="123" t="s">
        <v>792</v>
      </c>
      <c r="AAS54" s="123" t="s">
        <v>792</v>
      </c>
      <c r="ABA54" s="123" t="s">
        <v>792</v>
      </c>
      <c r="ABI54" s="123" t="s">
        <v>792</v>
      </c>
      <c r="ABQ54" s="123" t="s">
        <v>792</v>
      </c>
      <c r="ABY54" s="123" t="s">
        <v>792</v>
      </c>
      <c r="ACG54" s="123" t="s">
        <v>792</v>
      </c>
      <c r="ACO54" s="123" t="s">
        <v>792</v>
      </c>
      <c r="ACW54" s="123" t="s">
        <v>792</v>
      </c>
      <c r="ADE54" s="123" t="s">
        <v>792</v>
      </c>
      <c r="ADM54" s="123" t="s">
        <v>792</v>
      </c>
      <c r="ADU54" s="123" t="s">
        <v>792</v>
      </c>
      <c r="AEC54" s="123" t="s">
        <v>792</v>
      </c>
      <c r="AEK54" s="123" t="s">
        <v>792</v>
      </c>
      <c r="AES54" s="123" t="s">
        <v>792</v>
      </c>
      <c r="AFA54" s="123" t="s">
        <v>792</v>
      </c>
      <c r="AFI54" s="123" t="s">
        <v>792</v>
      </c>
      <c r="AFQ54" s="123" t="s">
        <v>792</v>
      </c>
      <c r="AFY54" s="123" t="s">
        <v>792</v>
      </c>
      <c r="AGG54" s="123" t="s">
        <v>792</v>
      </c>
      <c r="AGO54" s="123" t="s">
        <v>792</v>
      </c>
      <c r="AGW54" s="123" t="s">
        <v>792</v>
      </c>
      <c r="AHE54" s="123" t="s">
        <v>792</v>
      </c>
      <c r="AHM54" s="123" t="s">
        <v>792</v>
      </c>
      <c r="AHU54" s="123" t="s">
        <v>792</v>
      </c>
      <c r="AIC54" s="123" t="s">
        <v>792</v>
      </c>
      <c r="AIK54" s="123" t="s">
        <v>792</v>
      </c>
      <c r="AIS54" s="123" t="s">
        <v>792</v>
      </c>
      <c r="AJA54" s="123" t="s">
        <v>792</v>
      </c>
      <c r="AJI54" s="123" t="s">
        <v>792</v>
      </c>
      <c r="AJQ54" s="123" t="s">
        <v>792</v>
      </c>
      <c r="AJY54" s="123" t="s">
        <v>792</v>
      </c>
      <c r="AKG54" s="123" t="s">
        <v>792</v>
      </c>
      <c r="AKO54" s="123" t="s">
        <v>792</v>
      </c>
      <c r="AKW54" s="123" t="s">
        <v>792</v>
      </c>
      <c r="ALE54" s="123" t="s">
        <v>792</v>
      </c>
      <c r="ALM54" s="123" t="s">
        <v>792</v>
      </c>
      <c r="ALU54" s="123" t="s">
        <v>792</v>
      </c>
      <c r="AMC54" s="123" t="s">
        <v>792</v>
      </c>
      <c r="AMK54" s="123" t="s">
        <v>792</v>
      </c>
      <c r="AMS54" s="123" t="s">
        <v>792</v>
      </c>
      <c r="ANA54" s="123" t="s">
        <v>792</v>
      </c>
      <c r="ANI54" s="123" t="s">
        <v>792</v>
      </c>
      <c r="ANQ54" s="123" t="s">
        <v>792</v>
      </c>
      <c r="ANY54" s="123" t="s">
        <v>792</v>
      </c>
      <c r="AOG54" s="123" t="s">
        <v>792</v>
      </c>
      <c r="AOO54" s="123" t="s">
        <v>792</v>
      </c>
      <c r="AOW54" s="123" t="s">
        <v>792</v>
      </c>
      <c r="APE54" s="123" t="s">
        <v>792</v>
      </c>
      <c r="APM54" s="123" t="s">
        <v>792</v>
      </c>
      <c r="APU54" s="123" t="s">
        <v>792</v>
      </c>
      <c r="AQC54" s="123" t="s">
        <v>792</v>
      </c>
      <c r="AQK54" s="123" t="s">
        <v>792</v>
      </c>
      <c r="AQS54" s="123" t="s">
        <v>792</v>
      </c>
      <c r="ARA54" s="123" t="s">
        <v>792</v>
      </c>
      <c r="ARI54" s="123" t="s">
        <v>792</v>
      </c>
      <c r="ARQ54" s="123" t="s">
        <v>792</v>
      </c>
      <c r="ARY54" s="123" t="s">
        <v>792</v>
      </c>
      <c r="ASG54" s="123" t="s">
        <v>792</v>
      </c>
      <c r="ASO54" s="123" t="s">
        <v>792</v>
      </c>
      <c r="ASW54" s="123" t="s">
        <v>792</v>
      </c>
      <c r="ATE54" s="123" t="s">
        <v>792</v>
      </c>
      <c r="ATM54" s="123" t="s">
        <v>792</v>
      </c>
      <c r="ATU54" s="123" t="s">
        <v>792</v>
      </c>
      <c r="AUC54" s="123" t="s">
        <v>792</v>
      </c>
      <c r="AUK54" s="123" t="s">
        <v>792</v>
      </c>
      <c r="AUS54" s="123" t="s">
        <v>792</v>
      </c>
      <c r="AVA54" s="123" t="s">
        <v>792</v>
      </c>
      <c r="AVI54" s="123" t="s">
        <v>792</v>
      </c>
      <c r="AVQ54" s="123" t="s">
        <v>792</v>
      </c>
      <c r="AVY54" s="123" t="s">
        <v>792</v>
      </c>
      <c r="AWG54" s="123" t="s">
        <v>792</v>
      </c>
      <c r="AWO54" s="123" t="s">
        <v>792</v>
      </c>
      <c r="AWW54" s="123" t="s">
        <v>792</v>
      </c>
      <c r="AXE54" s="123" t="s">
        <v>792</v>
      </c>
      <c r="AXM54" s="123" t="s">
        <v>792</v>
      </c>
      <c r="AXU54" s="123" t="s">
        <v>792</v>
      </c>
      <c r="AYC54" s="123" t="s">
        <v>792</v>
      </c>
      <c r="AYK54" s="123" t="s">
        <v>792</v>
      </c>
      <c r="AYS54" s="123" t="s">
        <v>792</v>
      </c>
      <c r="AZA54" s="123" t="s">
        <v>792</v>
      </c>
      <c r="AZI54" s="123" t="s">
        <v>792</v>
      </c>
      <c r="AZQ54" s="123" t="s">
        <v>792</v>
      </c>
      <c r="AZY54" s="123" t="s">
        <v>792</v>
      </c>
      <c r="BAG54" s="123" t="s">
        <v>792</v>
      </c>
      <c r="BAO54" s="123" t="s">
        <v>792</v>
      </c>
      <c r="BAW54" s="123" t="s">
        <v>792</v>
      </c>
      <c r="BBE54" s="123" t="s">
        <v>792</v>
      </c>
      <c r="BBM54" s="123" t="s">
        <v>792</v>
      </c>
      <c r="BBU54" s="123" t="s">
        <v>792</v>
      </c>
      <c r="BCC54" s="123" t="s">
        <v>792</v>
      </c>
      <c r="BCK54" s="123" t="s">
        <v>792</v>
      </c>
      <c r="BCS54" s="123" t="s">
        <v>792</v>
      </c>
      <c r="BDA54" s="123" t="s">
        <v>792</v>
      </c>
      <c r="BDI54" s="123" t="s">
        <v>792</v>
      </c>
      <c r="BDQ54" s="123" t="s">
        <v>792</v>
      </c>
      <c r="BDY54" s="123" t="s">
        <v>792</v>
      </c>
      <c r="BEG54" s="123" t="s">
        <v>792</v>
      </c>
      <c r="BEO54" s="123" t="s">
        <v>792</v>
      </c>
      <c r="BEW54" s="123" t="s">
        <v>792</v>
      </c>
      <c r="BFE54" s="123" t="s">
        <v>792</v>
      </c>
      <c r="BFM54" s="123" t="s">
        <v>792</v>
      </c>
      <c r="BFU54" s="123" t="s">
        <v>792</v>
      </c>
      <c r="BGC54" s="123" t="s">
        <v>792</v>
      </c>
      <c r="BGK54" s="123" t="s">
        <v>792</v>
      </c>
      <c r="BGS54" s="123" t="s">
        <v>792</v>
      </c>
      <c r="BHA54" s="123" t="s">
        <v>792</v>
      </c>
      <c r="BHI54" s="123" t="s">
        <v>792</v>
      </c>
      <c r="BHQ54" s="123" t="s">
        <v>792</v>
      </c>
      <c r="BHY54" s="123" t="s">
        <v>792</v>
      </c>
      <c r="BIG54" s="123" t="s">
        <v>792</v>
      </c>
      <c r="BIO54" s="123" t="s">
        <v>792</v>
      </c>
      <c r="BIW54" s="123" t="s">
        <v>792</v>
      </c>
      <c r="BJE54" s="123" t="s">
        <v>792</v>
      </c>
      <c r="BJM54" s="123" t="s">
        <v>792</v>
      </c>
      <c r="BJU54" s="123" t="s">
        <v>792</v>
      </c>
      <c r="BKC54" s="123" t="s">
        <v>792</v>
      </c>
      <c r="BKK54" s="123" t="s">
        <v>792</v>
      </c>
      <c r="BKS54" s="123" t="s">
        <v>792</v>
      </c>
      <c r="BLA54" s="123" t="s">
        <v>792</v>
      </c>
      <c r="BLI54" s="123" t="s">
        <v>792</v>
      </c>
      <c r="BLQ54" s="123" t="s">
        <v>792</v>
      </c>
      <c r="BLY54" s="123" t="s">
        <v>792</v>
      </c>
      <c r="BMG54" s="123" t="s">
        <v>792</v>
      </c>
      <c r="BMO54" s="123" t="s">
        <v>792</v>
      </c>
      <c r="BMW54" s="123" t="s">
        <v>792</v>
      </c>
      <c r="BNE54" s="123" t="s">
        <v>792</v>
      </c>
      <c r="BNM54" s="123" t="s">
        <v>792</v>
      </c>
      <c r="BNU54" s="123" t="s">
        <v>792</v>
      </c>
      <c r="BOC54" s="123" t="s">
        <v>792</v>
      </c>
      <c r="BOK54" s="123" t="s">
        <v>792</v>
      </c>
      <c r="BOS54" s="123" t="s">
        <v>792</v>
      </c>
      <c r="BPA54" s="123" t="s">
        <v>792</v>
      </c>
      <c r="BPI54" s="123" t="s">
        <v>792</v>
      </c>
      <c r="BPQ54" s="123" t="s">
        <v>792</v>
      </c>
      <c r="BPY54" s="123" t="s">
        <v>792</v>
      </c>
      <c r="BQG54" s="123" t="s">
        <v>792</v>
      </c>
      <c r="BQO54" s="123" t="s">
        <v>792</v>
      </c>
      <c r="BQW54" s="123" t="s">
        <v>792</v>
      </c>
      <c r="BRE54" s="123" t="s">
        <v>792</v>
      </c>
      <c r="BRM54" s="123" t="s">
        <v>792</v>
      </c>
      <c r="BRU54" s="123" t="s">
        <v>792</v>
      </c>
      <c r="BSC54" s="123" t="s">
        <v>792</v>
      </c>
      <c r="BSK54" s="123" t="s">
        <v>792</v>
      </c>
      <c r="BSS54" s="123" t="s">
        <v>792</v>
      </c>
      <c r="BTA54" s="123" t="s">
        <v>792</v>
      </c>
      <c r="BTI54" s="123" t="s">
        <v>792</v>
      </c>
      <c r="BTQ54" s="123" t="s">
        <v>792</v>
      </c>
      <c r="BTY54" s="123" t="s">
        <v>792</v>
      </c>
      <c r="BUG54" s="123" t="s">
        <v>792</v>
      </c>
      <c r="BUO54" s="123" t="s">
        <v>792</v>
      </c>
      <c r="BUW54" s="123" t="s">
        <v>792</v>
      </c>
      <c r="BVE54" s="123" t="s">
        <v>792</v>
      </c>
      <c r="BVM54" s="123" t="s">
        <v>792</v>
      </c>
      <c r="BVU54" s="123" t="s">
        <v>792</v>
      </c>
      <c r="BWC54" s="123" t="s">
        <v>792</v>
      </c>
      <c r="BWK54" s="123" t="s">
        <v>792</v>
      </c>
      <c r="BWS54" s="123" t="s">
        <v>792</v>
      </c>
      <c r="BXA54" s="123" t="s">
        <v>792</v>
      </c>
      <c r="BXI54" s="123" t="s">
        <v>792</v>
      </c>
      <c r="BXQ54" s="123" t="s">
        <v>792</v>
      </c>
      <c r="BXY54" s="123" t="s">
        <v>792</v>
      </c>
      <c r="BYG54" s="123" t="s">
        <v>792</v>
      </c>
      <c r="BYO54" s="123" t="s">
        <v>792</v>
      </c>
      <c r="BYW54" s="123" t="s">
        <v>792</v>
      </c>
      <c r="BZE54" s="123" t="s">
        <v>792</v>
      </c>
      <c r="BZM54" s="123" t="s">
        <v>792</v>
      </c>
      <c r="BZU54" s="123" t="s">
        <v>792</v>
      </c>
      <c r="CAC54" s="123" t="s">
        <v>792</v>
      </c>
      <c r="CAK54" s="123" t="s">
        <v>792</v>
      </c>
      <c r="CAS54" s="123" t="s">
        <v>792</v>
      </c>
      <c r="CBA54" s="123" t="s">
        <v>792</v>
      </c>
      <c r="CBI54" s="123" t="s">
        <v>792</v>
      </c>
      <c r="CBQ54" s="123" t="s">
        <v>792</v>
      </c>
      <c r="CBY54" s="123" t="s">
        <v>792</v>
      </c>
      <c r="CCG54" s="123" t="s">
        <v>792</v>
      </c>
      <c r="CCO54" s="123" t="s">
        <v>792</v>
      </c>
      <c r="CCW54" s="123" t="s">
        <v>792</v>
      </c>
      <c r="CDE54" s="123" t="s">
        <v>792</v>
      </c>
      <c r="CDM54" s="123" t="s">
        <v>792</v>
      </c>
      <c r="CDU54" s="123" t="s">
        <v>792</v>
      </c>
      <c r="CEC54" s="123" t="s">
        <v>792</v>
      </c>
      <c r="CEK54" s="123" t="s">
        <v>792</v>
      </c>
      <c r="CES54" s="123" t="s">
        <v>792</v>
      </c>
      <c r="CFA54" s="123" t="s">
        <v>792</v>
      </c>
      <c r="CFI54" s="123" t="s">
        <v>792</v>
      </c>
      <c r="CFQ54" s="123" t="s">
        <v>792</v>
      </c>
      <c r="CFY54" s="123" t="s">
        <v>792</v>
      </c>
      <c r="CGG54" s="123" t="s">
        <v>792</v>
      </c>
      <c r="CGO54" s="123" t="s">
        <v>792</v>
      </c>
      <c r="CGW54" s="123" t="s">
        <v>792</v>
      </c>
      <c r="CHE54" s="123" t="s">
        <v>792</v>
      </c>
      <c r="CHM54" s="123" t="s">
        <v>792</v>
      </c>
      <c r="CHU54" s="123" t="s">
        <v>792</v>
      </c>
      <c r="CIC54" s="123" t="s">
        <v>792</v>
      </c>
      <c r="CIK54" s="123" t="s">
        <v>792</v>
      </c>
      <c r="CIS54" s="123" t="s">
        <v>792</v>
      </c>
      <c r="CJA54" s="123" t="s">
        <v>792</v>
      </c>
      <c r="CJI54" s="123" t="s">
        <v>792</v>
      </c>
      <c r="CJQ54" s="123" t="s">
        <v>792</v>
      </c>
      <c r="CJY54" s="123" t="s">
        <v>792</v>
      </c>
      <c r="CKG54" s="123" t="s">
        <v>792</v>
      </c>
      <c r="CKO54" s="123" t="s">
        <v>792</v>
      </c>
      <c r="CKW54" s="123" t="s">
        <v>792</v>
      </c>
      <c r="CLE54" s="123" t="s">
        <v>792</v>
      </c>
      <c r="CLM54" s="123" t="s">
        <v>792</v>
      </c>
      <c r="CLU54" s="123" t="s">
        <v>792</v>
      </c>
      <c r="CMC54" s="123" t="s">
        <v>792</v>
      </c>
      <c r="CMK54" s="123" t="s">
        <v>792</v>
      </c>
      <c r="CMS54" s="123" t="s">
        <v>792</v>
      </c>
      <c r="CNA54" s="123" t="s">
        <v>792</v>
      </c>
      <c r="CNI54" s="123" t="s">
        <v>792</v>
      </c>
      <c r="CNQ54" s="123" t="s">
        <v>792</v>
      </c>
      <c r="CNY54" s="123" t="s">
        <v>792</v>
      </c>
      <c r="COG54" s="123" t="s">
        <v>792</v>
      </c>
      <c r="COO54" s="123" t="s">
        <v>792</v>
      </c>
      <c r="COW54" s="123" t="s">
        <v>792</v>
      </c>
      <c r="CPE54" s="123" t="s">
        <v>792</v>
      </c>
      <c r="CPM54" s="123" t="s">
        <v>792</v>
      </c>
      <c r="CPU54" s="123" t="s">
        <v>792</v>
      </c>
      <c r="CQC54" s="123" t="s">
        <v>792</v>
      </c>
      <c r="CQK54" s="123" t="s">
        <v>792</v>
      </c>
      <c r="CQS54" s="123" t="s">
        <v>792</v>
      </c>
      <c r="CRA54" s="123" t="s">
        <v>792</v>
      </c>
      <c r="CRI54" s="123" t="s">
        <v>792</v>
      </c>
      <c r="CRQ54" s="123" t="s">
        <v>792</v>
      </c>
      <c r="CRY54" s="123" t="s">
        <v>792</v>
      </c>
      <c r="CSG54" s="123" t="s">
        <v>792</v>
      </c>
      <c r="CSO54" s="123" t="s">
        <v>792</v>
      </c>
      <c r="CSW54" s="123" t="s">
        <v>792</v>
      </c>
      <c r="CTE54" s="123" t="s">
        <v>792</v>
      </c>
      <c r="CTM54" s="123" t="s">
        <v>792</v>
      </c>
      <c r="CTU54" s="123" t="s">
        <v>792</v>
      </c>
      <c r="CUC54" s="123" t="s">
        <v>792</v>
      </c>
      <c r="CUK54" s="123" t="s">
        <v>792</v>
      </c>
      <c r="CUS54" s="123" t="s">
        <v>792</v>
      </c>
      <c r="CVA54" s="123" t="s">
        <v>792</v>
      </c>
      <c r="CVI54" s="123" t="s">
        <v>792</v>
      </c>
      <c r="CVQ54" s="123" t="s">
        <v>792</v>
      </c>
      <c r="CVY54" s="123" t="s">
        <v>792</v>
      </c>
      <c r="CWG54" s="123" t="s">
        <v>792</v>
      </c>
      <c r="CWO54" s="123" t="s">
        <v>792</v>
      </c>
      <c r="CWW54" s="123" t="s">
        <v>792</v>
      </c>
      <c r="CXE54" s="123" t="s">
        <v>792</v>
      </c>
      <c r="CXM54" s="123" t="s">
        <v>792</v>
      </c>
      <c r="CXU54" s="123" t="s">
        <v>792</v>
      </c>
      <c r="CYC54" s="123" t="s">
        <v>792</v>
      </c>
      <c r="CYK54" s="123" t="s">
        <v>792</v>
      </c>
      <c r="CYS54" s="123" t="s">
        <v>792</v>
      </c>
      <c r="CZA54" s="123" t="s">
        <v>792</v>
      </c>
      <c r="CZI54" s="123" t="s">
        <v>792</v>
      </c>
      <c r="CZQ54" s="123" t="s">
        <v>792</v>
      </c>
      <c r="CZY54" s="123" t="s">
        <v>792</v>
      </c>
      <c r="DAG54" s="123" t="s">
        <v>792</v>
      </c>
      <c r="DAO54" s="123" t="s">
        <v>792</v>
      </c>
      <c r="DAW54" s="123" t="s">
        <v>792</v>
      </c>
      <c r="DBE54" s="123" t="s">
        <v>792</v>
      </c>
      <c r="DBM54" s="123" t="s">
        <v>792</v>
      </c>
      <c r="DBU54" s="123" t="s">
        <v>792</v>
      </c>
      <c r="DCC54" s="123" t="s">
        <v>792</v>
      </c>
      <c r="DCK54" s="123" t="s">
        <v>792</v>
      </c>
      <c r="DCS54" s="123" t="s">
        <v>792</v>
      </c>
      <c r="DDA54" s="123" t="s">
        <v>792</v>
      </c>
      <c r="DDI54" s="123" t="s">
        <v>792</v>
      </c>
      <c r="DDQ54" s="123" t="s">
        <v>792</v>
      </c>
      <c r="DDY54" s="123" t="s">
        <v>792</v>
      </c>
      <c r="DEG54" s="123" t="s">
        <v>792</v>
      </c>
      <c r="DEO54" s="123" t="s">
        <v>792</v>
      </c>
      <c r="DEW54" s="123" t="s">
        <v>792</v>
      </c>
      <c r="DFE54" s="123" t="s">
        <v>792</v>
      </c>
      <c r="DFM54" s="123" t="s">
        <v>792</v>
      </c>
      <c r="DFU54" s="123" t="s">
        <v>792</v>
      </c>
      <c r="DGC54" s="123" t="s">
        <v>792</v>
      </c>
      <c r="DGK54" s="123" t="s">
        <v>792</v>
      </c>
      <c r="DGS54" s="123" t="s">
        <v>792</v>
      </c>
      <c r="DHA54" s="123" t="s">
        <v>792</v>
      </c>
      <c r="DHI54" s="123" t="s">
        <v>792</v>
      </c>
      <c r="DHQ54" s="123" t="s">
        <v>792</v>
      </c>
      <c r="DHY54" s="123" t="s">
        <v>792</v>
      </c>
      <c r="DIG54" s="123" t="s">
        <v>792</v>
      </c>
      <c r="DIO54" s="123" t="s">
        <v>792</v>
      </c>
      <c r="DIW54" s="123" t="s">
        <v>792</v>
      </c>
      <c r="DJE54" s="123" t="s">
        <v>792</v>
      </c>
      <c r="DJM54" s="123" t="s">
        <v>792</v>
      </c>
      <c r="DJU54" s="123" t="s">
        <v>792</v>
      </c>
      <c r="DKC54" s="123" t="s">
        <v>792</v>
      </c>
      <c r="DKK54" s="123" t="s">
        <v>792</v>
      </c>
      <c r="DKS54" s="123" t="s">
        <v>792</v>
      </c>
      <c r="DLA54" s="123" t="s">
        <v>792</v>
      </c>
      <c r="DLI54" s="123" t="s">
        <v>792</v>
      </c>
      <c r="DLQ54" s="123" t="s">
        <v>792</v>
      </c>
      <c r="DLY54" s="123" t="s">
        <v>792</v>
      </c>
      <c r="DMG54" s="123" t="s">
        <v>792</v>
      </c>
      <c r="DMO54" s="123" t="s">
        <v>792</v>
      </c>
      <c r="DMW54" s="123" t="s">
        <v>792</v>
      </c>
      <c r="DNE54" s="123" t="s">
        <v>792</v>
      </c>
      <c r="DNM54" s="123" t="s">
        <v>792</v>
      </c>
      <c r="DNU54" s="123" t="s">
        <v>792</v>
      </c>
      <c r="DOC54" s="123" t="s">
        <v>792</v>
      </c>
      <c r="DOK54" s="123" t="s">
        <v>792</v>
      </c>
      <c r="DOS54" s="123" t="s">
        <v>792</v>
      </c>
      <c r="DPA54" s="123" t="s">
        <v>792</v>
      </c>
      <c r="DPI54" s="123" t="s">
        <v>792</v>
      </c>
      <c r="DPQ54" s="123" t="s">
        <v>792</v>
      </c>
      <c r="DPY54" s="123" t="s">
        <v>792</v>
      </c>
      <c r="DQG54" s="123" t="s">
        <v>792</v>
      </c>
      <c r="DQO54" s="123" t="s">
        <v>792</v>
      </c>
      <c r="DQW54" s="123" t="s">
        <v>792</v>
      </c>
      <c r="DRE54" s="123" t="s">
        <v>792</v>
      </c>
      <c r="DRM54" s="123" t="s">
        <v>792</v>
      </c>
      <c r="DRU54" s="123" t="s">
        <v>792</v>
      </c>
      <c r="DSC54" s="123" t="s">
        <v>792</v>
      </c>
      <c r="DSK54" s="123" t="s">
        <v>792</v>
      </c>
      <c r="DSS54" s="123" t="s">
        <v>792</v>
      </c>
      <c r="DTA54" s="123" t="s">
        <v>792</v>
      </c>
      <c r="DTI54" s="123" t="s">
        <v>792</v>
      </c>
      <c r="DTQ54" s="123" t="s">
        <v>792</v>
      </c>
      <c r="DTY54" s="123" t="s">
        <v>792</v>
      </c>
      <c r="DUG54" s="123" t="s">
        <v>792</v>
      </c>
      <c r="DUO54" s="123" t="s">
        <v>792</v>
      </c>
      <c r="DUW54" s="123" t="s">
        <v>792</v>
      </c>
      <c r="DVE54" s="123" t="s">
        <v>792</v>
      </c>
      <c r="DVM54" s="123" t="s">
        <v>792</v>
      </c>
      <c r="DVU54" s="123" t="s">
        <v>792</v>
      </c>
      <c r="DWC54" s="123" t="s">
        <v>792</v>
      </c>
      <c r="DWK54" s="123" t="s">
        <v>792</v>
      </c>
      <c r="DWS54" s="123" t="s">
        <v>792</v>
      </c>
      <c r="DXA54" s="123" t="s">
        <v>792</v>
      </c>
      <c r="DXI54" s="123" t="s">
        <v>792</v>
      </c>
      <c r="DXQ54" s="123" t="s">
        <v>792</v>
      </c>
      <c r="DXY54" s="123" t="s">
        <v>792</v>
      </c>
      <c r="DYG54" s="123" t="s">
        <v>792</v>
      </c>
      <c r="DYO54" s="123" t="s">
        <v>792</v>
      </c>
      <c r="DYW54" s="123" t="s">
        <v>792</v>
      </c>
      <c r="DZE54" s="123" t="s">
        <v>792</v>
      </c>
      <c r="DZM54" s="123" t="s">
        <v>792</v>
      </c>
      <c r="DZU54" s="123" t="s">
        <v>792</v>
      </c>
      <c r="EAC54" s="123" t="s">
        <v>792</v>
      </c>
      <c r="EAK54" s="123" t="s">
        <v>792</v>
      </c>
      <c r="EAS54" s="123" t="s">
        <v>792</v>
      </c>
      <c r="EBA54" s="123" t="s">
        <v>792</v>
      </c>
      <c r="EBI54" s="123" t="s">
        <v>792</v>
      </c>
      <c r="EBQ54" s="123" t="s">
        <v>792</v>
      </c>
      <c r="EBY54" s="123" t="s">
        <v>792</v>
      </c>
      <c r="ECG54" s="123" t="s">
        <v>792</v>
      </c>
      <c r="ECO54" s="123" t="s">
        <v>792</v>
      </c>
      <c r="ECW54" s="123" t="s">
        <v>792</v>
      </c>
      <c r="EDE54" s="123" t="s">
        <v>792</v>
      </c>
      <c r="EDM54" s="123" t="s">
        <v>792</v>
      </c>
      <c r="EDU54" s="123" t="s">
        <v>792</v>
      </c>
      <c r="EEC54" s="123" t="s">
        <v>792</v>
      </c>
      <c r="EEK54" s="123" t="s">
        <v>792</v>
      </c>
      <c r="EES54" s="123" t="s">
        <v>792</v>
      </c>
      <c r="EFA54" s="123" t="s">
        <v>792</v>
      </c>
      <c r="EFI54" s="123" t="s">
        <v>792</v>
      </c>
      <c r="EFQ54" s="123" t="s">
        <v>792</v>
      </c>
      <c r="EFY54" s="123" t="s">
        <v>792</v>
      </c>
      <c r="EGG54" s="123" t="s">
        <v>792</v>
      </c>
      <c r="EGO54" s="123" t="s">
        <v>792</v>
      </c>
      <c r="EGW54" s="123" t="s">
        <v>792</v>
      </c>
      <c r="EHE54" s="123" t="s">
        <v>792</v>
      </c>
      <c r="EHM54" s="123" t="s">
        <v>792</v>
      </c>
      <c r="EHU54" s="123" t="s">
        <v>792</v>
      </c>
      <c r="EIC54" s="123" t="s">
        <v>792</v>
      </c>
      <c r="EIK54" s="123" t="s">
        <v>792</v>
      </c>
      <c r="EIS54" s="123" t="s">
        <v>792</v>
      </c>
      <c r="EJA54" s="123" t="s">
        <v>792</v>
      </c>
      <c r="EJI54" s="123" t="s">
        <v>792</v>
      </c>
      <c r="EJQ54" s="123" t="s">
        <v>792</v>
      </c>
      <c r="EJY54" s="123" t="s">
        <v>792</v>
      </c>
      <c r="EKG54" s="123" t="s">
        <v>792</v>
      </c>
      <c r="EKO54" s="123" t="s">
        <v>792</v>
      </c>
      <c r="EKW54" s="123" t="s">
        <v>792</v>
      </c>
      <c r="ELE54" s="123" t="s">
        <v>792</v>
      </c>
      <c r="ELM54" s="123" t="s">
        <v>792</v>
      </c>
      <c r="ELU54" s="123" t="s">
        <v>792</v>
      </c>
      <c r="EMC54" s="123" t="s">
        <v>792</v>
      </c>
      <c r="EMK54" s="123" t="s">
        <v>792</v>
      </c>
      <c r="EMS54" s="123" t="s">
        <v>792</v>
      </c>
      <c r="ENA54" s="123" t="s">
        <v>792</v>
      </c>
      <c r="ENI54" s="123" t="s">
        <v>792</v>
      </c>
      <c r="ENQ54" s="123" t="s">
        <v>792</v>
      </c>
      <c r="ENY54" s="123" t="s">
        <v>792</v>
      </c>
      <c r="EOG54" s="123" t="s">
        <v>792</v>
      </c>
      <c r="EOO54" s="123" t="s">
        <v>792</v>
      </c>
      <c r="EOW54" s="123" t="s">
        <v>792</v>
      </c>
      <c r="EPE54" s="123" t="s">
        <v>792</v>
      </c>
      <c r="EPM54" s="123" t="s">
        <v>792</v>
      </c>
      <c r="EPU54" s="123" t="s">
        <v>792</v>
      </c>
      <c r="EQC54" s="123" t="s">
        <v>792</v>
      </c>
      <c r="EQK54" s="123" t="s">
        <v>792</v>
      </c>
      <c r="EQS54" s="123" t="s">
        <v>792</v>
      </c>
      <c r="ERA54" s="123" t="s">
        <v>792</v>
      </c>
      <c r="ERI54" s="123" t="s">
        <v>792</v>
      </c>
      <c r="ERQ54" s="123" t="s">
        <v>792</v>
      </c>
      <c r="ERY54" s="123" t="s">
        <v>792</v>
      </c>
      <c r="ESG54" s="123" t="s">
        <v>792</v>
      </c>
      <c r="ESO54" s="123" t="s">
        <v>792</v>
      </c>
      <c r="ESW54" s="123" t="s">
        <v>792</v>
      </c>
      <c r="ETE54" s="123" t="s">
        <v>792</v>
      </c>
      <c r="ETM54" s="123" t="s">
        <v>792</v>
      </c>
      <c r="ETU54" s="123" t="s">
        <v>792</v>
      </c>
      <c r="EUC54" s="123" t="s">
        <v>792</v>
      </c>
      <c r="EUK54" s="123" t="s">
        <v>792</v>
      </c>
      <c r="EUS54" s="123" t="s">
        <v>792</v>
      </c>
      <c r="EVA54" s="123" t="s">
        <v>792</v>
      </c>
      <c r="EVI54" s="123" t="s">
        <v>792</v>
      </c>
      <c r="EVQ54" s="123" t="s">
        <v>792</v>
      </c>
      <c r="EVY54" s="123" t="s">
        <v>792</v>
      </c>
      <c r="EWG54" s="123" t="s">
        <v>792</v>
      </c>
      <c r="EWO54" s="123" t="s">
        <v>792</v>
      </c>
      <c r="EWW54" s="123" t="s">
        <v>792</v>
      </c>
      <c r="EXE54" s="123" t="s">
        <v>792</v>
      </c>
      <c r="EXM54" s="123" t="s">
        <v>792</v>
      </c>
      <c r="EXU54" s="123" t="s">
        <v>792</v>
      </c>
      <c r="EYC54" s="123" t="s">
        <v>792</v>
      </c>
      <c r="EYK54" s="123" t="s">
        <v>792</v>
      </c>
      <c r="EYS54" s="123" t="s">
        <v>792</v>
      </c>
      <c r="EZA54" s="123" t="s">
        <v>792</v>
      </c>
      <c r="EZI54" s="123" t="s">
        <v>792</v>
      </c>
      <c r="EZQ54" s="123" t="s">
        <v>792</v>
      </c>
      <c r="EZY54" s="123" t="s">
        <v>792</v>
      </c>
      <c r="FAG54" s="123" t="s">
        <v>792</v>
      </c>
      <c r="FAO54" s="123" t="s">
        <v>792</v>
      </c>
      <c r="FAW54" s="123" t="s">
        <v>792</v>
      </c>
      <c r="FBE54" s="123" t="s">
        <v>792</v>
      </c>
      <c r="FBM54" s="123" t="s">
        <v>792</v>
      </c>
      <c r="FBU54" s="123" t="s">
        <v>792</v>
      </c>
      <c r="FCC54" s="123" t="s">
        <v>792</v>
      </c>
      <c r="FCK54" s="123" t="s">
        <v>792</v>
      </c>
      <c r="FCS54" s="123" t="s">
        <v>792</v>
      </c>
      <c r="FDA54" s="123" t="s">
        <v>792</v>
      </c>
      <c r="FDI54" s="123" t="s">
        <v>792</v>
      </c>
      <c r="FDQ54" s="123" t="s">
        <v>792</v>
      </c>
      <c r="FDY54" s="123" t="s">
        <v>792</v>
      </c>
      <c r="FEG54" s="123" t="s">
        <v>792</v>
      </c>
      <c r="FEO54" s="123" t="s">
        <v>792</v>
      </c>
      <c r="FEW54" s="123" t="s">
        <v>792</v>
      </c>
      <c r="FFE54" s="123" t="s">
        <v>792</v>
      </c>
      <c r="FFM54" s="123" t="s">
        <v>792</v>
      </c>
      <c r="FFU54" s="123" t="s">
        <v>792</v>
      </c>
      <c r="FGC54" s="123" t="s">
        <v>792</v>
      </c>
      <c r="FGK54" s="123" t="s">
        <v>792</v>
      </c>
      <c r="FGS54" s="123" t="s">
        <v>792</v>
      </c>
      <c r="FHA54" s="123" t="s">
        <v>792</v>
      </c>
      <c r="FHI54" s="123" t="s">
        <v>792</v>
      </c>
      <c r="FHQ54" s="123" t="s">
        <v>792</v>
      </c>
      <c r="FHY54" s="123" t="s">
        <v>792</v>
      </c>
      <c r="FIG54" s="123" t="s">
        <v>792</v>
      </c>
      <c r="FIO54" s="123" t="s">
        <v>792</v>
      </c>
      <c r="FIW54" s="123" t="s">
        <v>792</v>
      </c>
      <c r="FJE54" s="123" t="s">
        <v>792</v>
      </c>
      <c r="FJM54" s="123" t="s">
        <v>792</v>
      </c>
      <c r="FJU54" s="123" t="s">
        <v>792</v>
      </c>
      <c r="FKC54" s="123" t="s">
        <v>792</v>
      </c>
      <c r="FKK54" s="123" t="s">
        <v>792</v>
      </c>
      <c r="FKS54" s="123" t="s">
        <v>792</v>
      </c>
      <c r="FLA54" s="123" t="s">
        <v>792</v>
      </c>
      <c r="FLI54" s="123" t="s">
        <v>792</v>
      </c>
      <c r="FLQ54" s="123" t="s">
        <v>792</v>
      </c>
      <c r="FLY54" s="123" t="s">
        <v>792</v>
      </c>
      <c r="FMG54" s="123" t="s">
        <v>792</v>
      </c>
      <c r="FMO54" s="123" t="s">
        <v>792</v>
      </c>
      <c r="FMW54" s="123" t="s">
        <v>792</v>
      </c>
      <c r="FNE54" s="123" t="s">
        <v>792</v>
      </c>
      <c r="FNM54" s="123" t="s">
        <v>792</v>
      </c>
      <c r="FNU54" s="123" t="s">
        <v>792</v>
      </c>
      <c r="FOC54" s="123" t="s">
        <v>792</v>
      </c>
      <c r="FOK54" s="123" t="s">
        <v>792</v>
      </c>
      <c r="FOS54" s="123" t="s">
        <v>792</v>
      </c>
      <c r="FPA54" s="123" t="s">
        <v>792</v>
      </c>
      <c r="FPI54" s="123" t="s">
        <v>792</v>
      </c>
      <c r="FPQ54" s="123" t="s">
        <v>792</v>
      </c>
      <c r="FPY54" s="123" t="s">
        <v>792</v>
      </c>
      <c r="FQG54" s="123" t="s">
        <v>792</v>
      </c>
      <c r="FQO54" s="123" t="s">
        <v>792</v>
      </c>
      <c r="FQW54" s="123" t="s">
        <v>792</v>
      </c>
      <c r="FRE54" s="123" t="s">
        <v>792</v>
      </c>
      <c r="FRM54" s="123" t="s">
        <v>792</v>
      </c>
      <c r="FRU54" s="123" t="s">
        <v>792</v>
      </c>
      <c r="FSC54" s="123" t="s">
        <v>792</v>
      </c>
      <c r="FSK54" s="123" t="s">
        <v>792</v>
      </c>
      <c r="FSS54" s="123" t="s">
        <v>792</v>
      </c>
      <c r="FTA54" s="123" t="s">
        <v>792</v>
      </c>
      <c r="FTI54" s="123" t="s">
        <v>792</v>
      </c>
      <c r="FTQ54" s="123" t="s">
        <v>792</v>
      </c>
      <c r="FTY54" s="123" t="s">
        <v>792</v>
      </c>
      <c r="FUG54" s="123" t="s">
        <v>792</v>
      </c>
      <c r="FUO54" s="123" t="s">
        <v>792</v>
      </c>
      <c r="FUW54" s="123" t="s">
        <v>792</v>
      </c>
      <c r="FVE54" s="123" t="s">
        <v>792</v>
      </c>
      <c r="FVM54" s="123" t="s">
        <v>792</v>
      </c>
      <c r="FVU54" s="123" t="s">
        <v>792</v>
      </c>
      <c r="FWC54" s="123" t="s">
        <v>792</v>
      </c>
      <c r="FWK54" s="123" t="s">
        <v>792</v>
      </c>
      <c r="FWS54" s="123" t="s">
        <v>792</v>
      </c>
      <c r="FXA54" s="123" t="s">
        <v>792</v>
      </c>
      <c r="FXI54" s="123" t="s">
        <v>792</v>
      </c>
      <c r="FXQ54" s="123" t="s">
        <v>792</v>
      </c>
      <c r="FXY54" s="123" t="s">
        <v>792</v>
      </c>
      <c r="FYG54" s="123" t="s">
        <v>792</v>
      </c>
      <c r="FYO54" s="123" t="s">
        <v>792</v>
      </c>
      <c r="FYW54" s="123" t="s">
        <v>792</v>
      </c>
      <c r="FZE54" s="123" t="s">
        <v>792</v>
      </c>
      <c r="FZM54" s="123" t="s">
        <v>792</v>
      </c>
      <c r="FZU54" s="123" t="s">
        <v>792</v>
      </c>
      <c r="GAC54" s="123" t="s">
        <v>792</v>
      </c>
      <c r="GAK54" s="123" t="s">
        <v>792</v>
      </c>
      <c r="GAS54" s="123" t="s">
        <v>792</v>
      </c>
      <c r="GBA54" s="123" t="s">
        <v>792</v>
      </c>
      <c r="GBI54" s="123" t="s">
        <v>792</v>
      </c>
      <c r="GBQ54" s="123" t="s">
        <v>792</v>
      </c>
      <c r="GBY54" s="123" t="s">
        <v>792</v>
      </c>
      <c r="GCG54" s="123" t="s">
        <v>792</v>
      </c>
      <c r="GCO54" s="123" t="s">
        <v>792</v>
      </c>
      <c r="GCW54" s="123" t="s">
        <v>792</v>
      </c>
      <c r="GDE54" s="123" t="s">
        <v>792</v>
      </c>
      <c r="GDM54" s="123" t="s">
        <v>792</v>
      </c>
      <c r="GDU54" s="123" t="s">
        <v>792</v>
      </c>
      <c r="GEC54" s="123" t="s">
        <v>792</v>
      </c>
      <c r="GEK54" s="123" t="s">
        <v>792</v>
      </c>
      <c r="GES54" s="123" t="s">
        <v>792</v>
      </c>
      <c r="GFA54" s="123" t="s">
        <v>792</v>
      </c>
      <c r="GFI54" s="123" t="s">
        <v>792</v>
      </c>
      <c r="GFQ54" s="123" t="s">
        <v>792</v>
      </c>
      <c r="GFY54" s="123" t="s">
        <v>792</v>
      </c>
      <c r="GGG54" s="123" t="s">
        <v>792</v>
      </c>
      <c r="GGO54" s="123" t="s">
        <v>792</v>
      </c>
      <c r="GGW54" s="123" t="s">
        <v>792</v>
      </c>
      <c r="GHE54" s="123" t="s">
        <v>792</v>
      </c>
      <c r="GHM54" s="123" t="s">
        <v>792</v>
      </c>
      <c r="GHU54" s="123" t="s">
        <v>792</v>
      </c>
      <c r="GIC54" s="123" t="s">
        <v>792</v>
      </c>
      <c r="GIK54" s="123" t="s">
        <v>792</v>
      </c>
      <c r="GIS54" s="123" t="s">
        <v>792</v>
      </c>
      <c r="GJA54" s="123" t="s">
        <v>792</v>
      </c>
      <c r="GJI54" s="123" t="s">
        <v>792</v>
      </c>
      <c r="GJQ54" s="123" t="s">
        <v>792</v>
      </c>
      <c r="GJY54" s="123" t="s">
        <v>792</v>
      </c>
      <c r="GKG54" s="123" t="s">
        <v>792</v>
      </c>
      <c r="GKO54" s="123" t="s">
        <v>792</v>
      </c>
      <c r="GKW54" s="123" t="s">
        <v>792</v>
      </c>
      <c r="GLE54" s="123" t="s">
        <v>792</v>
      </c>
      <c r="GLM54" s="123" t="s">
        <v>792</v>
      </c>
      <c r="GLU54" s="123" t="s">
        <v>792</v>
      </c>
      <c r="GMC54" s="123" t="s">
        <v>792</v>
      </c>
      <c r="GMK54" s="123" t="s">
        <v>792</v>
      </c>
      <c r="GMS54" s="123" t="s">
        <v>792</v>
      </c>
      <c r="GNA54" s="123" t="s">
        <v>792</v>
      </c>
      <c r="GNI54" s="123" t="s">
        <v>792</v>
      </c>
      <c r="GNQ54" s="123" t="s">
        <v>792</v>
      </c>
      <c r="GNY54" s="123" t="s">
        <v>792</v>
      </c>
      <c r="GOG54" s="123" t="s">
        <v>792</v>
      </c>
      <c r="GOO54" s="123" t="s">
        <v>792</v>
      </c>
      <c r="GOW54" s="123" t="s">
        <v>792</v>
      </c>
      <c r="GPE54" s="123" t="s">
        <v>792</v>
      </c>
      <c r="GPM54" s="123" t="s">
        <v>792</v>
      </c>
      <c r="GPU54" s="123" t="s">
        <v>792</v>
      </c>
      <c r="GQC54" s="123" t="s">
        <v>792</v>
      </c>
      <c r="GQK54" s="123" t="s">
        <v>792</v>
      </c>
      <c r="GQS54" s="123" t="s">
        <v>792</v>
      </c>
      <c r="GRA54" s="123" t="s">
        <v>792</v>
      </c>
      <c r="GRI54" s="123" t="s">
        <v>792</v>
      </c>
      <c r="GRQ54" s="123" t="s">
        <v>792</v>
      </c>
      <c r="GRY54" s="123" t="s">
        <v>792</v>
      </c>
      <c r="GSG54" s="123" t="s">
        <v>792</v>
      </c>
      <c r="GSO54" s="123" t="s">
        <v>792</v>
      </c>
      <c r="GSW54" s="123" t="s">
        <v>792</v>
      </c>
      <c r="GTE54" s="123" t="s">
        <v>792</v>
      </c>
      <c r="GTM54" s="123" t="s">
        <v>792</v>
      </c>
      <c r="GTU54" s="123" t="s">
        <v>792</v>
      </c>
      <c r="GUC54" s="123" t="s">
        <v>792</v>
      </c>
      <c r="GUK54" s="123" t="s">
        <v>792</v>
      </c>
      <c r="GUS54" s="123" t="s">
        <v>792</v>
      </c>
      <c r="GVA54" s="123" t="s">
        <v>792</v>
      </c>
      <c r="GVI54" s="123" t="s">
        <v>792</v>
      </c>
      <c r="GVQ54" s="123" t="s">
        <v>792</v>
      </c>
      <c r="GVY54" s="123" t="s">
        <v>792</v>
      </c>
      <c r="GWG54" s="123" t="s">
        <v>792</v>
      </c>
      <c r="GWO54" s="123" t="s">
        <v>792</v>
      </c>
      <c r="GWW54" s="123" t="s">
        <v>792</v>
      </c>
      <c r="GXE54" s="123" t="s">
        <v>792</v>
      </c>
      <c r="GXM54" s="123" t="s">
        <v>792</v>
      </c>
      <c r="GXU54" s="123" t="s">
        <v>792</v>
      </c>
      <c r="GYC54" s="123" t="s">
        <v>792</v>
      </c>
      <c r="GYK54" s="123" t="s">
        <v>792</v>
      </c>
      <c r="GYS54" s="123" t="s">
        <v>792</v>
      </c>
      <c r="GZA54" s="123" t="s">
        <v>792</v>
      </c>
      <c r="GZI54" s="123" t="s">
        <v>792</v>
      </c>
      <c r="GZQ54" s="123" t="s">
        <v>792</v>
      </c>
      <c r="GZY54" s="123" t="s">
        <v>792</v>
      </c>
      <c r="HAG54" s="123" t="s">
        <v>792</v>
      </c>
      <c r="HAO54" s="123" t="s">
        <v>792</v>
      </c>
      <c r="HAW54" s="123" t="s">
        <v>792</v>
      </c>
      <c r="HBE54" s="123" t="s">
        <v>792</v>
      </c>
      <c r="HBM54" s="123" t="s">
        <v>792</v>
      </c>
      <c r="HBU54" s="123" t="s">
        <v>792</v>
      </c>
      <c r="HCC54" s="123" t="s">
        <v>792</v>
      </c>
      <c r="HCK54" s="123" t="s">
        <v>792</v>
      </c>
      <c r="HCS54" s="123" t="s">
        <v>792</v>
      </c>
      <c r="HDA54" s="123" t="s">
        <v>792</v>
      </c>
      <c r="HDI54" s="123" t="s">
        <v>792</v>
      </c>
      <c r="HDQ54" s="123" t="s">
        <v>792</v>
      </c>
      <c r="HDY54" s="123" t="s">
        <v>792</v>
      </c>
      <c r="HEG54" s="123" t="s">
        <v>792</v>
      </c>
      <c r="HEO54" s="123" t="s">
        <v>792</v>
      </c>
      <c r="HEW54" s="123" t="s">
        <v>792</v>
      </c>
      <c r="HFE54" s="123" t="s">
        <v>792</v>
      </c>
      <c r="HFM54" s="123" t="s">
        <v>792</v>
      </c>
      <c r="HFU54" s="123" t="s">
        <v>792</v>
      </c>
      <c r="HGC54" s="123" t="s">
        <v>792</v>
      </c>
      <c r="HGK54" s="123" t="s">
        <v>792</v>
      </c>
      <c r="HGS54" s="123" t="s">
        <v>792</v>
      </c>
      <c r="HHA54" s="123" t="s">
        <v>792</v>
      </c>
      <c r="HHI54" s="123" t="s">
        <v>792</v>
      </c>
      <c r="HHQ54" s="123" t="s">
        <v>792</v>
      </c>
      <c r="HHY54" s="123" t="s">
        <v>792</v>
      </c>
      <c r="HIG54" s="123" t="s">
        <v>792</v>
      </c>
      <c r="HIO54" s="123" t="s">
        <v>792</v>
      </c>
      <c r="HIW54" s="123" t="s">
        <v>792</v>
      </c>
      <c r="HJE54" s="123" t="s">
        <v>792</v>
      </c>
      <c r="HJM54" s="123" t="s">
        <v>792</v>
      </c>
      <c r="HJU54" s="123" t="s">
        <v>792</v>
      </c>
      <c r="HKC54" s="123" t="s">
        <v>792</v>
      </c>
      <c r="HKK54" s="123" t="s">
        <v>792</v>
      </c>
      <c r="HKS54" s="123" t="s">
        <v>792</v>
      </c>
      <c r="HLA54" s="123" t="s">
        <v>792</v>
      </c>
      <c r="HLI54" s="123" t="s">
        <v>792</v>
      </c>
      <c r="HLQ54" s="123" t="s">
        <v>792</v>
      </c>
      <c r="HLY54" s="123" t="s">
        <v>792</v>
      </c>
      <c r="HMG54" s="123" t="s">
        <v>792</v>
      </c>
      <c r="HMO54" s="123" t="s">
        <v>792</v>
      </c>
      <c r="HMW54" s="123" t="s">
        <v>792</v>
      </c>
      <c r="HNE54" s="123" t="s">
        <v>792</v>
      </c>
      <c r="HNM54" s="123" t="s">
        <v>792</v>
      </c>
      <c r="HNU54" s="123" t="s">
        <v>792</v>
      </c>
      <c r="HOC54" s="123" t="s">
        <v>792</v>
      </c>
      <c r="HOK54" s="123" t="s">
        <v>792</v>
      </c>
      <c r="HOS54" s="123" t="s">
        <v>792</v>
      </c>
      <c r="HPA54" s="123" t="s">
        <v>792</v>
      </c>
      <c r="HPI54" s="123" t="s">
        <v>792</v>
      </c>
      <c r="HPQ54" s="123" t="s">
        <v>792</v>
      </c>
      <c r="HPY54" s="123" t="s">
        <v>792</v>
      </c>
      <c r="HQG54" s="123" t="s">
        <v>792</v>
      </c>
      <c r="HQO54" s="123" t="s">
        <v>792</v>
      </c>
      <c r="HQW54" s="123" t="s">
        <v>792</v>
      </c>
      <c r="HRE54" s="123" t="s">
        <v>792</v>
      </c>
      <c r="HRM54" s="123" t="s">
        <v>792</v>
      </c>
      <c r="HRU54" s="123" t="s">
        <v>792</v>
      </c>
      <c r="HSC54" s="123" t="s">
        <v>792</v>
      </c>
      <c r="HSK54" s="123" t="s">
        <v>792</v>
      </c>
      <c r="HSS54" s="123" t="s">
        <v>792</v>
      </c>
      <c r="HTA54" s="123" t="s">
        <v>792</v>
      </c>
      <c r="HTI54" s="123" t="s">
        <v>792</v>
      </c>
      <c r="HTQ54" s="123" t="s">
        <v>792</v>
      </c>
      <c r="HTY54" s="123" t="s">
        <v>792</v>
      </c>
      <c r="HUG54" s="123" t="s">
        <v>792</v>
      </c>
      <c r="HUO54" s="123" t="s">
        <v>792</v>
      </c>
      <c r="HUW54" s="123" t="s">
        <v>792</v>
      </c>
      <c r="HVE54" s="123" t="s">
        <v>792</v>
      </c>
      <c r="HVM54" s="123" t="s">
        <v>792</v>
      </c>
      <c r="HVU54" s="123" t="s">
        <v>792</v>
      </c>
      <c r="HWC54" s="123" t="s">
        <v>792</v>
      </c>
      <c r="HWK54" s="123" t="s">
        <v>792</v>
      </c>
      <c r="HWS54" s="123" t="s">
        <v>792</v>
      </c>
      <c r="HXA54" s="123" t="s">
        <v>792</v>
      </c>
      <c r="HXI54" s="123" t="s">
        <v>792</v>
      </c>
      <c r="HXQ54" s="123" t="s">
        <v>792</v>
      </c>
      <c r="HXY54" s="123" t="s">
        <v>792</v>
      </c>
      <c r="HYG54" s="123" t="s">
        <v>792</v>
      </c>
      <c r="HYO54" s="123" t="s">
        <v>792</v>
      </c>
      <c r="HYW54" s="123" t="s">
        <v>792</v>
      </c>
      <c r="HZE54" s="123" t="s">
        <v>792</v>
      </c>
      <c r="HZM54" s="123" t="s">
        <v>792</v>
      </c>
      <c r="HZU54" s="123" t="s">
        <v>792</v>
      </c>
      <c r="IAC54" s="123" t="s">
        <v>792</v>
      </c>
      <c r="IAK54" s="123" t="s">
        <v>792</v>
      </c>
      <c r="IAS54" s="123" t="s">
        <v>792</v>
      </c>
      <c r="IBA54" s="123" t="s">
        <v>792</v>
      </c>
      <c r="IBI54" s="123" t="s">
        <v>792</v>
      </c>
      <c r="IBQ54" s="123" t="s">
        <v>792</v>
      </c>
      <c r="IBY54" s="123" t="s">
        <v>792</v>
      </c>
      <c r="ICG54" s="123" t="s">
        <v>792</v>
      </c>
      <c r="ICO54" s="123" t="s">
        <v>792</v>
      </c>
      <c r="ICW54" s="123" t="s">
        <v>792</v>
      </c>
      <c r="IDE54" s="123" t="s">
        <v>792</v>
      </c>
      <c r="IDM54" s="123" t="s">
        <v>792</v>
      </c>
      <c r="IDU54" s="123" t="s">
        <v>792</v>
      </c>
      <c r="IEC54" s="123" t="s">
        <v>792</v>
      </c>
      <c r="IEK54" s="123" t="s">
        <v>792</v>
      </c>
      <c r="IES54" s="123" t="s">
        <v>792</v>
      </c>
      <c r="IFA54" s="123" t="s">
        <v>792</v>
      </c>
      <c r="IFI54" s="123" t="s">
        <v>792</v>
      </c>
      <c r="IFQ54" s="123" t="s">
        <v>792</v>
      </c>
      <c r="IFY54" s="123" t="s">
        <v>792</v>
      </c>
      <c r="IGG54" s="123" t="s">
        <v>792</v>
      </c>
      <c r="IGO54" s="123" t="s">
        <v>792</v>
      </c>
      <c r="IGW54" s="123" t="s">
        <v>792</v>
      </c>
      <c r="IHE54" s="123" t="s">
        <v>792</v>
      </c>
      <c r="IHM54" s="123" t="s">
        <v>792</v>
      </c>
      <c r="IHU54" s="123" t="s">
        <v>792</v>
      </c>
      <c r="IIC54" s="123" t="s">
        <v>792</v>
      </c>
      <c r="IIK54" s="123" t="s">
        <v>792</v>
      </c>
      <c r="IIS54" s="123" t="s">
        <v>792</v>
      </c>
      <c r="IJA54" s="123" t="s">
        <v>792</v>
      </c>
      <c r="IJI54" s="123" t="s">
        <v>792</v>
      </c>
      <c r="IJQ54" s="123" t="s">
        <v>792</v>
      </c>
      <c r="IJY54" s="123" t="s">
        <v>792</v>
      </c>
      <c r="IKG54" s="123" t="s">
        <v>792</v>
      </c>
      <c r="IKO54" s="123" t="s">
        <v>792</v>
      </c>
      <c r="IKW54" s="123" t="s">
        <v>792</v>
      </c>
      <c r="ILE54" s="123" t="s">
        <v>792</v>
      </c>
      <c r="ILM54" s="123" t="s">
        <v>792</v>
      </c>
      <c r="ILU54" s="123" t="s">
        <v>792</v>
      </c>
      <c r="IMC54" s="123" t="s">
        <v>792</v>
      </c>
      <c r="IMK54" s="123" t="s">
        <v>792</v>
      </c>
      <c r="IMS54" s="123" t="s">
        <v>792</v>
      </c>
      <c r="INA54" s="123" t="s">
        <v>792</v>
      </c>
      <c r="INI54" s="123" t="s">
        <v>792</v>
      </c>
      <c r="INQ54" s="123" t="s">
        <v>792</v>
      </c>
      <c r="INY54" s="123" t="s">
        <v>792</v>
      </c>
      <c r="IOG54" s="123" t="s">
        <v>792</v>
      </c>
      <c r="IOO54" s="123" t="s">
        <v>792</v>
      </c>
      <c r="IOW54" s="123" t="s">
        <v>792</v>
      </c>
      <c r="IPE54" s="123" t="s">
        <v>792</v>
      </c>
      <c r="IPM54" s="123" t="s">
        <v>792</v>
      </c>
      <c r="IPU54" s="123" t="s">
        <v>792</v>
      </c>
      <c r="IQC54" s="123" t="s">
        <v>792</v>
      </c>
      <c r="IQK54" s="123" t="s">
        <v>792</v>
      </c>
      <c r="IQS54" s="123" t="s">
        <v>792</v>
      </c>
      <c r="IRA54" s="123" t="s">
        <v>792</v>
      </c>
      <c r="IRI54" s="123" t="s">
        <v>792</v>
      </c>
      <c r="IRQ54" s="123" t="s">
        <v>792</v>
      </c>
      <c r="IRY54" s="123" t="s">
        <v>792</v>
      </c>
      <c r="ISG54" s="123" t="s">
        <v>792</v>
      </c>
      <c r="ISO54" s="123" t="s">
        <v>792</v>
      </c>
      <c r="ISW54" s="123" t="s">
        <v>792</v>
      </c>
      <c r="ITE54" s="123" t="s">
        <v>792</v>
      </c>
      <c r="ITM54" s="123" t="s">
        <v>792</v>
      </c>
      <c r="ITU54" s="123" t="s">
        <v>792</v>
      </c>
      <c r="IUC54" s="123" t="s">
        <v>792</v>
      </c>
      <c r="IUK54" s="123" t="s">
        <v>792</v>
      </c>
      <c r="IUS54" s="123" t="s">
        <v>792</v>
      </c>
      <c r="IVA54" s="123" t="s">
        <v>792</v>
      </c>
      <c r="IVI54" s="123" t="s">
        <v>792</v>
      </c>
      <c r="IVQ54" s="123" t="s">
        <v>792</v>
      </c>
      <c r="IVY54" s="123" t="s">
        <v>792</v>
      </c>
      <c r="IWG54" s="123" t="s">
        <v>792</v>
      </c>
      <c r="IWO54" s="123" t="s">
        <v>792</v>
      </c>
      <c r="IWW54" s="123" t="s">
        <v>792</v>
      </c>
      <c r="IXE54" s="123" t="s">
        <v>792</v>
      </c>
      <c r="IXM54" s="123" t="s">
        <v>792</v>
      </c>
      <c r="IXU54" s="123" t="s">
        <v>792</v>
      </c>
      <c r="IYC54" s="123" t="s">
        <v>792</v>
      </c>
      <c r="IYK54" s="123" t="s">
        <v>792</v>
      </c>
      <c r="IYS54" s="123" t="s">
        <v>792</v>
      </c>
      <c r="IZA54" s="123" t="s">
        <v>792</v>
      </c>
      <c r="IZI54" s="123" t="s">
        <v>792</v>
      </c>
      <c r="IZQ54" s="123" t="s">
        <v>792</v>
      </c>
      <c r="IZY54" s="123" t="s">
        <v>792</v>
      </c>
      <c r="JAG54" s="123" t="s">
        <v>792</v>
      </c>
      <c r="JAO54" s="123" t="s">
        <v>792</v>
      </c>
      <c r="JAW54" s="123" t="s">
        <v>792</v>
      </c>
      <c r="JBE54" s="123" t="s">
        <v>792</v>
      </c>
      <c r="JBM54" s="123" t="s">
        <v>792</v>
      </c>
      <c r="JBU54" s="123" t="s">
        <v>792</v>
      </c>
      <c r="JCC54" s="123" t="s">
        <v>792</v>
      </c>
      <c r="JCK54" s="123" t="s">
        <v>792</v>
      </c>
      <c r="JCS54" s="123" t="s">
        <v>792</v>
      </c>
      <c r="JDA54" s="123" t="s">
        <v>792</v>
      </c>
      <c r="JDI54" s="123" t="s">
        <v>792</v>
      </c>
      <c r="JDQ54" s="123" t="s">
        <v>792</v>
      </c>
      <c r="JDY54" s="123" t="s">
        <v>792</v>
      </c>
      <c r="JEG54" s="123" t="s">
        <v>792</v>
      </c>
      <c r="JEO54" s="123" t="s">
        <v>792</v>
      </c>
      <c r="JEW54" s="123" t="s">
        <v>792</v>
      </c>
      <c r="JFE54" s="123" t="s">
        <v>792</v>
      </c>
      <c r="JFM54" s="123" t="s">
        <v>792</v>
      </c>
      <c r="JFU54" s="123" t="s">
        <v>792</v>
      </c>
      <c r="JGC54" s="123" t="s">
        <v>792</v>
      </c>
      <c r="JGK54" s="123" t="s">
        <v>792</v>
      </c>
      <c r="JGS54" s="123" t="s">
        <v>792</v>
      </c>
      <c r="JHA54" s="123" t="s">
        <v>792</v>
      </c>
      <c r="JHI54" s="123" t="s">
        <v>792</v>
      </c>
      <c r="JHQ54" s="123" t="s">
        <v>792</v>
      </c>
      <c r="JHY54" s="123" t="s">
        <v>792</v>
      </c>
      <c r="JIG54" s="123" t="s">
        <v>792</v>
      </c>
      <c r="JIO54" s="123" t="s">
        <v>792</v>
      </c>
      <c r="JIW54" s="123" t="s">
        <v>792</v>
      </c>
      <c r="JJE54" s="123" t="s">
        <v>792</v>
      </c>
      <c r="JJM54" s="123" t="s">
        <v>792</v>
      </c>
      <c r="JJU54" s="123" t="s">
        <v>792</v>
      </c>
      <c r="JKC54" s="123" t="s">
        <v>792</v>
      </c>
      <c r="JKK54" s="123" t="s">
        <v>792</v>
      </c>
      <c r="JKS54" s="123" t="s">
        <v>792</v>
      </c>
      <c r="JLA54" s="123" t="s">
        <v>792</v>
      </c>
      <c r="JLI54" s="123" t="s">
        <v>792</v>
      </c>
      <c r="JLQ54" s="123" t="s">
        <v>792</v>
      </c>
      <c r="JLY54" s="123" t="s">
        <v>792</v>
      </c>
      <c r="JMG54" s="123" t="s">
        <v>792</v>
      </c>
      <c r="JMO54" s="123" t="s">
        <v>792</v>
      </c>
      <c r="JMW54" s="123" t="s">
        <v>792</v>
      </c>
      <c r="JNE54" s="123" t="s">
        <v>792</v>
      </c>
      <c r="JNM54" s="123" t="s">
        <v>792</v>
      </c>
      <c r="JNU54" s="123" t="s">
        <v>792</v>
      </c>
      <c r="JOC54" s="123" t="s">
        <v>792</v>
      </c>
      <c r="JOK54" s="123" t="s">
        <v>792</v>
      </c>
      <c r="JOS54" s="123" t="s">
        <v>792</v>
      </c>
      <c r="JPA54" s="123" t="s">
        <v>792</v>
      </c>
      <c r="JPI54" s="123" t="s">
        <v>792</v>
      </c>
      <c r="JPQ54" s="123" t="s">
        <v>792</v>
      </c>
      <c r="JPY54" s="123" t="s">
        <v>792</v>
      </c>
      <c r="JQG54" s="123" t="s">
        <v>792</v>
      </c>
      <c r="JQO54" s="123" t="s">
        <v>792</v>
      </c>
      <c r="JQW54" s="123" t="s">
        <v>792</v>
      </c>
      <c r="JRE54" s="123" t="s">
        <v>792</v>
      </c>
      <c r="JRM54" s="123" t="s">
        <v>792</v>
      </c>
      <c r="JRU54" s="123" t="s">
        <v>792</v>
      </c>
      <c r="JSC54" s="123" t="s">
        <v>792</v>
      </c>
      <c r="JSK54" s="123" t="s">
        <v>792</v>
      </c>
      <c r="JSS54" s="123" t="s">
        <v>792</v>
      </c>
      <c r="JTA54" s="123" t="s">
        <v>792</v>
      </c>
      <c r="JTI54" s="123" t="s">
        <v>792</v>
      </c>
      <c r="JTQ54" s="123" t="s">
        <v>792</v>
      </c>
      <c r="JTY54" s="123" t="s">
        <v>792</v>
      </c>
      <c r="JUG54" s="123" t="s">
        <v>792</v>
      </c>
      <c r="JUO54" s="123" t="s">
        <v>792</v>
      </c>
      <c r="JUW54" s="123" t="s">
        <v>792</v>
      </c>
      <c r="JVE54" s="123" t="s">
        <v>792</v>
      </c>
      <c r="JVM54" s="123" t="s">
        <v>792</v>
      </c>
      <c r="JVU54" s="123" t="s">
        <v>792</v>
      </c>
      <c r="JWC54" s="123" t="s">
        <v>792</v>
      </c>
      <c r="JWK54" s="123" t="s">
        <v>792</v>
      </c>
      <c r="JWS54" s="123" t="s">
        <v>792</v>
      </c>
      <c r="JXA54" s="123" t="s">
        <v>792</v>
      </c>
      <c r="JXI54" s="123" t="s">
        <v>792</v>
      </c>
      <c r="JXQ54" s="123" t="s">
        <v>792</v>
      </c>
      <c r="JXY54" s="123" t="s">
        <v>792</v>
      </c>
      <c r="JYG54" s="123" t="s">
        <v>792</v>
      </c>
      <c r="JYO54" s="123" t="s">
        <v>792</v>
      </c>
      <c r="JYW54" s="123" t="s">
        <v>792</v>
      </c>
      <c r="JZE54" s="123" t="s">
        <v>792</v>
      </c>
      <c r="JZM54" s="123" t="s">
        <v>792</v>
      </c>
      <c r="JZU54" s="123" t="s">
        <v>792</v>
      </c>
      <c r="KAC54" s="123" t="s">
        <v>792</v>
      </c>
      <c r="KAK54" s="123" t="s">
        <v>792</v>
      </c>
      <c r="KAS54" s="123" t="s">
        <v>792</v>
      </c>
      <c r="KBA54" s="123" t="s">
        <v>792</v>
      </c>
      <c r="KBI54" s="123" t="s">
        <v>792</v>
      </c>
      <c r="KBQ54" s="123" t="s">
        <v>792</v>
      </c>
      <c r="KBY54" s="123" t="s">
        <v>792</v>
      </c>
      <c r="KCG54" s="123" t="s">
        <v>792</v>
      </c>
      <c r="KCO54" s="123" t="s">
        <v>792</v>
      </c>
      <c r="KCW54" s="123" t="s">
        <v>792</v>
      </c>
      <c r="KDE54" s="123" t="s">
        <v>792</v>
      </c>
      <c r="KDM54" s="123" t="s">
        <v>792</v>
      </c>
      <c r="KDU54" s="123" t="s">
        <v>792</v>
      </c>
      <c r="KEC54" s="123" t="s">
        <v>792</v>
      </c>
      <c r="KEK54" s="123" t="s">
        <v>792</v>
      </c>
      <c r="KES54" s="123" t="s">
        <v>792</v>
      </c>
      <c r="KFA54" s="123" t="s">
        <v>792</v>
      </c>
      <c r="KFI54" s="123" t="s">
        <v>792</v>
      </c>
      <c r="KFQ54" s="123" t="s">
        <v>792</v>
      </c>
      <c r="KFY54" s="123" t="s">
        <v>792</v>
      </c>
      <c r="KGG54" s="123" t="s">
        <v>792</v>
      </c>
      <c r="KGO54" s="123" t="s">
        <v>792</v>
      </c>
      <c r="KGW54" s="123" t="s">
        <v>792</v>
      </c>
      <c r="KHE54" s="123" t="s">
        <v>792</v>
      </c>
      <c r="KHM54" s="123" t="s">
        <v>792</v>
      </c>
      <c r="KHU54" s="123" t="s">
        <v>792</v>
      </c>
      <c r="KIC54" s="123" t="s">
        <v>792</v>
      </c>
      <c r="KIK54" s="123" t="s">
        <v>792</v>
      </c>
      <c r="KIS54" s="123" t="s">
        <v>792</v>
      </c>
      <c r="KJA54" s="123" t="s">
        <v>792</v>
      </c>
      <c r="KJI54" s="123" t="s">
        <v>792</v>
      </c>
      <c r="KJQ54" s="123" t="s">
        <v>792</v>
      </c>
      <c r="KJY54" s="123" t="s">
        <v>792</v>
      </c>
      <c r="KKG54" s="123" t="s">
        <v>792</v>
      </c>
      <c r="KKO54" s="123" t="s">
        <v>792</v>
      </c>
      <c r="KKW54" s="123" t="s">
        <v>792</v>
      </c>
      <c r="KLE54" s="123" t="s">
        <v>792</v>
      </c>
      <c r="KLM54" s="123" t="s">
        <v>792</v>
      </c>
      <c r="KLU54" s="123" t="s">
        <v>792</v>
      </c>
      <c r="KMC54" s="123" t="s">
        <v>792</v>
      </c>
      <c r="KMK54" s="123" t="s">
        <v>792</v>
      </c>
      <c r="KMS54" s="123" t="s">
        <v>792</v>
      </c>
      <c r="KNA54" s="123" t="s">
        <v>792</v>
      </c>
      <c r="KNI54" s="123" t="s">
        <v>792</v>
      </c>
      <c r="KNQ54" s="123" t="s">
        <v>792</v>
      </c>
      <c r="KNY54" s="123" t="s">
        <v>792</v>
      </c>
      <c r="KOG54" s="123" t="s">
        <v>792</v>
      </c>
      <c r="KOO54" s="123" t="s">
        <v>792</v>
      </c>
      <c r="KOW54" s="123" t="s">
        <v>792</v>
      </c>
      <c r="KPE54" s="123" t="s">
        <v>792</v>
      </c>
      <c r="KPM54" s="123" t="s">
        <v>792</v>
      </c>
      <c r="KPU54" s="123" t="s">
        <v>792</v>
      </c>
      <c r="KQC54" s="123" t="s">
        <v>792</v>
      </c>
      <c r="KQK54" s="123" t="s">
        <v>792</v>
      </c>
      <c r="KQS54" s="123" t="s">
        <v>792</v>
      </c>
      <c r="KRA54" s="123" t="s">
        <v>792</v>
      </c>
      <c r="KRI54" s="123" t="s">
        <v>792</v>
      </c>
      <c r="KRQ54" s="123" t="s">
        <v>792</v>
      </c>
      <c r="KRY54" s="123" t="s">
        <v>792</v>
      </c>
      <c r="KSG54" s="123" t="s">
        <v>792</v>
      </c>
      <c r="KSO54" s="123" t="s">
        <v>792</v>
      </c>
      <c r="KSW54" s="123" t="s">
        <v>792</v>
      </c>
      <c r="KTE54" s="123" t="s">
        <v>792</v>
      </c>
      <c r="KTM54" s="123" t="s">
        <v>792</v>
      </c>
      <c r="KTU54" s="123" t="s">
        <v>792</v>
      </c>
      <c r="KUC54" s="123" t="s">
        <v>792</v>
      </c>
      <c r="KUK54" s="123" t="s">
        <v>792</v>
      </c>
      <c r="KUS54" s="123" t="s">
        <v>792</v>
      </c>
      <c r="KVA54" s="123" t="s">
        <v>792</v>
      </c>
      <c r="KVI54" s="123" t="s">
        <v>792</v>
      </c>
      <c r="KVQ54" s="123" t="s">
        <v>792</v>
      </c>
      <c r="KVY54" s="123" t="s">
        <v>792</v>
      </c>
      <c r="KWG54" s="123" t="s">
        <v>792</v>
      </c>
      <c r="KWO54" s="123" t="s">
        <v>792</v>
      </c>
      <c r="KWW54" s="123" t="s">
        <v>792</v>
      </c>
      <c r="KXE54" s="123" t="s">
        <v>792</v>
      </c>
      <c r="KXM54" s="123" t="s">
        <v>792</v>
      </c>
      <c r="KXU54" s="123" t="s">
        <v>792</v>
      </c>
      <c r="KYC54" s="123" t="s">
        <v>792</v>
      </c>
      <c r="KYK54" s="123" t="s">
        <v>792</v>
      </c>
      <c r="KYS54" s="123" t="s">
        <v>792</v>
      </c>
      <c r="KZA54" s="123" t="s">
        <v>792</v>
      </c>
      <c r="KZI54" s="123" t="s">
        <v>792</v>
      </c>
      <c r="KZQ54" s="123" t="s">
        <v>792</v>
      </c>
      <c r="KZY54" s="123" t="s">
        <v>792</v>
      </c>
      <c r="LAG54" s="123" t="s">
        <v>792</v>
      </c>
      <c r="LAO54" s="123" t="s">
        <v>792</v>
      </c>
      <c r="LAW54" s="123" t="s">
        <v>792</v>
      </c>
      <c r="LBE54" s="123" t="s">
        <v>792</v>
      </c>
      <c r="LBM54" s="123" t="s">
        <v>792</v>
      </c>
      <c r="LBU54" s="123" t="s">
        <v>792</v>
      </c>
      <c r="LCC54" s="123" t="s">
        <v>792</v>
      </c>
      <c r="LCK54" s="123" t="s">
        <v>792</v>
      </c>
      <c r="LCS54" s="123" t="s">
        <v>792</v>
      </c>
      <c r="LDA54" s="123" t="s">
        <v>792</v>
      </c>
      <c r="LDI54" s="123" t="s">
        <v>792</v>
      </c>
      <c r="LDQ54" s="123" t="s">
        <v>792</v>
      </c>
      <c r="LDY54" s="123" t="s">
        <v>792</v>
      </c>
      <c r="LEG54" s="123" t="s">
        <v>792</v>
      </c>
      <c r="LEO54" s="123" t="s">
        <v>792</v>
      </c>
      <c r="LEW54" s="123" t="s">
        <v>792</v>
      </c>
      <c r="LFE54" s="123" t="s">
        <v>792</v>
      </c>
      <c r="LFM54" s="123" t="s">
        <v>792</v>
      </c>
      <c r="LFU54" s="123" t="s">
        <v>792</v>
      </c>
      <c r="LGC54" s="123" t="s">
        <v>792</v>
      </c>
      <c r="LGK54" s="123" t="s">
        <v>792</v>
      </c>
      <c r="LGS54" s="123" t="s">
        <v>792</v>
      </c>
      <c r="LHA54" s="123" t="s">
        <v>792</v>
      </c>
      <c r="LHI54" s="123" t="s">
        <v>792</v>
      </c>
      <c r="LHQ54" s="123" t="s">
        <v>792</v>
      </c>
      <c r="LHY54" s="123" t="s">
        <v>792</v>
      </c>
      <c r="LIG54" s="123" t="s">
        <v>792</v>
      </c>
      <c r="LIO54" s="123" t="s">
        <v>792</v>
      </c>
      <c r="LIW54" s="123" t="s">
        <v>792</v>
      </c>
      <c r="LJE54" s="123" t="s">
        <v>792</v>
      </c>
      <c r="LJM54" s="123" t="s">
        <v>792</v>
      </c>
      <c r="LJU54" s="123" t="s">
        <v>792</v>
      </c>
      <c r="LKC54" s="123" t="s">
        <v>792</v>
      </c>
      <c r="LKK54" s="123" t="s">
        <v>792</v>
      </c>
      <c r="LKS54" s="123" t="s">
        <v>792</v>
      </c>
      <c r="LLA54" s="123" t="s">
        <v>792</v>
      </c>
      <c r="LLI54" s="123" t="s">
        <v>792</v>
      </c>
      <c r="LLQ54" s="123" t="s">
        <v>792</v>
      </c>
      <c r="LLY54" s="123" t="s">
        <v>792</v>
      </c>
      <c r="LMG54" s="123" t="s">
        <v>792</v>
      </c>
      <c r="LMO54" s="123" t="s">
        <v>792</v>
      </c>
      <c r="LMW54" s="123" t="s">
        <v>792</v>
      </c>
      <c r="LNE54" s="123" t="s">
        <v>792</v>
      </c>
      <c r="LNM54" s="123" t="s">
        <v>792</v>
      </c>
      <c r="LNU54" s="123" t="s">
        <v>792</v>
      </c>
      <c r="LOC54" s="123" t="s">
        <v>792</v>
      </c>
      <c r="LOK54" s="123" t="s">
        <v>792</v>
      </c>
      <c r="LOS54" s="123" t="s">
        <v>792</v>
      </c>
      <c r="LPA54" s="123" t="s">
        <v>792</v>
      </c>
      <c r="LPI54" s="123" t="s">
        <v>792</v>
      </c>
      <c r="LPQ54" s="123" t="s">
        <v>792</v>
      </c>
      <c r="LPY54" s="123" t="s">
        <v>792</v>
      </c>
      <c r="LQG54" s="123" t="s">
        <v>792</v>
      </c>
      <c r="LQO54" s="123" t="s">
        <v>792</v>
      </c>
      <c r="LQW54" s="123" t="s">
        <v>792</v>
      </c>
      <c r="LRE54" s="123" t="s">
        <v>792</v>
      </c>
      <c r="LRM54" s="123" t="s">
        <v>792</v>
      </c>
      <c r="LRU54" s="123" t="s">
        <v>792</v>
      </c>
      <c r="LSC54" s="123" t="s">
        <v>792</v>
      </c>
      <c r="LSK54" s="123" t="s">
        <v>792</v>
      </c>
      <c r="LSS54" s="123" t="s">
        <v>792</v>
      </c>
      <c r="LTA54" s="123" t="s">
        <v>792</v>
      </c>
      <c r="LTI54" s="123" t="s">
        <v>792</v>
      </c>
      <c r="LTQ54" s="123" t="s">
        <v>792</v>
      </c>
      <c r="LTY54" s="123" t="s">
        <v>792</v>
      </c>
      <c r="LUG54" s="123" t="s">
        <v>792</v>
      </c>
      <c r="LUO54" s="123" t="s">
        <v>792</v>
      </c>
      <c r="LUW54" s="123" t="s">
        <v>792</v>
      </c>
      <c r="LVE54" s="123" t="s">
        <v>792</v>
      </c>
      <c r="LVM54" s="123" t="s">
        <v>792</v>
      </c>
      <c r="LVU54" s="123" t="s">
        <v>792</v>
      </c>
      <c r="LWC54" s="123" t="s">
        <v>792</v>
      </c>
      <c r="LWK54" s="123" t="s">
        <v>792</v>
      </c>
      <c r="LWS54" s="123" t="s">
        <v>792</v>
      </c>
      <c r="LXA54" s="123" t="s">
        <v>792</v>
      </c>
      <c r="LXI54" s="123" t="s">
        <v>792</v>
      </c>
      <c r="LXQ54" s="123" t="s">
        <v>792</v>
      </c>
      <c r="LXY54" s="123" t="s">
        <v>792</v>
      </c>
      <c r="LYG54" s="123" t="s">
        <v>792</v>
      </c>
      <c r="LYO54" s="123" t="s">
        <v>792</v>
      </c>
      <c r="LYW54" s="123" t="s">
        <v>792</v>
      </c>
      <c r="LZE54" s="123" t="s">
        <v>792</v>
      </c>
      <c r="LZM54" s="123" t="s">
        <v>792</v>
      </c>
      <c r="LZU54" s="123" t="s">
        <v>792</v>
      </c>
      <c r="MAC54" s="123" t="s">
        <v>792</v>
      </c>
      <c r="MAK54" s="123" t="s">
        <v>792</v>
      </c>
      <c r="MAS54" s="123" t="s">
        <v>792</v>
      </c>
      <c r="MBA54" s="123" t="s">
        <v>792</v>
      </c>
      <c r="MBI54" s="123" t="s">
        <v>792</v>
      </c>
      <c r="MBQ54" s="123" t="s">
        <v>792</v>
      </c>
      <c r="MBY54" s="123" t="s">
        <v>792</v>
      </c>
      <c r="MCG54" s="123" t="s">
        <v>792</v>
      </c>
      <c r="MCO54" s="123" t="s">
        <v>792</v>
      </c>
      <c r="MCW54" s="123" t="s">
        <v>792</v>
      </c>
      <c r="MDE54" s="123" t="s">
        <v>792</v>
      </c>
      <c r="MDM54" s="123" t="s">
        <v>792</v>
      </c>
      <c r="MDU54" s="123" t="s">
        <v>792</v>
      </c>
      <c r="MEC54" s="123" t="s">
        <v>792</v>
      </c>
      <c r="MEK54" s="123" t="s">
        <v>792</v>
      </c>
      <c r="MES54" s="123" t="s">
        <v>792</v>
      </c>
      <c r="MFA54" s="123" t="s">
        <v>792</v>
      </c>
      <c r="MFI54" s="123" t="s">
        <v>792</v>
      </c>
      <c r="MFQ54" s="123" t="s">
        <v>792</v>
      </c>
      <c r="MFY54" s="123" t="s">
        <v>792</v>
      </c>
      <c r="MGG54" s="123" t="s">
        <v>792</v>
      </c>
      <c r="MGO54" s="123" t="s">
        <v>792</v>
      </c>
      <c r="MGW54" s="123" t="s">
        <v>792</v>
      </c>
      <c r="MHE54" s="123" t="s">
        <v>792</v>
      </c>
      <c r="MHM54" s="123" t="s">
        <v>792</v>
      </c>
      <c r="MHU54" s="123" t="s">
        <v>792</v>
      </c>
      <c r="MIC54" s="123" t="s">
        <v>792</v>
      </c>
      <c r="MIK54" s="123" t="s">
        <v>792</v>
      </c>
      <c r="MIS54" s="123" t="s">
        <v>792</v>
      </c>
      <c r="MJA54" s="123" t="s">
        <v>792</v>
      </c>
      <c r="MJI54" s="123" t="s">
        <v>792</v>
      </c>
      <c r="MJQ54" s="123" t="s">
        <v>792</v>
      </c>
      <c r="MJY54" s="123" t="s">
        <v>792</v>
      </c>
      <c r="MKG54" s="123" t="s">
        <v>792</v>
      </c>
      <c r="MKO54" s="123" t="s">
        <v>792</v>
      </c>
      <c r="MKW54" s="123" t="s">
        <v>792</v>
      </c>
      <c r="MLE54" s="123" t="s">
        <v>792</v>
      </c>
      <c r="MLM54" s="123" t="s">
        <v>792</v>
      </c>
      <c r="MLU54" s="123" t="s">
        <v>792</v>
      </c>
      <c r="MMC54" s="123" t="s">
        <v>792</v>
      </c>
      <c r="MMK54" s="123" t="s">
        <v>792</v>
      </c>
      <c r="MMS54" s="123" t="s">
        <v>792</v>
      </c>
      <c r="MNA54" s="123" t="s">
        <v>792</v>
      </c>
      <c r="MNI54" s="123" t="s">
        <v>792</v>
      </c>
      <c r="MNQ54" s="123" t="s">
        <v>792</v>
      </c>
      <c r="MNY54" s="123" t="s">
        <v>792</v>
      </c>
      <c r="MOG54" s="123" t="s">
        <v>792</v>
      </c>
      <c r="MOO54" s="123" t="s">
        <v>792</v>
      </c>
      <c r="MOW54" s="123" t="s">
        <v>792</v>
      </c>
      <c r="MPE54" s="123" t="s">
        <v>792</v>
      </c>
      <c r="MPM54" s="123" t="s">
        <v>792</v>
      </c>
      <c r="MPU54" s="123" t="s">
        <v>792</v>
      </c>
      <c r="MQC54" s="123" t="s">
        <v>792</v>
      </c>
      <c r="MQK54" s="123" t="s">
        <v>792</v>
      </c>
      <c r="MQS54" s="123" t="s">
        <v>792</v>
      </c>
      <c r="MRA54" s="123" t="s">
        <v>792</v>
      </c>
      <c r="MRI54" s="123" t="s">
        <v>792</v>
      </c>
      <c r="MRQ54" s="123" t="s">
        <v>792</v>
      </c>
      <c r="MRY54" s="123" t="s">
        <v>792</v>
      </c>
      <c r="MSG54" s="123" t="s">
        <v>792</v>
      </c>
      <c r="MSO54" s="123" t="s">
        <v>792</v>
      </c>
      <c r="MSW54" s="123" t="s">
        <v>792</v>
      </c>
      <c r="MTE54" s="123" t="s">
        <v>792</v>
      </c>
      <c r="MTM54" s="123" t="s">
        <v>792</v>
      </c>
      <c r="MTU54" s="123" t="s">
        <v>792</v>
      </c>
      <c r="MUC54" s="123" t="s">
        <v>792</v>
      </c>
      <c r="MUK54" s="123" t="s">
        <v>792</v>
      </c>
      <c r="MUS54" s="123" t="s">
        <v>792</v>
      </c>
      <c r="MVA54" s="123" t="s">
        <v>792</v>
      </c>
      <c r="MVI54" s="123" t="s">
        <v>792</v>
      </c>
      <c r="MVQ54" s="123" t="s">
        <v>792</v>
      </c>
      <c r="MVY54" s="123" t="s">
        <v>792</v>
      </c>
      <c r="MWG54" s="123" t="s">
        <v>792</v>
      </c>
      <c r="MWO54" s="123" t="s">
        <v>792</v>
      </c>
      <c r="MWW54" s="123" t="s">
        <v>792</v>
      </c>
      <c r="MXE54" s="123" t="s">
        <v>792</v>
      </c>
      <c r="MXM54" s="123" t="s">
        <v>792</v>
      </c>
      <c r="MXU54" s="123" t="s">
        <v>792</v>
      </c>
      <c r="MYC54" s="123" t="s">
        <v>792</v>
      </c>
      <c r="MYK54" s="123" t="s">
        <v>792</v>
      </c>
      <c r="MYS54" s="123" t="s">
        <v>792</v>
      </c>
      <c r="MZA54" s="123" t="s">
        <v>792</v>
      </c>
      <c r="MZI54" s="123" t="s">
        <v>792</v>
      </c>
      <c r="MZQ54" s="123" t="s">
        <v>792</v>
      </c>
      <c r="MZY54" s="123" t="s">
        <v>792</v>
      </c>
      <c r="NAG54" s="123" t="s">
        <v>792</v>
      </c>
      <c r="NAO54" s="123" t="s">
        <v>792</v>
      </c>
      <c r="NAW54" s="123" t="s">
        <v>792</v>
      </c>
      <c r="NBE54" s="123" t="s">
        <v>792</v>
      </c>
      <c r="NBM54" s="123" t="s">
        <v>792</v>
      </c>
      <c r="NBU54" s="123" t="s">
        <v>792</v>
      </c>
      <c r="NCC54" s="123" t="s">
        <v>792</v>
      </c>
      <c r="NCK54" s="123" t="s">
        <v>792</v>
      </c>
      <c r="NCS54" s="123" t="s">
        <v>792</v>
      </c>
      <c r="NDA54" s="123" t="s">
        <v>792</v>
      </c>
      <c r="NDI54" s="123" t="s">
        <v>792</v>
      </c>
      <c r="NDQ54" s="123" t="s">
        <v>792</v>
      </c>
      <c r="NDY54" s="123" t="s">
        <v>792</v>
      </c>
      <c r="NEG54" s="123" t="s">
        <v>792</v>
      </c>
      <c r="NEO54" s="123" t="s">
        <v>792</v>
      </c>
      <c r="NEW54" s="123" t="s">
        <v>792</v>
      </c>
      <c r="NFE54" s="123" t="s">
        <v>792</v>
      </c>
      <c r="NFM54" s="123" t="s">
        <v>792</v>
      </c>
      <c r="NFU54" s="123" t="s">
        <v>792</v>
      </c>
      <c r="NGC54" s="123" t="s">
        <v>792</v>
      </c>
      <c r="NGK54" s="123" t="s">
        <v>792</v>
      </c>
      <c r="NGS54" s="123" t="s">
        <v>792</v>
      </c>
      <c r="NHA54" s="123" t="s">
        <v>792</v>
      </c>
      <c r="NHI54" s="123" t="s">
        <v>792</v>
      </c>
      <c r="NHQ54" s="123" t="s">
        <v>792</v>
      </c>
      <c r="NHY54" s="123" t="s">
        <v>792</v>
      </c>
      <c r="NIG54" s="123" t="s">
        <v>792</v>
      </c>
      <c r="NIO54" s="123" t="s">
        <v>792</v>
      </c>
      <c r="NIW54" s="123" t="s">
        <v>792</v>
      </c>
      <c r="NJE54" s="123" t="s">
        <v>792</v>
      </c>
      <c r="NJM54" s="123" t="s">
        <v>792</v>
      </c>
      <c r="NJU54" s="123" t="s">
        <v>792</v>
      </c>
      <c r="NKC54" s="123" t="s">
        <v>792</v>
      </c>
      <c r="NKK54" s="123" t="s">
        <v>792</v>
      </c>
      <c r="NKS54" s="123" t="s">
        <v>792</v>
      </c>
      <c r="NLA54" s="123" t="s">
        <v>792</v>
      </c>
      <c r="NLI54" s="123" t="s">
        <v>792</v>
      </c>
      <c r="NLQ54" s="123" t="s">
        <v>792</v>
      </c>
      <c r="NLY54" s="123" t="s">
        <v>792</v>
      </c>
      <c r="NMG54" s="123" t="s">
        <v>792</v>
      </c>
      <c r="NMO54" s="123" t="s">
        <v>792</v>
      </c>
      <c r="NMW54" s="123" t="s">
        <v>792</v>
      </c>
      <c r="NNE54" s="123" t="s">
        <v>792</v>
      </c>
      <c r="NNM54" s="123" t="s">
        <v>792</v>
      </c>
      <c r="NNU54" s="123" t="s">
        <v>792</v>
      </c>
      <c r="NOC54" s="123" t="s">
        <v>792</v>
      </c>
      <c r="NOK54" s="123" t="s">
        <v>792</v>
      </c>
      <c r="NOS54" s="123" t="s">
        <v>792</v>
      </c>
      <c r="NPA54" s="123" t="s">
        <v>792</v>
      </c>
      <c r="NPI54" s="123" t="s">
        <v>792</v>
      </c>
      <c r="NPQ54" s="123" t="s">
        <v>792</v>
      </c>
      <c r="NPY54" s="123" t="s">
        <v>792</v>
      </c>
      <c r="NQG54" s="123" t="s">
        <v>792</v>
      </c>
      <c r="NQO54" s="123" t="s">
        <v>792</v>
      </c>
      <c r="NQW54" s="123" t="s">
        <v>792</v>
      </c>
      <c r="NRE54" s="123" t="s">
        <v>792</v>
      </c>
      <c r="NRM54" s="123" t="s">
        <v>792</v>
      </c>
      <c r="NRU54" s="123" t="s">
        <v>792</v>
      </c>
      <c r="NSC54" s="123" t="s">
        <v>792</v>
      </c>
      <c r="NSK54" s="123" t="s">
        <v>792</v>
      </c>
      <c r="NSS54" s="123" t="s">
        <v>792</v>
      </c>
      <c r="NTA54" s="123" t="s">
        <v>792</v>
      </c>
      <c r="NTI54" s="123" t="s">
        <v>792</v>
      </c>
      <c r="NTQ54" s="123" t="s">
        <v>792</v>
      </c>
      <c r="NTY54" s="123" t="s">
        <v>792</v>
      </c>
      <c r="NUG54" s="123" t="s">
        <v>792</v>
      </c>
      <c r="NUO54" s="123" t="s">
        <v>792</v>
      </c>
      <c r="NUW54" s="123" t="s">
        <v>792</v>
      </c>
      <c r="NVE54" s="123" t="s">
        <v>792</v>
      </c>
      <c r="NVM54" s="123" t="s">
        <v>792</v>
      </c>
      <c r="NVU54" s="123" t="s">
        <v>792</v>
      </c>
      <c r="NWC54" s="123" t="s">
        <v>792</v>
      </c>
      <c r="NWK54" s="123" t="s">
        <v>792</v>
      </c>
      <c r="NWS54" s="123" t="s">
        <v>792</v>
      </c>
      <c r="NXA54" s="123" t="s">
        <v>792</v>
      </c>
      <c r="NXI54" s="123" t="s">
        <v>792</v>
      </c>
      <c r="NXQ54" s="123" t="s">
        <v>792</v>
      </c>
      <c r="NXY54" s="123" t="s">
        <v>792</v>
      </c>
      <c r="NYG54" s="123" t="s">
        <v>792</v>
      </c>
      <c r="NYO54" s="123" t="s">
        <v>792</v>
      </c>
      <c r="NYW54" s="123" t="s">
        <v>792</v>
      </c>
      <c r="NZE54" s="123" t="s">
        <v>792</v>
      </c>
      <c r="NZM54" s="123" t="s">
        <v>792</v>
      </c>
      <c r="NZU54" s="123" t="s">
        <v>792</v>
      </c>
      <c r="OAC54" s="123" t="s">
        <v>792</v>
      </c>
      <c r="OAK54" s="123" t="s">
        <v>792</v>
      </c>
      <c r="OAS54" s="123" t="s">
        <v>792</v>
      </c>
      <c r="OBA54" s="123" t="s">
        <v>792</v>
      </c>
      <c r="OBI54" s="123" t="s">
        <v>792</v>
      </c>
      <c r="OBQ54" s="123" t="s">
        <v>792</v>
      </c>
      <c r="OBY54" s="123" t="s">
        <v>792</v>
      </c>
      <c r="OCG54" s="123" t="s">
        <v>792</v>
      </c>
      <c r="OCO54" s="123" t="s">
        <v>792</v>
      </c>
      <c r="OCW54" s="123" t="s">
        <v>792</v>
      </c>
      <c r="ODE54" s="123" t="s">
        <v>792</v>
      </c>
      <c r="ODM54" s="123" t="s">
        <v>792</v>
      </c>
      <c r="ODU54" s="123" t="s">
        <v>792</v>
      </c>
      <c r="OEC54" s="123" t="s">
        <v>792</v>
      </c>
      <c r="OEK54" s="123" t="s">
        <v>792</v>
      </c>
      <c r="OES54" s="123" t="s">
        <v>792</v>
      </c>
      <c r="OFA54" s="123" t="s">
        <v>792</v>
      </c>
      <c r="OFI54" s="123" t="s">
        <v>792</v>
      </c>
      <c r="OFQ54" s="123" t="s">
        <v>792</v>
      </c>
      <c r="OFY54" s="123" t="s">
        <v>792</v>
      </c>
      <c r="OGG54" s="123" t="s">
        <v>792</v>
      </c>
      <c r="OGO54" s="123" t="s">
        <v>792</v>
      </c>
      <c r="OGW54" s="123" t="s">
        <v>792</v>
      </c>
      <c r="OHE54" s="123" t="s">
        <v>792</v>
      </c>
      <c r="OHM54" s="123" t="s">
        <v>792</v>
      </c>
      <c r="OHU54" s="123" t="s">
        <v>792</v>
      </c>
      <c r="OIC54" s="123" t="s">
        <v>792</v>
      </c>
      <c r="OIK54" s="123" t="s">
        <v>792</v>
      </c>
      <c r="OIS54" s="123" t="s">
        <v>792</v>
      </c>
      <c r="OJA54" s="123" t="s">
        <v>792</v>
      </c>
      <c r="OJI54" s="123" t="s">
        <v>792</v>
      </c>
      <c r="OJQ54" s="123" t="s">
        <v>792</v>
      </c>
      <c r="OJY54" s="123" t="s">
        <v>792</v>
      </c>
      <c r="OKG54" s="123" t="s">
        <v>792</v>
      </c>
      <c r="OKO54" s="123" t="s">
        <v>792</v>
      </c>
      <c r="OKW54" s="123" t="s">
        <v>792</v>
      </c>
      <c r="OLE54" s="123" t="s">
        <v>792</v>
      </c>
      <c r="OLM54" s="123" t="s">
        <v>792</v>
      </c>
      <c r="OLU54" s="123" t="s">
        <v>792</v>
      </c>
      <c r="OMC54" s="123" t="s">
        <v>792</v>
      </c>
      <c r="OMK54" s="123" t="s">
        <v>792</v>
      </c>
      <c r="OMS54" s="123" t="s">
        <v>792</v>
      </c>
      <c r="ONA54" s="123" t="s">
        <v>792</v>
      </c>
      <c r="ONI54" s="123" t="s">
        <v>792</v>
      </c>
      <c r="ONQ54" s="123" t="s">
        <v>792</v>
      </c>
      <c r="ONY54" s="123" t="s">
        <v>792</v>
      </c>
      <c r="OOG54" s="123" t="s">
        <v>792</v>
      </c>
      <c r="OOO54" s="123" t="s">
        <v>792</v>
      </c>
      <c r="OOW54" s="123" t="s">
        <v>792</v>
      </c>
      <c r="OPE54" s="123" t="s">
        <v>792</v>
      </c>
      <c r="OPM54" s="123" t="s">
        <v>792</v>
      </c>
      <c r="OPU54" s="123" t="s">
        <v>792</v>
      </c>
      <c r="OQC54" s="123" t="s">
        <v>792</v>
      </c>
      <c r="OQK54" s="123" t="s">
        <v>792</v>
      </c>
      <c r="OQS54" s="123" t="s">
        <v>792</v>
      </c>
      <c r="ORA54" s="123" t="s">
        <v>792</v>
      </c>
      <c r="ORI54" s="123" t="s">
        <v>792</v>
      </c>
      <c r="ORQ54" s="123" t="s">
        <v>792</v>
      </c>
      <c r="ORY54" s="123" t="s">
        <v>792</v>
      </c>
      <c r="OSG54" s="123" t="s">
        <v>792</v>
      </c>
      <c r="OSO54" s="123" t="s">
        <v>792</v>
      </c>
      <c r="OSW54" s="123" t="s">
        <v>792</v>
      </c>
      <c r="OTE54" s="123" t="s">
        <v>792</v>
      </c>
      <c r="OTM54" s="123" t="s">
        <v>792</v>
      </c>
      <c r="OTU54" s="123" t="s">
        <v>792</v>
      </c>
      <c r="OUC54" s="123" t="s">
        <v>792</v>
      </c>
      <c r="OUK54" s="123" t="s">
        <v>792</v>
      </c>
      <c r="OUS54" s="123" t="s">
        <v>792</v>
      </c>
      <c r="OVA54" s="123" t="s">
        <v>792</v>
      </c>
      <c r="OVI54" s="123" t="s">
        <v>792</v>
      </c>
      <c r="OVQ54" s="123" t="s">
        <v>792</v>
      </c>
      <c r="OVY54" s="123" t="s">
        <v>792</v>
      </c>
      <c r="OWG54" s="123" t="s">
        <v>792</v>
      </c>
      <c r="OWO54" s="123" t="s">
        <v>792</v>
      </c>
      <c r="OWW54" s="123" t="s">
        <v>792</v>
      </c>
      <c r="OXE54" s="123" t="s">
        <v>792</v>
      </c>
      <c r="OXM54" s="123" t="s">
        <v>792</v>
      </c>
      <c r="OXU54" s="123" t="s">
        <v>792</v>
      </c>
      <c r="OYC54" s="123" t="s">
        <v>792</v>
      </c>
      <c r="OYK54" s="123" t="s">
        <v>792</v>
      </c>
      <c r="OYS54" s="123" t="s">
        <v>792</v>
      </c>
      <c r="OZA54" s="123" t="s">
        <v>792</v>
      </c>
      <c r="OZI54" s="123" t="s">
        <v>792</v>
      </c>
      <c r="OZQ54" s="123" t="s">
        <v>792</v>
      </c>
      <c r="OZY54" s="123" t="s">
        <v>792</v>
      </c>
      <c r="PAG54" s="123" t="s">
        <v>792</v>
      </c>
      <c r="PAO54" s="123" t="s">
        <v>792</v>
      </c>
      <c r="PAW54" s="123" t="s">
        <v>792</v>
      </c>
      <c r="PBE54" s="123" t="s">
        <v>792</v>
      </c>
      <c r="PBM54" s="123" t="s">
        <v>792</v>
      </c>
      <c r="PBU54" s="123" t="s">
        <v>792</v>
      </c>
      <c r="PCC54" s="123" t="s">
        <v>792</v>
      </c>
      <c r="PCK54" s="123" t="s">
        <v>792</v>
      </c>
      <c r="PCS54" s="123" t="s">
        <v>792</v>
      </c>
      <c r="PDA54" s="123" t="s">
        <v>792</v>
      </c>
      <c r="PDI54" s="123" t="s">
        <v>792</v>
      </c>
      <c r="PDQ54" s="123" t="s">
        <v>792</v>
      </c>
      <c r="PDY54" s="123" t="s">
        <v>792</v>
      </c>
      <c r="PEG54" s="123" t="s">
        <v>792</v>
      </c>
      <c r="PEO54" s="123" t="s">
        <v>792</v>
      </c>
      <c r="PEW54" s="123" t="s">
        <v>792</v>
      </c>
      <c r="PFE54" s="123" t="s">
        <v>792</v>
      </c>
      <c r="PFM54" s="123" t="s">
        <v>792</v>
      </c>
      <c r="PFU54" s="123" t="s">
        <v>792</v>
      </c>
      <c r="PGC54" s="123" t="s">
        <v>792</v>
      </c>
      <c r="PGK54" s="123" t="s">
        <v>792</v>
      </c>
      <c r="PGS54" s="123" t="s">
        <v>792</v>
      </c>
      <c r="PHA54" s="123" t="s">
        <v>792</v>
      </c>
      <c r="PHI54" s="123" t="s">
        <v>792</v>
      </c>
      <c r="PHQ54" s="123" t="s">
        <v>792</v>
      </c>
      <c r="PHY54" s="123" t="s">
        <v>792</v>
      </c>
      <c r="PIG54" s="123" t="s">
        <v>792</v>
      </c>
      <c r="PIO54" s="123" t="s">
        <v>792</v>
      </c>
      <c r="PIW54" s="123" t="s">
        <v>792</v>
      </c>
      <c r="PJE54" s="123" t="s">
        <v>792</v>
      </c>
      <c r="PJM54" s="123" t="s">
        <v>792</v>
      </c>
      <c r="PJU54" s="123" t="s">
        <v>792</v>
      </c>
      <c r="PKC54" s="123" t="s">
        <v>792</v>
      </c>
      <c r="PKK54" s="123" t="s">
        <v>792</v>
      </c>
      <c r="PKS54" s="123" t="s">
        <v>792</v>
      </c>
      <c r="PLA54" s="123" t="s">
        <v>792</v>
      </c>
      <c r="PLI54" s="123" t="s">
        <v>792</v>
      </c>
      <c r="PLQ54" s="123" t="s">
        <v>792</v>
      </c>
      <c r="PLY54" s="123" t="s">
        <v>792</v>
      </c>
      <c r="PMG54" s="123" t="s">
        <v>792</v>
      </c>
      <c r="PMO54" s="123" t="s">
        <v>792</v>
      </c>
      <c r="PMW54" s="123" t="s">
        <v>792</v>
      </c>
      <c r="PNE54" s="123" t="s">
        <v>792</v>
      </c>
      <c r="PNM54" s="123" t="s">
        <v>792</v>
      </c>
      <c r="PNU54" s="123" t="s">
        <v>792</v>
      </c>
      <c r="POC54" s="123" t="s">
        <v>792</v>
      </c>
      <c r="POK54" s="123" t="s">
        <v>792</v>
      </c>
      <c r="POS54" s="123" t="s">
        <v>792</v>
      </c>
      <c r="PPA54" s="123" t="s">
        <v>792</v>
      </c>
      <c r="PPI54" s="123" t="s">
        <v>792</v>
      </c>
      <c r="PPQ54" s="123" t="s">
        <v>792</v>
      </c>
      <c r="PPY54" s="123" t="s">
        <v>792</v>
      </c>
      <c r="PQG54" s="123" t="s">
        <v>792</v>
      </c>
      <c r="PQO54" s="123" t="s">
        <v>792</v>
      </c>
      <c r="PQW54" s="123" t="s">
        <v>792</v>
      </c>
      <c r="PRE54" s="123" t="s">
        <v>792</v>
      </c>
      <c r="PRM54" s="123" t="s">
        <v>792</v>
      </c>
      <c r="PRU54" s="123" t="s">
        <v>792</v>
      </c>
      <c r="PSC54" s="123" t="s">
        <v>792</v>
      </c>
      <c r="PSK54" s="123" t="s">
        <v>792</v>
      </c>
      <c r="PSS54" s="123" t="s">
        <v>792</v>
      </c>
      <c r="PTA54" s="123" t="s">
        <v>792</v>
      </c>
      <c r="PTI54" s="123" t="s">
        <v>792</v>
      </c>
      <c r="PTQ54" s="123" t="s">
        <v>792</v>
      </c>
      <c r="PTY54" s="123" t="s">
        <v>792</v>
      </c>
      <c r="PUG54" s="123" t="s">
        <v>792</v>
      </c>
      <c r="PUO54" s="123" t="s">
        <v>792</v>
      </c>
      <c r="PUW54" s="123" t="s">
        <v>792</v>
      </c>
      <c r="PVE54" s="123" t="s">
        <v>792</v>
      </c>
      <c r="PVM54" s="123" t="s">
        <v>792</v>
      </c>
      <c r="PVU54" s="123" t="s">
        <v>792</v>
      </c>
      <c r="PWC54" s="123" t="s">
        <v>792</v>
      </c>
      <c r="PWK54" s="123" t="s">
        <v>792</v>
      </c>
      <c r="PWS54" s="123" t="s">
        <v>792</v>
      </c>
      <c r="PXA54" s="123" t="s">
        <v>792</v>
      </c>
      <c r="PXI54" s="123" t="s">
        <v>792</v>
      </c>
      <c r="PXQ54" s="123" t="s">
        <v>792</v>
      </c>
      <c r="PXY54" s="123" t="s">
        <v>792</v>
      </c>
      <c r="PYG54" s="123" t="s">
        <v>792</v>
      </c>
      <c r="PYO54" s="123" t="s">
        <v>792</v>
      </c>
      <c r="PYW54" s="123" t="s">
        <v>792</v>
      </c>
      <c r="PZE54" s="123" t="s">
        <v>792</v>
      </c>
      <c r="PZM54" s="123" t="s">
        <v>792</v>
      </c>
      <c r="PZU54" s="123" t="s">
        <v>792</v>
      </c>
      <c r="QAC54" s="123" t="s">
        <v>792</v>
      </c>
      <c r="QAK54" s="123" t="s">
        <v>792</v>
      </c>
      <c r="QAS54" s="123" t="s">
        <v>792</v>
      </c>
      <c r="QBA54" s="123" t="s">
        <v>792</v>
      </c>
      <c r="QBI54" s="123" t="s">
        <v>792</v>
      </c>
      <c r="QBQ54" s="123" t="s">
        <v>792</v>
      </c>
      <c r="QBY54" s="123" t="s">
        <v>792</v>
      </c>
      <c r="QCG54" s="123" t="s">
        <v>792</v>
      </c>
      <c r="QCO54" s="123" t="s">
        <v>792</v>
      </c>
      <c r="QCW54" s="123" t="s">
        <v>792</v>
      </c>
      <c r="QDE54" s="123" t="s">
        <v>792</v>
      </c>
      <c r="QDM54" s="123" t="s">
        <v>792</v>
      </c>
      <c r="QDU54" s="123" t="s">
        <v>792</v>
      </c>
      <c r="QEC54" s="123" t="s">
        <v>792</v>
      </c>
      <c r="QEK54" s="123" t="s">
        <v>792</v>
      </c>
      <c r="QES54" s="123" t="s">
        <v>792</v>
      </c>
      <c r="QFA54" s="123" t="s">
        <v>792</v>
      </c>
      <c r="QFI54" s="123" t="s">
        <v>792</v>
      </c>
      <c r="QFQ54" s="123" t="s">
        <v>792</v>
      </c>
      <c r="QFY54" s="123" t="s">
        <v>792</v>
      </c>
      <c r="QGG54" s="123" t="s">
        <v>792</v>
      </c>
      <c r="QGO54" s="123" t="s">
        <v>792</v>
      </c>
      <c r="QGW54" s="123" t="s">
        <v>792</v>
      </c>
      <c r="QHE54" s="123" t="s">
        <v>792</v>
      </c>
      <c r="QHM54" s="123" t="s">
        <v>792</v>
      </c>
      <c r="QHU54" s="123" t="s">
        <v>792</v>
      </c>
      <c r="QIC54" s="123" t="s">
        <v>792</v>
      </c>
      <c r="QIK54" s="123" t="s">
        <v>792</v>
      </c>
      <c r="QIS54" s="123" t="s">
        <v>792</v>
      </c>
      <c r="QJA54" s="123" t="s">
        <v>792</v>
      </c>
      <c r="QJI54" s="123" t="s">
        <v>792</v>
      </c>
      <c r="QJQ54" s="123" t="s">
        <v>792</v>
      </c>
      <c r="QJY54" s="123" t="s">
        <v>792</v>
      </c>
      <c r="QKG54" s="123" t="s">
        <v>792</v>
      </c>
      <c r="QKO54" s="123" t="s">
        <v>792</v>
      </c>
      <c r="QKW54" s="123" t="s">
        <v>792</v>
      </c>
      <c r="QLE54" s="123" t="s">
        <v>792</v>
      </c>
      <c r="QLM54" s="123" t="s">
        <v>792</v>
      </c>
      <c r="QLU54" s="123" t="s">
        <v>792</v>
      </c>
      <c r="QMC54" s="123" t="s">
        <v>792</v>
      </c>
      <c r="QMK54" s="123" t="s">
        <v>792</v>
      </c>
      <c r="QMS54" s="123" t="s">
        <v>792</v>
      </c>
      <c r="QNA54" s="123" t="s">
        <v>792</v>
      </c>
      <c r="QNI54" s="123" t="s">
        <v>792</v>
      </c>
      <c r="QNQ54" s="123" t="s">
        <v>792</v>
      </c>
      <c r="QNY54" s="123" t="s">
        <v>792</v>
      </c>
      <c r="QOG54" s="123" t="s">
        <v>792</v>
      </c>
      <c r="QOO54" s="123" t="s">
        <v>792</v>
      </c>
      <c r="QOW54" s="123" t="s">
        <v>792</v>
      </c>
      <c r="QPE54" s="123" t="s">
        <v>792</v>
      </c>
      <c r="QPM54" s="123" t="s">
        <v>792</v>
      </c>
      <c r="QPU54" s="123" t="s">
        <v>792</v>
      </c>
      <c r="QQC54" s="123" t="s">
        <v>792</v>
      </c>
      <c r="QQK54" s="123" t="s">
        <v>792</v>
      </c>
      <c r="QQS54" s="123" t="s">
        <v>792</v>
      </c>
      <c r="QRA54" s="123" t="s">
        <v>792</v>
      </c>
      <c r="QRI54" s="123" t="s">
        <v>792</v>
      </c>
      <c r="QRQ54" s="123" t="s">
        <v>792</v>
      </c>
      <c r="QRY54" s="123" t="s">
        <v>792</v>
      </c>
      <c r="QSG54" s="123" t="s">
        <v>792</v>
      </c>
      <c r="QSO54" s="123" t="s">
        <v>792</v>
      </c>
      <c r="QSW54" s="123" t="s">
        <v>792</v>
      </c>
      <c r="QTE54" s="123" t="s">
        <v>792</v>
      </c>
      <c r="QTM54" s="123" t="s">
        <v>792</v>
      </c>
      <c r="QTU54" s="123" t="s">
        <v>792</v>
      </c>
      <c r="QUC54" s="123" t="s">
        <v>792</v>
      </c>
      <c r="QUK54" s="123" t="s">
        <v>792</v>
      </c>
      <c r="QUS54" s="123" t="s">
        <v>792</v>
      </c>
      <c r="QVA54" s="123" t="s">
        <v>792</v>
      </c>
      <c r="QVI54" s="123" t="s">
        <v>792</v>
      </c>
      <c r="QVQ54" s="123" t="s">
        <v>792</v>
      </c>
      <c r="QVY54" s="123" t="s">
        <v>792</v>
      </c>
      <c r="QWG54" s="123" t="s">
        <v>792</v>
      </c>
      <c r="QWO54" s="123" t="s">
        <v>792</v>
      </c>
      <c r="QWW54" s="123" t="s">
        <v>792</v>
      </c>
      <c r="QXE54" s="123" t="s">
        <v>792</v>
      </c>
      <c r="QXM54" s="123" t="s">
        <v>792</v>
      </c>
      <c r="QXU54" s="123" t="s">
        <v>792</v>
      </c>
      <c r="QYC54" s="123" t="s">
        <v>792</v>
      </c>
      <c r="QYK54" s="123" t="s">
        <v>792</v>
      </c>
      <c r="QYS54" s="123" t="s">
        <v>792</v>
      </c>
      <c r="QZA54" s="123" t="s">
        <v>792</v>
      </c>
      <c r="QZI54" s="123" t="s">
        <v>792</v>
      </c>
      <c r="QZQ54" s="123" t="s">
        <v>792</v>
      </c>
      <c r="QZY54" s="123" t="s">
        <v>792</v>
      </c>
      <c r="RAG54" s="123" t="s">
        <v>792</v>
      </c>
      <c r="RAO54" s="123" t="s">
        <v>792</v>
      </c>
      <c r="RAW54" s="123" t="s">
        <v>792</v>
      </c>
      <c r="RBE54" s="123" t="s">
        <v>792</v>
      </c>
      <c r="RBM54" s="123" t="s">
        <v>792</v>
      </c>
      <c r="RBU54" s="123" t="s">
        <v>792</v>
      </c>
      <c r="RCC54" s="123" t="s">
        <v>792</v>
      </c>
      <c r="RCK54" s="123" t="s">
        <v>792</v>
      </c>
      <c r="RCS54" s="123" t="s">
        <v>792</v>
      </c>
      <c r="RDA54" s="123" t="s">
        <v>792</v>
      </c>
      <c r="RDI54" s="123" t="s">
        <v>792</v>
      </c>
      <c r="RDQ54" s="123" t="s">
        <v>792</v>
      </c>
      <c r="RDY54" s="123" t="s">
        <v>792</v>
      </c>
      <c r="REG54" s="123" t="s">
        <v>792</v>
      </c>
      <c r="REO54" s="123" t="s">
        <v>792</v>
      </c>
      <c r="REW54" s="123" t="s">
        <v>792</v>
      </c>
      <c r="RFE54" s="123" t="s">
        <v>792</v>
      </c>
      <c r="RFM54" s="123" t="s">
        <v>792</v>
      </c>
      <c r="RFU54" s="123" t="s">
        <v>792</v>
      </c>
      <c r="RGC54" s="123" t="s">
        <v>792</v>
      </c>
      <c r="RGK54" s="123" t="s">
        <v>792</v>
      </c>
      <c r="RGS54" s="123" t="s">
        <v>792</v>
      </c>
      <c r="RHA54" s="123" t="s">
        <v>792</v>
      </c>
      <c r="RHI54" s="123" t="s">
        <v>792</v>
      </c>
      <c r="RHQ54" s="123" t="s">
        <v>792</v>
      </c>
      <c r="RHY54" s="123" t="s">
        <v>792</v>
      </c>
      <c r="RIG54" s="123" t="s">
        <v>792</v>
      </c>
      <c r="RIO54" s="123" t="s">
        <v>792</v>
      </c>
      <c r="RIW54" s="123" t="s">
        <v>792</v>
      </c>
      <c r="RJE54" s="123" t="s">
        <v>792</v>
      </c>
      <c r="RJM54" s="123" t="s">
        <v>792</v>
      </c>
      <c r="RJU54" s="123" t="s">
        <v>792</v>
      </c>
      <c r="RKC54" s="123" t="s">
        <v>792</v>
      </c>
      <c r="RKK54" s="123" t="s">
        <v>792</v>
      </c>
      <c r="RKS54" s="123" t="s">
        <v>792</v>
      </c>
      <c r="RLA54" s="123" t="s">
        <v>792</v>
      </c>
      <c r="RLI54" s="123" t="s">
        <v>792</v>
      </c>
      <c r="RLQ54" s="123" t="s">
        <v>792</v>
      </c>
      <c r="RLY54" s="123" t="s">
        <v>792</v>
      </c>
      <c r="RMG54" s="123" t="s">
        <v>792</v>
      </c>
      <c r="RMO54" s="123" t="s">
        <v>792</v>
      </c>
      <c r="RMW54" s="123" t="s">
        <v>792</v>
      </c>
      <c r="RNE54" s="123" t="s">
        <v>792</v>
      </c>
      <c r="RNM54" s="123" t="s">
        <v>792</v>
      </c>
      <c r="RNU54" s="123" t="s">
        <v>792</v>
      </c>
      <c r="ROC54" s="123" t="s">
        <v>792</v>
      </c>
      <c r="ROK54" s="123" t="s">
        <v>792</v>
      </c>
      <c r="ROS54" s="123" t="s">
        <v>792</v>
      </c>
      <c r="RPA54" s="123" t="s">
        <v>792</v>
      </c>
      <c r="RPI54" s="123" t="s">
        <v>792</v>
      </c>
      <c r="RPQ54" s="123" t="s">
        <v>792</v>
      </c>
      <c r="RPY54" s="123" t="s">
        <v>792</v>
      </c>
      <c r="RQG54" s="123" t="s">
        <v>792</v>
      </c>
      <c r="RQO54" s="123" t="s">
        <v>792</v>
      </c>
      <c r="RQW54" s="123" t="s">
        <v>792</v>
      </c>
      <c r="RRE54" s="123" t="s">
        <v>792</v>
      </c>
      <c r="RRM54" s="123" t="s">
        <v>792</v>
      </c>
      <c r="RRU54" s="123" t="s">
        <v>792</v>
      </c>
      <c r="RSC54" s="123" t="s">
        <v>792</v>
      </c>
      <c r="RSK54" s="123" t="s">
        <v>792</v>
      </c>
      <c r="RSS54" s="123" t="s">
        <v>792</v>
      </c>
      <c r="RTA54" s="123" t="s">
        <v>792</v>
      </c>
      <c r="RTI54" s="123" t="s">
        <v>792</v>
      </c>
      <c r="RTQ54" s="123" t="s">
        <v>792</v>
      </c>
      <c r="RTY54" s="123" t="s">
        <v>792</v>
      </c>
      <c r="RUG54" s="123" t="s">
        <v>792</v>
      </c>
      <c r="RUO54" s="123" t="s">
        <v>792</v>
      </c>
      <c r="RUW54" s="123" t="s">
        <v>792</v>
      </c>
      <c r="RVE54" s="123" t="s">
        <v>792</v>
      </c>
      <c r="RVM54" s="123" t="s">
        <v>792</v>
      </c>
      <c r="RVU54" s="123" t="s">
        <v>792</v>
      </c>
      <c r="RWC54" s="123" t="s">
        <v>792</v>
      </c>
      <c r="RWK54" s="123" t="s">
        <v>792</v>
      </c>
      <c r="RWS54" s="123" t="s">
        <v>792</v>
      </c>
      <c r="RXA54" s="123" t="s">
        <v>792</v>
      </c>
      <c r="RXI54" s="123" t="s">
        <v>792</v>
      </c>
      <c r="RXQ54" s="123" t="s">
        <v>792</v>
      </c>
      <c r="RXY54" s="123" t="s">
        <v>792</v>
      </c>
      <c r="RYG54" s="123" t="s">
        <v>792</v>
      </c>
      <c r="RYO54" s="123" t="s">
        <v>792</v>
      </c>
      <c r="RYW54" s="123" t="s">
        <v>792</v>
      </c>
      <c r="RZE54" s="123" t="s">
        <v>792</v>
      </c>
      <c r="RZM54" s="123" t="s">
        <v>792</v>
      </c>
      <c r="RZU54" s="123" t="s">
        <v>792</v>
      </c>
      <c r="SAC54" s="123" t="s">
        <v>792</v>
      </c>
      <c r="SAK54" s="123" t="s">
        <v>792</v>
      </c>
      <c r="SAS54" s="123" t="s">
        <v>792</v>
      </c>
      <c r="SBA54" s="123" t="s">
        <v>792</v>
      </c>
      <c r="SBI54" s="123" t="s">
        <v>792</v>
      </c>
      <c r="SBQ54" s="123" t="s">
        <v>792</v>
      </c>
      <c r="SBY54" s="123" t="s">
        <v>792</v>
      </c>
      <c r="SCG54" s="123" t="s">
        <v>792</v>
      </c>
      <c r="SCO54" s="123" t="s">
        <v>792</v>
      </c>
      <c r="SCW54" s="123" t="s">
        <v>792</v>
      </c>
      <c r="SDE54" s="123" t="s">
        <v>792</v>
      </c>
      <c r="SDM54" s="123" t="s">
        <v>792</v>
      </c>
      <c r="SDU54" s="123" t="s">
        <v>792</v>
      </c>
      <c r="SEC54" s="123" t="s">
        <v>792</v>
      </c>
      <c r="SEK54" s="123" t="s">
        <v>792</v>
      </c>
      <c r="SES54" s="123" t="s">
        <v>792</v>
      </c>
      <c r="SFA54" s="123" t="s">
        <v>792</v>
      </c>
      <c r="SFI54" s="123" t="s">
        <v>792</v>
      </c>
      <c r="SFQ54" s="123" t="s">
        <v>792</v>
      </c>
      <c r="SFY54" s="123" t="s">
        <v>792</v>
      </c>
      <c r="SGG54" s="123" t="s">
        <v>792</v>
      </c>
      <c r="SGO54" s="123" t="s">
        <v>792</v>
      </c>
      <c r="SGW54" s="123" t="s">
        <v>792</v>
      </c>
      <c r="SHE54" s="123" t="s">
        <v>792</v>
      </c>
      <c r="SHM54" s="123" t="s">
        <v>792</v>
      </c>
      <c r="SHU54" s="123" t="s">
        <v>792</v>
      </c>
      <c r="SIC54" s="123" t="s">
        <v>792</v>
      </c>
      <c r="SIK54" s="123" t="s">
        <v>792</v>
      </c>
      <c r="SIS54" s="123" t="s">
        <v>792</v>
      </c>
      <c r="SJA54" s="123" t="s">
        <v>792</v>
      </c>
      <c r="SJI54" s="123" t="s">
        <v>792</v>
      </c>
      <c r="SJQ54" s="123" t="s">
        <v>792</v>
      </c>
      <c r="SJY54" s="123" t="s">
        <v>792</v>
      </c>
      <c r="SKG54" s="123" t="s">
        <v>792</v>
      </c>
      <c r="SKO54" s="123" t="s">
        <v>792</v>
      </c>
      <c r="SKW54" s="123" t="s">
        <v>792</v>
      </c>
      <c r="SLE54" s="123" t="s">
        <v>792</v>
      </c>
      <c r="SLM54" s="123" t="s">
        <v>792</v>
      </c>
      <c r="SLU54" s="123" t="s">
        <v>792</v>
      </c>
      <c r="SMC54" s="123" t="s">
        <v>792</v>
      </c>
      <c r="SMK54" s="123" t="s">
        <v>792</v>
      </c>
      <c r="SMS54" s="123" t="s">
        <v>792</v>
      </c>
      <c r="SNA54" s="123" t="s">
        <v>792</v>
      </c>
      <c r="SNI54" s="123" t="s">
        <v>792</v>
      </c>
      <c r="SNQ54" s="123" t="s">
        <v>792</v>
      </c>
      <c r="SNY54" s="123" t="s">
        <v>792</v>
      </c>
      <c r="SOG54" s="123" t="s">
        <v>792</v>
      </c>
      <c r="SOO54" s="123" t="s">
        <v>792</v>
      </c>
      <c r="SOW54" s="123" t="s">
        <v>792</v>
      </c>
      <c r="SPE54" s="123" t="s">
        <v>792</v>
      </c>
      <c r="SPM54" s="123" t="s">
        <v>792</v>
      </c>
      <c r="SPU54" s="123" t="s">
        <v>792</v>
      </c>
      <c r="SQC54" s="123" t="s">
        <v>792</v>
      </c>
      <c r="SQK54" s="123" t="s">
        <v>792</v>
      </c>
      <c r="SQS54" s="123" t="s">
        <v>792</v>
      </c>
      <c r="SRA54" s="123" t="s">
        <v>792</v>
      </c>
      <c r="SRI54" s="123" t="s">
        <v>792</v>
      </c>
      <c r="SRQ54" s="123" t="s">
        <v>792</v>
      </c>
      <c r="SRY54" s="123" t="s">
        <v>792</v>
      </c>
      <c r="SSG54" s="123" t="s">
        <v>792</v>
      </c>
      <c r="SSO54" s="123" t="s">
        <v>792</v>
      </c>
      <c r="SSW54" s="123" t="s">
        <v>792</v>
      </c>
      <c r="STE54" s="123" t="s">
        <v>792</v>
      </c>
      <c r="STM54" s="123" t="s">
        <v>792</v>
      </c>
      <c r="STU54" s="123" t="s">
        <v>792</v>
      </c>
      <c r="SUC54" s="123" t="s">
        <v>792</v>
      </c>
      <c r="SUK54" s="123" t="s">
        <v>792</v>
      </c>
      <c r="SUS54" s="123" t="s">
        <v>792</v>
      </c>
      <c r="SVA54" s="123" t="s">
        <v>792</v>
      </c>
      <c r="SVI54" s="123" t="s">
        <v>792</v>
      </c>
      <c r="SVQ54" s="123" t="s">
        <v>792</v>
      </c>
      <c r="SVY54" s="123" t="s">
        <v>792</v>
      </c>
      <c r="SWG54" s="123" t="s">
        <v>792</v>
      </c>
      <c r="SWO54" s="123" t="s">
        <v>792</v>
      </c>
      <c r="SWW54" s="123" t="s">
        <v>792</v>
      </c>
      <c r="SXE54" s="123" t="s">
        <v>792</v>
      </c>
      <c r="SXM54" s="123" t="s">
        <v>792</v>
      </c>
      <c r="SXU54" s="123" t="s">
        <v>792</v>
      </c>
      <c r="SYC54" s="123" t="s">
        <v>792</v>
      </c>
      <c r="SYK54" s="123" t="s">
        <v>792</v>
      </c>
      <c r="SYS54" s="123" t="s">
        <v>792</v>
      </c>
      <c r="SZA54" s="123" t="s">
        <v>792</v>
      </c>
      <c r="SZI54" s="123" t="s">
        <v>792</v>
      </c>
      <c r="SZQ54" s="123" t="s">
        <v>792</v>
      </c>
      <c r="SZY54" s="123" t="s">
        <v>792</v>
      </c>
      <c r="TAG54" s="123" t="s">
        <v>792</v>
      </c>
      <c r="TAO54" s="123" t="s">
        <v>792</v>
      </c>
      <c r="TAW54" s="123" t="s">
        <v>792</v>
      </c>
      <c r="TBE54" s="123" t="s">
        <v>792</v>
      </c>
      <c r="TBM54" s="123" t="s">
        <v>792</v>
      </c>
      <c r="TBU54" s="123" t="s">
        <v>792</v>
      </c>
      <c r="TCC54" s="123" t="s">
        <v>792</v>
      </c>
      <c r="TCK54" s="123" t="s">
        <v>792</v>
      </c>
      <c r="TCS54" s="123" t="s">
        <v>792</v>
      </c>
      <c r="TDA54" s="123" t="s">
        <v>792</v>
      </c>
      <c r="TDI54" s="123" t="s">
        <v>792</v>
      </c>
      <c r="TDQ54" s="123" t="s">
        <v>792</v>
      </c>
      <c r="TDY54" s="123" t="s">
        <v>792</v>
      </c>
      <c r="TEG54" s="123" t="s">
        <v>792</v>
      </c>
      <c r="TEO54" s="123" t="s">
        <v>792</v>
      </c>
      <c r="TEW54" s="123" t="s">
        <v>792</v>
      </c>
      <c r="TFE54" s="123" t="s">
        <v>792</v>
      </c>
      <c r="TFM54" s="123" t="s">
        <v>792</v>
      </c>
      <c r="TFU54" s="123" t="s">
        <v>792</v>
      </c>
      <c r="TGC54" s="123" t="s">
        <v>792</v>
      </c>
      <c r="TGK54" s="123" t="s">
        <v>792</v>
      </c>
      <c r="TGS54" s="123" t="s">
        <v>792</v>
      </c>
      <c r="THA54" s="123" t="s">
        <v>792</v>
      </c>
      <c r="THI54" s="123" t="s">
        <v>792</v>
      </c>
      <c r="THQ54" s="123" t="s">
        <v>792</v>
      </c>
      <c r="THY54" s="123" t="s">
        <v>792</v>
      </c>
      <c r="TIG54" s="123" t="s">
        <v>792</v>
      </c>
      <c r="TIO54" s="123" t="s">
        <v>792</v>
      </c>
      <c r="TIW54" s="123" t="s">
        <v>792</v>
      </c>
      <c r="TJE54" s="123" t="s">
        <v>792</v>
      </c>
      <c r="TJM54" s="123" t="s">
        <v>792</v>
      </c>
      <c r="TJU54" s="123" t="s">
        <v>792</v>
      </c>
      <c r="TKC54" s="123" t="s">
        <v>792</v>
      </c>
      <c r="TKK54" s="123" t="s">
        <v>792</v>
      </c>
      <c r="TKS54" s="123" t="s">
        <v>792</v>
      </c>
      <c r="TLA54" s="123" t="s">
        <v>792</v>
      </c>
      <c r="TLI54" s="123" t="s">
        <v>792</v>
      </c>
      <c r="TLQ54" s="123" t="s">
        <v>792</v>
      </c>
      <c r="TLY54" s="123" t="s">
        <v>792</v>
      </c>
      <c r="TMG54" s="123" t="s">
        <v>792</v>
      </c>
      <c r="TMO54" s="123" t="s">
        <v>792</v>
      </c>
      <c r="TMW54" s="123" t="s">
        <v>792</v>
      </c>
      <c r="TNE54" s="123" t="s">
        <v>792</v>
      </c>
      <c r="TNM54" s="123" t="s">
        <v>792</v>
      </c>
      <c r="TNU54" s="123" t="s">
        <v>792</v>
      </c>
      <c r="TOC54" s="123" t="s">
        <v>792</v>
      </c>
      <c r="TOK54" s="123" t="s">
        <v>792</v>
      </c>
      <c r="TOS54" s="123" t="s">
        <v>792</v>
      </c>
      <c r="TPA54" s="123" t="s">
        <v>792</v>
      </c>
      <c r="TPI54" s="123" t="s">
        <v>792</v>
      </c>
      <c r="TPQ54" s="123" t="s">
        <v>792</v>
      </c>
      <c r="TPY54" s="123" t="s">
        <v>792</v>
      </c>
      <c r="TQG54" s="123" t="s">
        <v>792</v>
      </c>
      <c r="TQO54" s="123" t="s">
        <v>792</v>
      </c>
      <c r="TQW54" s="123" t="s">
        <v>792</v>
      </c>
      <c r="TRE54" s="123" t="s">
        <v>792</v>
      </c>
      <c r="TRM54" s="123" t="s">
        <v>792</v>
      </c>
      <c r="TRU54" s="123" t="s">
        <v>792</v>
      </c>
      <c r="TSC54" s="123" t="s">
        <v>792</v>
      </c>
      <c r="TSK54" s="123" t="s">
        <v>792</v>
      </c>
      <c r="TSS54" s="123" t="s">
        <v>792</v>
      </c>
      <c r="TTA54" s="123" t="s">
        <v>792</v>
      </c>
      <c r="TTI54" s="123" t="s">
        <v>792</v>
      </c>
      <c r="TTQ54" s="123" t="s">
        <v>792</v>
      </c>
      <c r="TTY54" s="123" t="s">
        <v>792</v>
      </c>
      <c r="TUG54" s="123" t="s">
        <v>792</v>
      </c>
      <c r="TUO54" s="123" t="s">
        <v>792</v>
      </c>
      <c r="TUW54" s="123" t="s">
        <v>792</v>
      </c>
      <c r="TVE54" s="123" t="s">
        <v>792</v>
      </c>
      <c r="TVM54" s="123" t="s">
        <v>792</v>
      </c>
      <c r="TVU54" s="123" t="s">
        <v>792</v>
      </c>
      <c r="TWC54" s="123" t="s">
        <v>792</v>
      </c>
      <c r="TWK54" s="123" t="s">
        <v>792</v>
      </c>
      <c r="TWS54" s="123" t="s">
        <v>792</v>
      </c>
      <c r="TXA54" s="123" t="s">
        <v>792</v>
      </c>
      <c r="TXI54" s="123" t="s">
        <v>792</v>
      </c>
      <c r="TXQ54" s="123" t="s">
        <v>792</v>
      </c>
      <c r="TXY54" s="123" t="s">
        <v>792</v>
      </c>
      <c r="TYG54" s="123" t="s">
        <v>792</v>
      </c>
      <c r="TYO54" s="123" t="s">
        <v>792</v>
      </c>
      <c r="TYW54" s="123" t="s">
        <v>792</v>
      </c>
      <c r="TZE54" s="123" t="s">
        <v>792</v>
      </c>
      <c r="TZM54" s="123" t="s">
        <v>792</v>
      </c>
      <c r="TZU54" s="123" t="s">
        <v>792</v>
      </c>
      <c r="UAC54" s="123" t="s">
        <v>792</v>
      </c>
      <c r="UAK54" s="123" t="s">
        <v>792</v>
      </c>
      <c r="UAS54" s="123" t="s">
        <v>792</v>
      </c>
      <c r="UBA54" s="123" t="s">
        <v>792</v>
      </c>
      <c r="UBI54" s="123" t="s">
        <v>792</v>
      </c>
      <c r="UBQ54" s="123" t="s">
        <v>792</v>
      </c>
      <c r="UBY54" s="123" t="s">
        <v>792</v>
      </c>
      <c r="UCG54" s="123" t="s">
        <v>792</v>
      </c>
      <c r="UCO54" s="123" t="s">
        <v>792</v>
      </c>
      <c r="UCW54" s="123" t="s">
        <v>792</v>
      </c>
      <c r="UDE54" s="123" t="s">
        <v>792</v>
      </c>
      <c r="UDM54" s="123" t="s">
        <v>792</v>
      </c>
      <c r="UDU54" s="123" t="s">
        <v>792</v>
      </c>
      <c r="UEC54" s="123" t="s">
        <v>792</v>
      </c>
      <c r="UEK54" s="123" t="s">
        <v>792</v>
      </c>
      <c r="UES54" s="123" t="s">
        <v>792</v>
      </c>
      <c r="UFA54" s="123" t="s">
        <v>792</v>
      </c>
      <c r="UFI54" s="123" t="s">
        <v>792</v>
      </c>
      <c r="UFQ54" s="123" t="s">
        <v>792</v>
      </c>
      <c r="UFY54" s="123" t="s">
        <v>792</v>
      </c>
      <c r="UGG54" s="123" t="s">
        <v>792</v>
      </c>
      <c r="UGO54" s="123" t="s">
        <v>792</v>
      </c>
      <c r="UGW54" s="123" t="s">
        <v>792</v>
      </c>
      <c r="UHE54" s="123" t="s">
        <v>792</v>
      </c>
      <c r="UHM54" s="123" t="s">
        <v>792</v>
      </c>
      <c r="UHU54" s="123" t="s">
        <v>792</v>
      </c>
      <c r="UIC54" s="123" t="s">
        <v>792</v>
      </c>
      <c r="UIK54" s="123" t="s">
        <v>792</v>
      </c>
      <c r="UIS54" s="123" t="s">
        <v>792</v>
      </c>
      <c r="UJA54" s="123" t="s">
        <v>792</v>
      </c>
      <c r="UJI54" s="123" t="s">
        <v>792</v>
      </c>
      <c r="UJQ54" s="123" t="s">
        <v>792</v>
      </c>
      <c r="UJY54" s="123" t="s">
        <v>792</v>
      </c>
      <c r="UKG54" s="123" t="s">
        <v>792</v>
      </c>
      <c r="UKO54" s="123" t="s">
        <v>792</v>
      </c>
      <c r="UKW54" s="123" t="s">
        <v>792</v>
      </c>
      <c r="ULE54" s="123" t="s">
        <v>792</v>
      </c>
      <c r="ULM54" s="123" t="s">
        <v>792</v>
      </c>
      <c r="ULU54" s="123" t="s">
        <v>792</v>
      </c>
      <c r="UMC54" s="123" t="s">
        <v>792</v>
      </c>
      <c r="UMK54" s="123" t="s">
        <v>792</v>
      </c>
      <c r="UMS54" s="123" t="s">
        <v>792</v>
      </c>
      <c r="UNA54" s="123" t="s">
        <v>792</v>
      </c>
      <c r="UNI54" s="123" t="s">
        <v>792</v>
      </c>
      <c r="UNQ54" s="123" t="s">
        <v>792</v>
      </c>
      <c r="UNY54" s="123" t="s">
        <v>792</v>
      </c>
      <c r="UOG54" s="123" t="s">
        <v>792</v>
      </c>
      <c r="UOO54" s="123" t="s">
        <v>792</v>
      </c>
      <c r="UOW54" s="123" t="s">
        <v>792</v>
      </c>
      <c r="UPE54" s="123" t="s">
        <v>792</v>
      </c>
      <c r="UPM54" s="123" t="s">
        <v>792</v>
      </c>
      <c r="UPU54" s="123" t="s">
        <v>792</v>
      </c>
      <c r="UQC54" s="123" t="s">
        <v>792</v>
      </c>
      <c r="UQK54" s="123" t="s">
        <v>792</v>
      </c>
      <c r="UQS54" s="123" t="s">
        <v>792</v>
      </c>
      <c r="URA54" s="123" t="s">
        <v>792</v>
      </c>
      <c r="URI54" s="123" t="s">
        <v>792</v>
      </c>
      <c r="URQ54" s="123" t="s">
        <v>792</v>
      </c>
      <c r="URY54" s="123" t="s">
        <v>792</v>
      </c>
      <c r="USG54" s="123" t="s">
        <v>792</v>
      </c>
      <c r="USO54" s="123" t="s">
        <v>792</v>
      </c>
      <c r="USW54" s="123" t="s">
        <v>792</v>
      </c>
      <c r="UTE54" s="123" t="s">
        <v>792</v>
      </c>
      <c r="UTM54" s="123" t="s">
        <v>792</v>
      </c>
      <c r="UTU54" s="123" t="s">
        <v>792</v>
      </c>
      <c r="UUC54" s="123" t="s">
        <v>792</v>
      </c>
      <c r="UUK54" s="123" t="s">
        <v>792</v>
      </c>
      <c r="UUS54" s="123" t="s">
        <v>792</v>
      </c>
      <c r="UVA54" s="123" t="s">
        <v>792</v>
      </c>
      <c r="UVI54" s="123" t="s">
        <v>792</v>
      </c>
      <c r="UVQ54" s="123" t="s">
        <v>792</v>
      </c>
      <c r="UVY54" s="123" t="s">
        <v>792</v>
      </c>
      <c r="UWG54" s="123" t="s">
        <v>792</v>
      </c>
      <c r="UWO54" s="123" t="s">
        <v>792</v>
      </c>
      <c r="UWW54" s="123" t="s">
        <v>792</v>
      </c>
      <c r="UXE54" s="123" t="s">
        <v>792</v>
      </c>
      <c r="UXM54" s="123" t="s">
        <v>792</v>
      </c>
      <c r="UXU54" s="123" t="s">
        <v>792</v>
      </c>
      <c r="UYC54" s="123" t="s">
        <v>792</v>
      </c>
      <c r="UYK54" s="123" t="s">
        <v>792</v>
      </c>
      <c r="UYS54" s="123" t="s">
        <v>792</v>
      </c>
      <c r="UZA54" s="123" t="s">
        <v>792</v>
      </c>
      <c r="UZI54" s="123" t="s">
        <v>792</v>
      </c>
      <c r="UZQ54" s="123" t="s">
        <v>792</v>
      </c>
      <c r="UZY54" s="123" t="s">
        <v>792</v>
      </c>
      <c r="VAG54" s="123" t="s">
        <v>792</v>
      </c>
      <c r="VAO54" s="123" t="s">
        <v>792</v>
      </c>
      <c r="VAW54" s="123" t="s">
        <v>792</v>
      </c>
      <c r="VBE54" s="123" t="s">
        <v>792</v>
      </c>
      <c r="VBM54" s="123" t="s">
        <v>792</v>
      </c>
      <c r="VBU54" s="123" t="s">
        <v>792</v>
      </c>
      <c r="VCC54" s="123" t="s">
        <v>792</v>
      </c>
      <c r="VCK54" s="123" t="s">
        <v>792</v>
      </c>
      <c r="VCS54" s="123" t="s">
        <v>792</v>
      </c>
      <c r="VDA54" s="123" t="s">
        <v>792</v>
      </c>
      <c r="VDI54" s="123" t="s">
        <v>792</v>
      </c>
      <c r="VDQ54" s="123" t="s">
        <v>792</v>
      </c>
      <c r="VDY54" s="123" t="s">
        <v>792</v>
      </c>
      <c r="VEG54" s="123" t="s">
        <v>792</v>
      </c>
      <c r="VEO54" s="123" t="s">
        <v>792</v>
      </c>
      <c r="VEW54" s="123" t="s">
        <v>792</v>
      </c>
      <c r="VFE54" s="123" t="s">
        <v>792</v>
      </c>
      <c r="VFM54" s="123" t="s">
        <v>792</v>
      </c>
      <c r="VFU54" s="123" t="s">
        <v>792</v>
      </c>
      <c r="VGC54" s="123" t="s">
        <v>792</v>
      </c>
      <c r="VGK54" s="123" t="s">
        <v>792</v>
      </c>
      <c r="VGS54" s="123" t="s">
        <v>792</v>
      </c>
      <c r="VHA54" s="123" t="s">
        <v>792</v>
      </c>
      <c r="VHI54" s="123" t="s">
        <v>792</v>
      </c>
      <c r="VHQ54" s="123" t="s">
        <v>792</v>
      </c>
      <c r="VHY54" s="123" t="s">
        <v>792</v>
      </c>
      <c r="VIG54" s="123" t="s">
        <v>792</v>
      </c>
      <c r="VIO54" s="123" t="s">
        <v>792</v>
      </c>
      <c r="VIW54" s="123" t="s">
        <v>792</v>
      </c>
      <c r="VJE54" s="123" t="s">
        <v>792</v>
      </c>
      <c r="VJM54" s="123" t="s">
        <v>792</v>
      </c>
      <c r="VJU54" s="123" t="s">
        <v>792</v>
      </c>
      <c r="VKC54" s="123" t="s">
        <v>792</v>
      </c>
      <c r="VKK54" s="123" t="s">
        <v>792</v>
      </c>
      <c r="VKS54" s="123" t="s">
        <v>792</v>
      </c>
      <c r="VLA54" s="123" t="s">
        <v>792</v>
      </c>
      <c r="VLI54" s="123" t="s">
        <v>792</v>
      </c>
      <c r="VLQ54" s="123" t="s">
        <v>792</v>
      </c>
      <c r="VLY54" s="123" t="s">
        <v>792</v>
      </c>
      <c r="VMG54" s="123" t="s">
        <v>792</v>
      </c>
      <c r="VMO54" s="123" t="s">
        <v>792</v>
      </c>
      <c r="VMW54" s="123" t="s">
        <v>792</v>
      </c>
      <c r="VNE54" s="123" t="s">
        <v>792</v>
      </c>
      <c r="VNM54" s="123" t="s">
        <v>792</v>
      </c>
      <c r="VNU54" s="123" t="s">
        <v>792</v>
      </c>
      <c r="VOC54" s="123" t="s">
        <v>792</v>
      </c>
      <c r="VOK54" s="123" t="s">
        <v>792</v>
      </c>
      <c r="VOS54" s="123" t="s">
        <v>792</v>
      </c>
      <c r="VPA54" s="123" t="s">
        <v>792</v>
      </c>
      <c r="VPI54" s="123" t="s">
        <v>792</v>
      </c>
      <c r="VPQ54" s="123" t="s">
        <v>792</v>
      </c>
      <c r="VPY54" s="123" t="s">
        <v>792</v>
      </c>
      <c r="VQG54" s="123" t="s">
        <v>792</v>
      </c>
      <c r="VQO54" s="123" t="s">
        <v>792</v>
      </c>
      <c r="VQW54" s="123" t="s">
        <v>792</v>
      </c>
      <c r="VRE54" s="123" t="s">
        <v>792</v>
      </c>
      <c r="VRM54" s="123" t="s">
        <v>792</v>
      </c>
      <c r="VRU54" s="123" t="s">
        <v>792</v>
      </c>
      <c r="VSC54" s="123" t="s">
        <v>792</v>
      </c>
      <c r="VSK54" s="123" t="s">
        <v>792</v>
      </c>
      <c r="VSS54" s="123" t="s">
        <v>792</v>
      </c>
      <c r="VTA54" s="123" t="s">
        <v>792</v>
      </c>
      <c r="VTI54" s="123" t="s">
        <v>792</v>
      </c>
      <c r="VTQ54" s="123" t="s">
        <v>792</v>
      </c>
      <c r="VTY54" s="123" t="s">
        <v>792</v>
      </c>
      <c r="VUG54" s="123" t="s">
        <v>792</v>
      </c>
      <c r="VUO54" s="123" t="s">
        <v>792</v>
      </c>
      <c r="VUW54" s="123" t="s">
        <v>792</v>
      </c>
      <c r="VVE54" s="123" t="s">
        <v>792</v>
      </c>
      <c r="VVM54" s="123" t="s">
        <v>792</v>
      </c>
      <c r="VVU54" s="123" t="s">
        <v>792</v>
      </c>
      <c r="VWC54" s="123" t="s">
        <v>792</v>
      </c>
      <c r="VWK54" s="123" t="s">
        <v>792</v>
      </c>
      <c r="VWS54" s="123" t="s">
        <v>792</v>
      </c>
      <c r="VXA54" s="123" t="s">
        <v>792</v>
      </c>
      <c r="VXI54" s="123" t="s">
        <v>792</v>
      </c>
      <c r="VXQ54" s="123" t="s">
        <v>792</v>
      </c>
      <c r="VXY54" s="123" t="s">
        <v>792</v>
      </c>
      <c r="VYG54" s="123" t="s">
        <v>792</v>
      </c>
      <c r="VYO54" s="123" t="s">
        <v>792</v>
      </c>
      <c r="VYW54" s="123" t="s">
        <v>792</v>
      </c>
      <c r="VZE54" s="123" t="s">
        <v>792</v>
      </c>
      <c r="VZM54" s="123" t="s">
        <v>792</v>
      </c>
      <c r="VZU54" s="123" t="s">
        <v>792</v>
      </c>
      <c r="WAC54" s="123" t="s">
        <v>792</v>
      </c>
      <c r="WAK54" s="123" t="s">
        <v>792</v>
      </c>
      <c r="WAS54" s="123" t="s">
        <v>792</v>
      </c>
      <c r="WBA54" s="123" t="s">
        <v>792</v>
      </c>
      <c r="WBI54" s="123" t="s">
        <v>792</v>
      </c>
      <c r="WBQ54" s="123" t="s">
        <v>792</v>
      </c>
      <c r="WBY54" s="123" t="s">
        <v>792</v>
      </c>
      <c r="WCG54" s="123" t="s">
        <v>792</v>
      </c>
      <c r="WCO54" s="123" t="s">
        <v>792</v>
      </c>
      <c r="WCW54" s="123" t="s">
        <v>792</v>
      </c>
      <c r="WDE54" s="123" t="s">
        <v>792</v>
      </c>
      <c r="WDM54" s="123" t="s">
        <v>792</v>
      </c>
      <c r="WDU54" s="123" t="s">
        <v>792</v>
      </c>
      <c r="WEC54" s="123" t="s">
        <v>792</v>
      </c>
      <c r="WEK54" s="123" t="s">
        <v>792</v>
      </c>
      <c r="WES54" s="123" t="s">
        <v>792</v>
      </c>
      <c r="WFA54" s="123" t="s">
        <v>792</v>
      </c>
      <c r="WFI54" s="123" t="s">
        <v>792</v>
      </c>
      <c r="WFQ54" s="123" t="s">
        <v>792</v>
      </c>
      <c r="WFY54" s="123" t="s">
        <v>792</v>
      </c>
      <c r="WGG54" s="123" t="s">
        <v>792</v>
      </c>
      <c r="WGO54" s="123" t="s">
        <v>792</v>
      </c>
      <c r="WGW54" s="123" t="s">
        <v>792</v>
      </c>
      <c r="WHE54" s="123" t="s">
        <v>792</v>
      </c>
      <c r="WHM54" s="123" t="s">
        <v>792</v>
      </c>
      <c r="WHU54" s="123" t="s">
        <v>792</v>
      </c>
      <c r="WIC54" s="123" t="s">
        <v>792</v>
      </c>
      <c r="WIK54" s="123" t="s">
        <v>792</v>
      </c>
      <c r="WIS54" s="123" t="s">
        <v>792</v>
      </c>
      <c r="WJA54" s="123" t="s">
        <v>792</v>
      </c>
      <c r="WJI54" s="123" t="s">
        <v>792</v>
      </c>
      <c r="WJQ54" s="123" t="s">
        <v>792</v>
      </c>
      <c r="WJY54" s="123" t="s">
        <v>792</v>
      </c>
      <c r="WKG54" s="123" t="s">
        <v>792</v>
      </c>
      <c r="WKO54" s="123" t="s">
        <v>792</v>
      </c>
      <c r="WKW54" s="123" t="s">
        <v>792</v>
      </c>
      <c r="WLE54" s="123" t="s">
        <v>792</v>
      </c>
      <c r="WLM54" s="123" t="s">
        <v>792</v>
      </c>
      <c r="WLU54" s="123" t="s">
        <v>792</v>
      </c>
      <c r="WMC54" s="123" t="s">
        <v>792</v>
      </c>
      <c r="WMK54" s="123" t="s">
        <v>792</v>
      </c>
      <c r="WMS54" s="123" t="s">
        <v>792</v>
      </c>
      <c r="WNA54" s="123" t="s">
        <v>792</v>
      </c>
      <c r="WNI54" s="123" t="s">
        <v>792</v>
      </c>
      <c r="WNQ54" s="123" t="s">
        <v>792</v>
      </c>
      <c r="WNY54" s="123" t="s">
        <v>792</v>
      </c>
      <c r="WOG54" s="123" t="s">
        <v>792</v>
      </c>
      <c r="WOO54" s="123" t="s">
        <v>792</v>
      </c>
      <c r="WOW54" s="123" t="s">
        <v>792</v>
      </c>
      <c r="WPE54" s="123" t="s">
        <v>792</v>
      </c>
      <c r="WPM54" s="123" t="s">
        <v>792</v>
      </c>
      <c r="WPU54" s="123" t="s">
        <v>792</v>
      </c>
      <c r="WQC54" s="123" t="s">
        <v>792</v>
      </c>
      <c r="WQK54" s="123" t="s">
        <v>792</v>
      </c>
      <c r="WQS54" s="123" t="s">
        <v>792</v>
      </c>
      <c r="WRA54" s="123" t="s">
        <v>792</v>
      </c>
      <c r="WRI54" s="123" t="s">
        <v>792</v>
      </c>
      <c r="WRQ54" s="123" t="s">
        <v>792</v>
      </c>
      <c r="WRY54" s="123" t="s">
        <v>792</v>
      </c>
      <c r="WSG54" s="123" t="s">
        <v>792</v>
      </c>
      <c r="WSO54" s="123" t="s">
        <v>792</v>
      </c>
      <c r="WSW54" s="123" t="s">
        <v>792</v>
      </c>
      <c r="WTE54" s="123" t="s">
        <v>792</v>
      </c>
      <c r="WTM54" s="123" t="s">
        <v>792</v>
      </c>
      <c r="WTU54" s="123" t="s">
        <v>792</v>
      </c>
      <c r="WUC54" s="123" t="s">
        <v>792</v>
      </c>
      <c r="WUK54" s="123" t="s">
        <v>792</v>
      </c>
      <c r="WUS54" s="123" t="s">
        <v>792</v>
      </c>
      <c r="WVA54" s="123" t="s">
        <v>792</v>
      </c>
      <c r="WVI54" s="123" t="s">
        <v>792</v>
      </c>
      <c r="WVQ54" s="123" t="s">
        <v>792</v>
      </c>
      <c r="WVY54" s="123" t="s">
        <v>792</v>
      </c>
      <c r="WWG54" s="123" t="s">
        <v>792</v>
      </c>
      <c r="WWO54" s="123" t="s">
        <v>792</v>
      </c>
      <c r="WWW54" s="123" t="s">
        <v>792</v>
      </c>
      <c r="WXE54" s="123" t="s">
        <v>792</v>
      </c>
      <c r="WXM54" s="123" t="s">
        <v>792</v>
      </c>
      <c r="WXU54" s="123" t="s">
        <v>792</v>
      </c>
      <c r="WYC54" s="123" t="s">
        <v>792</v>
      </c>
      <c r="WYK54" s="123" t="s">
        <v>792</v>
      </c>
      <c r="WYS54" s="123" t="s">
        <v>792</v>
      </c>
      <c r="WZA54" s="123" t="s">
        <v>792</v>
      </c>
      <c r="WZI54" s="123" t="s">
        <v>792</v>
      </c>
      <c r="WZQ54" s="123" t="s">
        <v>792</v>
      </c>
      <c r="WZY54" s="123" t="s">
        <v>792</v>
      </c>
      <c r="XAG54" s="123" t="s">
        <v>792</v>
      </c>
      <c r="XAO54" s="123" t="s">
        <v>792</v>
      </c>
      <c r="XAW54" s="123" t="s">
        <v>792</v>
      </c>
      <c r="XBE54" s="123" t="s">
        <v>792</v>
      </c>
      <c r="XBM54" s="123" t="s">
        <v>792</v>
      </c>
      <c r="XBU54" s="123" t="s">
        <v>792</v>
      </c>
      <c r="XCC54" s="123" t="s">
        <v>792</v>
      </c>
      <c r="XCK54" s="123" t="s">
        <v>792</v>
      </c>
      <c r="XCS54" s="123" t="s">
        <v>792</v>
      </c>
      <c r="XDA54" s="123" t="s">
        <v>792</v>
      </c>
      <c r="XDI54" s="123" t="s">
        <v>792</v>
      </c>
      <c r="XDQ54" s="123" t="s">
        <v>792</v>
      </c>
      <c r="XDY54" s="123" t="s">
        <v>792</v>
      </c>
      <c r="XEG54" s="123" t="s">
        <v>792</v>
      </c>
      <c r="XEO54" s="123" t="s">
        <v>792</v>
      </c>
      <c r="XEW54" s="123" t="s">
        <v>792</v>
      </c>
    </row>
    <row r="56" customFormat="false" ht="14.25" hidden="false" customHeight="true" outlineLevel="0" collapsed="false">
      <c r="A56" s="116" t="s">
        <v>370</v>
      </c>
      <c r="B56" s="116" t="s">
        <v>793</v>
      </c>
      <c r="C56" s="116" t="s">
        <v>794</v>
      </c>
      <c r="D56" s="116" t="s">
        <v>758</v>
      </c>
    </row>
    <row r="57" customFormat="false" ht="14.25" hidden="false" customHeight="true" outlineLevel="0" collapsed="false">
      <c r="A57" s="96" t="s">
        <v>311</v>
      </c>
      <c r="B57" s="117" t="n">
        <f aca="false">SUM(C42:C48)/COUNT(C42:C48)</f>
        <v>0.933333333333333</v>
      </c>
      <c r="C57" s="96" t="str">
        <f aca="false">IF(B57&gt;0.6,"Alta",IF(B57&gt;=0.31,"Moderada","Baja"))</f>
        <v>Alta</v>
      </c>
      <c r="D57" s="120"/>
      <c r="E57" s="124"/>
    </row>
    <row r="58" customFormat="false" ht="14.25" hidden="false" customHeight="true" outlineLevel="0" collapsed="false">
      <c r="A58" s="96" t="s">
        <v>190</v>
      </c>
      <c r="B58" s="117" t="n">
        <f aca="false">SUM(D42:D48)/COUNT(D42:D48)</f>
        <v>0.621428571428571</v>
      </c>
      <c r="C58" s="96" t="str">
        <f aca="false">IF(B58&gt;0.6,"Alta",IF(B58&gt;=0.31,"Moderada","Baja"))</f>
        <v>Alta</v>
      </c>
      <c r="D58" s="119"/>
      <c r="E58" s="124"/>
    </row>
    <row r="59" customFormat="false" ht="14.25" hidden="false" customHeight="true" outlineLevel="0" collapsed="false">
      <c r="A59" s="96" t="s">
        <v>283</v>
      </c>
      <c r="B59" s="117" t="n">
        <f aca="false">SUM(E42:E48)/COUNT(E42:E48)</f>
        <v>0.64484126984127</v>
      </c>
      <c r="C59" s="96" t="str">
        <f aca="false">IF(B59&gt;0.6,"Alta",IF(B59&gt;=0.31,"Moderada","Baja"))</f>
        <v>Alta</v>
      </c>
      <c r="D59" s="125"/>
      <c r="E59" s="124"/>
    </row>
  </sheetData>
  <mergeCells count="5">
    <mergeCell ref="A1:H1"/>
    <mergeCell ref="A4:G4"/>
    <mergeCell ref="A6:H6"/>
    <mergeCell ref="F8:H8"/>
    <mergeCell ref="A20:H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H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0.6796875" defaultRowHeight="14.25" zeroHeight="false" outlineLevelRow="0" outlineLevelCol="0"/>
  <cols>
    <col collapsed="false" customWidth="true" hidden="false" outlineLevel="0" max="1" min="1" style="1" width="29.11"/>
    <col collapsed="false" customWidth="true" hidden="false" outlineLevel="0" max="2" min="2" style="1" width="14.67"/>
    <col collapsed="false" customWidth="true" hidden="false" outlineLevel="0" max="3" min="3" style="1" width="21.11"/>
    <col collapsed="false" customWidth="true" hidden="false" outlineLevel="0" max="4" min="4" style="1" width="15.22"/>
    <col collapsed="false" customWidth="true" hidden="false" outlineLevel="0" max="6" min="5" style="1" width="13.56"/>
  </cols>
  <sheetData>
    <row r="1" customFormat="false" ht="16.5" hidden="false" customHeight="true" outlineLevel="0" collapsed="false">
      <c r="A1" s="90" t="s">
        <v>795</v>
      </c>
      <c r="B1" s="90"/>
      <c r="C1" s="90"/>
      <c r="D1" s="90"/>
      <c r="E1" s="90"/>
      <c r="F1" s="90"/>
      <c r="G1" s="90"/>
    </row>
    <row r="3" customFormat="false" ht="14.25" hidden="false" customHeight="true" outlineLevel="0" collapsed="false">
      <c r="A3" s="106" t="s">
        <v>796</v>
      </c>
      <c r="B3" s="106"/>
      <c r="C3" s="106"/>
      <c r="D3" s="106"/>
      <c r="E3" s="106"/>
      <c r="F3" s="106"/>
      <c r="G3" s="106"/>
    </row>
    <row r="5" customFormat="false" ht="14.25" hidden="false" customHeight="true" outlineLevel="0" collapsed="false">
      <c r="A5" s="92" t="s">
        <v>661</v>
      </c>
    </row>
    <row r="6" customFormat="false" ht="111" hidden="false" customHeight="true" outlineLevel="0" collapsed="false">
      <c r="A6" s="110" t="s">
        <v>797</v>
      </c>
      <c r="B6" s="110"/>
      <c r="C6" s="110"/>
      <c r="D6" s="110"/>
      <c r="E6" s="110"/>
      <c r="F6" s="110"/>
      <c r="G6" s="110"/>
    </row>
    <row r="8" customFormat="false" ht="52.5" hidden="false" customHeight="true" outlineLevel="0" collapsed="false">
      <c r="A8" s="114" t="s">
        <v>371</v>
      </c>
      <c r="B8" s="114" t="s">
        <v>138</v>
      </c>
      <c r="C8" s="114" t="s">
        <v>429</v>
      </c>
      <c r="D8" s="114" t="s">
        <v>430</v>
      </c>
      <c r="E8" s="114" t="s">
        <v>171</v>
      </c>
      <c r="F8" s="114" t="s">
        <v>311</v>
      </c>
      <c r="G8" s="114" t="s">
        <v>190</v>
      </c>
      <c r="H8" s="114" t="s">
        <v>283</v>
      </c>
    </row>
    <row r="9" customFormat="false" ht="14.25" hidden="false" customHeight="true" outlineLevel="0" collapsed="false">
      <c r="A9" s="96" t="s">
        <v>433</v>
      </c>
      <c r="B9" s="96" t="s">
        <v>434</v>
      </c>
      <c r="C9" s="96" t="s">
        <v>431</v>
      </c>
      <c r="D9" s="96" t="s">
        <v>435</v>
      </c>
      <c r="E9" s="97" t="s">
        <v>385</v>
      </c>
      <c r="F9" s="97" t="n">
        <v>0</v>
      </c>
      <c r="G9" s="97" t="n">
        <v>0</v>
      </c>
      <c r="H9" s="97" t="n">
        <v>1</v>
      </c>
    </row>
    <row r="10" customFormat="false" ht="14.25" hidden="false" customHeight="true" outlineLevel="0" collapsed="false">
      <c r="A10" s="96" t="s">
        <v>470</v>
      </c>
      <c r="B10" s="96" t="s">
        <v>471</v>
      </c>
      <c r="C10" s="96" t="s">
        <v>431</v>
      </c>
      <c r="D10" s="96" t="s">
        <v>435</v>
      </c>
      <c r="E10" s="97" t="s">
        <v>385</v>
      </c>
      <c r="F10" s="97" t="n">
        <v>1</v>
      </c>
      <c r="G10" s="97" t="n">
        <v>1</v>
      </c>
      <c r="H10" s="97" t="n">
        <v>1</v>
      </c>
    </row>
    <row r="11" customFormat="false" ht="14.25" hidden="false" customHeight="true" outlineLevel="0" collapsed="false">
      <c r="A11" s="96" t="s">
        <v>466</v>
      </c>
      <c r="B11" s="96" t="s">
        <v>467</v>
      </c>
      <c r="C11" s="96" t="s">
        <v>431</v>
      </c>
      <c r="D11" s="96" t="s">
        <v>439</v>
      </c>
      <c r="E11" s="97" t="s">
        <v>385</v>
      </c>
      <c r="F11" s="97" t="n">
        <v>1</v>
      </c>
      <c r="G11" s="97" t="n">
        <v>0</v>
      </c>
      <c r="H11" s="97" t="n">
        <v>0</v>
      </c>
    </row>
    <row r="12" customFormat="false" ht="14.25" hidden="false" customHeight="true" outlineLevel="0" collapsed="false">
      <c r="A12" s="96" t="s">
        <v>442</v>
      </c>
      <c r="B12" s="96" t="s">
        <v>443</v>
      </c>
      <c r="C12" s="96" t="s">
        <v>431</v>
      </c>
      <c r="D12" s="96" t="s">
        <v>435</v>
      </c>
      <c r="E12" s="97" t="s">
        <v>385</v>
      </c>
      <c r="F12" s="97" t="n">
        <v>1</v>
      </c>
      <c r="G12" s="97" t="n">
        <v>1</v>
      </c>
      <c r="H12" s="97" t="n">
        <v>1</v>
      </c>
    </row>
    <row r="13" customFormat="false" ht="14.25" hidden="false" customHeight="true" outlineLevel="0" collapsed="false">
      <c r="A13" s="96" t="s">
        <v>468</v>
      </c>
      <c r="B13" s="96" t="s">
        <v>469</v>
      </c>
      <c r="C13" s="96" t="s">
        <v>431</v>
      </c>
      <c r="D13" s="96" t="s">
        <v>102</v>
      </c>
      <c r="E13" s="97" t="s">
        <v>385</v>
      </c>
      <c r="F13" s="97" t="n">
        <v>1</v>
      </c>
      <c r="G13" s="97" t="n">
        <v>0</v>
      </c>
      <c r="H13" s="97" t="n">
        <v>0</v>
      </c>
    </row>
    <row r="14" customFormat="false" ht="14.25" hidden="false" customHeight="true" outlineLevel="0" collapsed="false">
      <c r="A14" s="96" t="s">
        <v>445</v>
      </c>
      <c r="B14" s="96" t="s">
        <v>447</v>
      </c>
      <c r="C14" s="96" t="s">
        <v>431</v>
      </c>
      <c r="D14" s="96" t="s">
        <v>439</v>
      </c>
      <c r="E14" s="97" t="s">
        <v>405</v>
      </c>
      <c r="F14" s="97" t="n">
        <v>1</v>
      </c>
      <c r="G14" s="97" t="n">
        <v>1</v>
      </c>
      <c r="H14" s="97" t="n">
        <v>1</v>
      </c>
    </row>
    <row r="15" customFormat="false" ht="14.25" hidden="false" customHeight="true" outlineLevel="0" collapsed="false">
      <c r="A15" s="96" t="s">
        <v>454</v>
      </c>
      <c r="B15" s="96" t="s">
        <v>455</v>
      </c>
      <c r="C15" s="96" t="s">
        <v>431</v>
      </c>
      <c r="D15" s="96" t="s">
        <v>102</v>
      </c>
      <c r="E15" s="97" t="s">
        <v>405</v>
      </c>
      <c r="F15" s="97" t="n">
        <v>1</v>
      </c>
      <c r="G15" s="97" t="n">
        <v>1</v>
      </c>
      <c r="H15" s="97" t="n">
        <v>1</v>
      </c>
    </row>
    <row r="16" customFormat="false" ht="14.25" hidden="false" customHeight="true" outlineLevel="0" collapsed="false">
      <c r="A16" s="96" t="s">
        <v>445</v>
      </c>
      <c r="B16" s="96" t="s">
        <v>446</v>
      </c>
      <c r="C16" s="96" t="s">
        <v>431</v>
      </c>
      <c r="D16" s="96" t="s">
        <v>439</v>
      </c>
      <c r="E16" s="97" t="s">
        <v>405</v>
      </c>
      <c r="F16" s="97" t="n">
        <v>1</v>
      </c>
      <c r="G16" s="97" t="n">
        <v>1</v>
      </c>
      <c r="H16" s="97" t="n">
        <v>1</v>
      </c>
    </row>
    <row r="17" customFormat="false" ht="14.25" hidden="false" customHeight="true" outlineLevel="0" collapsed="false">
      <c r="A17" s="96" t="s">
        <v>437</v>
      </c>
      <c r="B17" s="96" t="s">
        <v>438</v>
      </c>
      <c r="C17" s="96" t="s">
        <v>431</v>
      </c>
      <c r="D17" s="96" t="s">
        <v>439</v>
      </c>
      <c r="E17" s="97" t="s">
        <v>405</v>
      </c>
      <c r="F17" s="97" t="n">
        <v>1</v>
      </c>
      <c r="G17" s="97" t="n">
        <v>1</v>
      </c>
      <c r="H17" s="97" t="n">
        <v>1</v>
      </c>
    </row>
    <row r="18" customFormat="false" ht="14.25" hidden="false" customHeight="true" outlineLevel="0" collapsed="false">
      <c r="A18" s="96" t="s">
        <v>464</v>
      </c>
      <c r="B18" s="96" t="s">
        <v>465</v>
      </c>
      <c r="C18" s="96" t="s">
        <v>431</v>
      </c>
      <c r="D18" s="96" t="s">
        <v>439</v>
      </c>
      <c r="E18" s="97" t="s">
        <v>385</v>
      </c>
      <c r="F18" s="97" t="n">
        <v>1</v>
      </c>
      <c r="G18" s="97" t="n">
        <v>1</v>
      </c>
      <c r="H18" s="97" t="n">
        <v>1</v>
      </c>
    </row>
    <row r="19" customFormat="false" ht="15" hidden="false" customHeight="true" outlineLevel="0" collapsed="false">
      <c r="A19" s="126" t="s">
        <v>479</v>
      </c>
      <c r="B19" s="126" t="s">
        <v>480</v>
      </c>
      <c r="C19" s="126" t="s">
        <v>431</v>
      </c>
      <c r="D19" s="126" t="s">
        <v>102</v>
      </c>
      <c r="E19" s="127" t="s">
        <v>405</v>
      </c>
      <c r="F19" s="127" t="n">
        <v>0</v>
      </c>
      <c r="G19" s="127" t="n">
        <v>0</v>
      </c>
      <c r="H19" s="127" t="n">
        <v>1</v>
      </c>
    </row>
    <row r="20" customFormat="false" ht="15" hidden="false" customHeight="true" outlineLevel="0" collapsed="false">
      <c r="A20" s="128" t="s">
        <v>458</v>
      </c>
      <c r="B20" s="128" t="s">
        <v>459</v>
      </c>
      <c r="C20" s="128" t="s">
        <v>456</v>
      </c>
      <c r="D20" s="128" t="s">
        <v>460</v>
      </c>
      <c r="E20" s="129" t="s">
        <v>385</v>
      </c>
      <c r="F20" s="129" t="n">
        <v>0</v>
      </c>
      <c r="G20" s="129" t="n">
        <v>0</v>
      </c>
      <c r="H20" s="129" t="n">
        <v>1</v>
      </c>
    </row>
    <row r="21" customFormat="false" ht="14.25" hidden="false" customHeight="true" outlineLevel="0" collapsed="false">
      <c r="A21" s="96" t="s">
        <v>476</v>
      </c>
      <c r="B21" s="96" t="s">
        <v>477</v>
      </c>
      <c r="C21" s="96" t="s">
        <v>456</v>
      </c>
      <c r="D21" s="96" t="s">
        <v>452</v>
      </c>
      <c r="E21" s="97" t="s">
        <v>405</v>
      </c>
      <c r="F21" s="97" t="n">
        <v>0</v>
      </c>
      <c r="G21" s="97" t="n">
        <v>0</v>
      </c>
      <c r="H21" s="97" t="n">
        <v>1</v>
      </c>
    </row>
    <row r="22" customFormat="false" ht="14.25" hidden="false" customHeight="true" outlineLevel="0" collapsed="false">
      <c r="A22" s="96" t="s">
        <v>450</v>
      </c>
      <c r="B22" s="96" t="s">
        <v>462</v>
      </c>
      <c r="C22" s="96" t="s">
        <v>448</v>
      </c>
      <c r="D22" s="96" t="s">
        <v>463</v>
      </c>
      <c r="E22" s="97" t="s">
        <v>405</v>
      </c>
      <c r="F22" s="97" t="n">
        <v>0</v>
      </c>
      <c r="G22" s="97" t="n">
        <v>1</v>
      </c>
      <c r="H22" s="97" t="n">
        <v>0</v>
      </c>
    </row>
    <row r="23" customFormat="false" ht="14.25" hidden="false" customHeight="true" outlineLevel="0" collapsed="false">
      <c r="A23" s="96" t="s">
        <v>450</v>
      </c>
      <c r="B23" s="96" t="s">
        <v>451</v>
      </c>
      <c r="C23" s="96" t="s">
        <v>448</v>
      </c>
      <c r="D23" s="96" t="s">
        <v>452</v>
      </c>
      <c r="E23" s="97" t="s">
        <v>405</v>
      </c>
      <c r="F23" s="97" t="n">
        <v>0</v>
      </c>
      <c r="G23" s="97" t="n">
        <v>1</v>
      </c>
      <c r="H23" s="97" t="n">
        <v>0</v>
      </c>
    </row>
    <row r="24" customFormat="false" ht="14.25" hidden="false" customHeight="true" outlineLevel="0" collapsed="false">
      <c r="A24" s="108"/>
      <c r="B24" s="108"/>
      <c r="C24" s="108"/>
      <c r="D24" s="101"/>
      <c r="E24" s="101"/>
      <c r="F24" s="101"/>
      <c r="G24" s="101"/>
    </row>
    <row r="25" customFormat="false" ht="14.25" hidden="false" customHeight="true" outlineLevel="0" collapsed="false">
      <c r="A25" s="108"/>
      <c r="B25" s="108"/>
      <c r="C25" s="108"/>
      <c r="D25" s="101"/>
      <c r="E25" s="101"/>
      <c r="F25" s="101"/>
      <c r="G25" s="101"/>
    </row>
    <row r="27" customFormat="false" ht="14.25" hidden="false" customHeight="true" outlineLevel="0" collapsed="false">
      <c r="A27" s="106" t="s">
        <v>798</v>
      </c>
      <c r="B27" s="106"/>
      <c r="C27" s="106"/>
      <c r="D27" s="106"/>
      <c r="E27" s="106"/>
      <c r="F27" s="106"/>
      <c r="G27" s="106"/>
    </row>
    <row r="31" customFormat="false" ht="26.25" hidden="false" customHeight="true" outlineLevel="0" collapsed="false">
      <c r="A31" s="95" t="s">
        <v>799</v>
      </c>
      <c r="B31" s="95" t="s">
        <v>670</v>
      </c>
      <c r="C31" s="114" t="s">
        <v>800</v>
      </c>
      <c r="D31" s="114" t="s">
        <v>311</v>
      </c>
      <c r="E31" s="114" t="s">
        <v>190</v>
      </c>
      <c r="F31" s="114" t="s">
        <v>283</v>
      </c>
    </row>
    <row r="32" customFormat="false" ht="14.25" hidden="false" customHeight="true" outlineLevel="0" collapsed="false">
      <c r="A32" s="96" t="s">
        <v>801</v>
      </c>
      <c r="B32" s="97" t="s">
        <v>802</v>
      </c>
      <c r="C32" s="97" t="s">
        <v>772</v>
      </c>
      <c r="D32" s="97" t="n">
        <f aca="false">COUNTIFS($C$9:$C$23,"Alga Verde",F9:F23,"&gt;0") +COUNTIFS($C$9:$C$23,"Cianobacteria",F9:F23,"&gt;0")</f>
        <v>0</v>
      </c>
      <c r="E32" s="97" t="n">
        <f aca="false">COUNTIFS($C$9:$C$23,"Alga Verde",G9:G23,"&gt;0") +COUNTIFS($C$9:$C$23,"Cianobacteria",G9:G23,"&gt;0")</f>
        <v>2</v>
      </c>
      <c r="F32" s="97" t="n">
        <f aca="false">COUNTIFS($C$9:$C$23,"Alga Verde",H9:H23,"&gt;0") +COUNTIFS($C$9:$C$23,"Cianobacteria",H9:H23,"&gt;0")</f>
        <v>2</v>
      </c>
    </row>
    <row r="33" customFormat="false" ht="14.25" hidden="false" customHeight="true" outlineLevel="0" collapsed="false">
      <c r="A33" s="96" t="s">
        <v>803</v>
      </c>
      <c r="B33" s="97" t="s">
        <v>804</v>
      </c>
      <c r="C33" s="97" t="s">
        <v>805</v>
      </c>
      <c r="D33" s="97" t="n">
        <v>8</v>
      </c>
      <c r="E33" s="97" t="n">
        <v>6</v>
      </c>
      <c r="F33" s="97" t="n">
        <v>8</v>
      </c>
    </row>
    <row r="34" customFormat="false" ht="14.25" hidden="false" customHeight="true" outlineLevel="0" collapsed="false">
      <c r="A34" s="96" t="s">
        <v>806</v>
      </c>
      <c r="B34" s="97" t="s">
        <v>807</v>
      </c>
      <c r="C34" s="97" t="s">
        <v>805</v>
      </c>
      <c r="D34" s="97" t="n">
        <f aca="false">SUM(F9:F19)</f>
        <v>9</v>
      </c>
      <c r="E34" s="97" t="n">
        <f aca="false">SUM(G9:G19)</f>
        <v>7</v>
      </c>
      <c r="F34" s="97" t="n">
        <f aca="false">SUM(H9:H19)</f>
        <v>9</v>
      </c>
    </row>
    <row r="35" customFormat="false" ht="14.25" hidden="false" customHeight="true" outlineLevel="0" collapsed="false">
      <c r="A35" s="96" t="s">
        <v>808</v>
      </c>
      <c r="B35" s="97" t="s">
        <v>776</v>
      </c>
      <c r="C35" s="97" t="s">
        <v>772</v>
      </c>
      <c r="D35" s="97" t="n">
        <f aca="false">SUMIFS(F9:F19,$E$9:$E$19,"Sensible")</f>
        <v>5</v>
      </c>
      <c r="E35" s="97" t="n">
        <f aca="false">SUMIFS(G9:G19,$E$9:$E$19,"Sensible")</f>
        <v>3</v>
      </c>
      <c r="F35" s="97" t="n">
        <f aca="false">SUMIFS(H9:H19,$E$9:$E$19,"Sensible")</f>
        <v>4</v>
      </c>
    </row>
    <row r="36" customFormat="false" ht="14.25" hidden="false" customHeight="true" outlineLevel="0" collapsed="false">
      <c r="A36" s="96" t="s">
        <v>809</v>
      </c>
      <c r="B36" s="97" t="s">
        <v>810</v>
      </c>
      <c r="C36" s="97" t="s">
        <v>772</v>
      </c>
      <c r="D36" s="105" t="n">
        <f aca="false">+(D35/D34)*100</f>
        <v>55.5555555555556</v>
      </c>
      <c r="E36" s="105" t="n">
        <f aca="false">+(E35/E34)*100</f>
        <v>42.8571428571429</v>
      </c>
      <c r="F36" s="105" t="n">
        <f aca="false">+(F35/F34)*100</f>
        <v>44.4444444444444</v>
      </c>
    </row>
    <row r="37" customFormat="false" ht="14.25" hidden="false" customHeight="true" outlineLevel="0" collapsed="false">
      <c r="A37" s="96" t="s">
        <v>811</v>
      </c>
      <c r="B37" s="97" t="s">
        <v>735</v>
      </c>
      <c r="C37" s="97" t="s">
        <v>689</v>
      </c>
      <c r="D37" s="97" t="n">
        <f aca="false">SUMIFS(F9:F19,$E$9:$E$19,"Tolerante")</f>
        <v>4</v>
      </c>
      <c r="E37" s="97" t="n">
        <f aca="false">SUMIFS(G9:G19,$E$9:$E$19,"Tolerante")</f>
        <v>4</v>
      </c>
      <c r="F37" s="97" t="n">
        <f aca="false">SUMIFS(H9:H19,$E$9:$E$19,"Tolerante")</f>
        <v>5</v>
      </c>
    </row>
    <row r="38" customFormat="false" ht="14.25" hidden="false" customHeight="true" outlineLevel="0" collapsed="false">
      <c r="A38" s="96" t="s">
        <v>812</v>
      </c>
      <c r="B38" s="97" t="s">
        <v>813</v>
      </c>
      <c r="C38" s="97" t="s">
        <v>772</v>
      </c>
      <c r="D38" s="97" t="n">
        <f aca="false">SUMIFS(F9:F19,$D$9:$D$19,"Bajo perfil",F9:F19,"&gt;0")</f>
        <v>2</v>
      </c>
      <c r="E38" s="97" t="n">
        <f aca="false">SUMIFS(G9:G19,$D$9:$D$19,"Bajo perfil",G9:G19,"&gt;0")</f>
        <v>2</v>
      </c>
      <c r="F38" s="97" t="n">
        <f aca="false">SUMIFS(H9:H19,$D$9:$D$19,"Bajo perfil",H9:H19,"&gt;0")</f>
        <v>3</v>
      </c>
    </row>
    <row r="39" customFormat="false" ht="14.25" hidden="false" customHeight="true" outlineLevel="0" collapsed="false">
      <c r="A39" s="96" t="s">
        <v>814</v>
      </c>
      <c r="B39" s="97" t="s">
        <v>815</v>
      </c>
      <c r="C39" s="97" t="s">
        <v>772</v>
      </c>
      <c r="D39" s="105" t="n">
        <f aca="false">(D38/D34)*100</f>
        <v>22.2222222222222</v>
      </c>
      <c r="E39" s="105" t="n">
        <f aca="false">(E38/E34)*100</f>
        <v>28.5714285714286</v>
      </c>
      <c r="F39" s="105" t="n">
        <f aca="false">(F38/F34)*100</f>
        <v>33.3333333333333</v>
      </c>
    </row>
    <row r="40" customFormat="false" ht="14.25" hidden="false" customHeight="true" outlineLevel="0" collapsed="false">
      <c r="A40" s="96" t="s">
        <v>816</v>
      </c>
      <c r="B40" s="97" t="s">
        <v>817</v>
      </c>
      <c r="C40" s="97" t="s">
        <v>689</v>
      </c>
      <c r="D40" s="97" t="n">
        <f aca="false">SUMIFS(F9:F19,$D$9:$D$19,"Móvil",F9:F19,"&gt;0")</f>
        <v>5</v>
      </c>
      <c r="E40" s="97" t="n">
        <f aca="false">SUMIFS(G9:G19,$D$9:$D$19,"Móvil",G9:G19,"&gt;0")</f>
        <v>4</v>
      </c>
      <c r="F40" s="97" t="n">
        <f aca="false">SUMIFS(H9:H19,$D$9:$D$19,"Móvil",H9:H19,"&gt;0")</f>
        <v>4</v>
      </c>
    </row>
    <row r="41" customFormat="false" ht="14.25" hidden="false" customHeight="true" outlineLevel="0" collapsed="false">
      <c r="A41" s="96" t="s">
        <v>818</v>
      </c>
      <c r="B41" s="97" t="s">
        <v>819</v>
      </c>
      <c r="C41" s="97" t="s">
        <v>689</v>
      </c>
      <c r="D41" s="105" t="n">
        <f aca="false">(D40/D34)*100</f>
        <v>55.5555555555556</v>
      </c>
      <c r="E41" s="105" t="n">
        <f aca="false">(E40/E34)*100</f>
        <v>57.1428571428571</v>
      </c>
      <c r="F41" s="105" t="n">
        <f aca="false">(F40/F34)*100</f>
        <v>44.4444444444444</v>
      </c>
    </row>
    <row r="42" customFormat="false" ht="14.25" hidden="false" customHeight="true" outlineLevel="0" collapsed="false">
      <c r="A42" s="96" t="s">
        <v>820</v>
      </c>
      <c r="B42" s="97" t="s">
        <v>821</v>
      </c>
      <c r="C42" s="97" t="s">
        <v>689</v>
      </c>
      <c r="D42" s="97" t="n">
        <f aca="false">SUMIFS(F9:F19,$D$9:$D$19,"Alto perfil",F9:F19,"&gt;0")</f>
        <v>2</v>
      </c>
      <c r="E42" s="97" t="n">
        <f aca="false">SUMIFS(G9:G19,$D$9:$D$19,"Alto perfil",G9:G19,"&gt;0")</f>
        <v>1</v>
      </c>
      <c r="F42" s="97" t="n">
        <f aca="false">SUMIFS(H9:H19,$D$9:$D$19,"Alto perfil",H9:H19,"&gt;0")</f>
        <v>2</v>
      </c>
    </row>
    <row r="43" customFormat="false" ht="14.25" hidden="false" customHeight="true" outlineLevel="0" collapsed="false">
      <c r="A43" s="96" t="s">
        <v>822</v>
      </c>
      <c r="B43" s="97" t="s">
        <v>823</v>
      </c>
      <c r="C43" s="97" t="s">
        <v>689</v>
      </c>
      <c r="D43" s="105" t="n">
        <f aca="false">+(D42/D34)*100</f>
        <v>22.2222222222222</v>
      </c>
      <c r="E43" s="105" t="n">
        <f aca="false">+(E42/E34)*100</f>
        <v>14.2857142857143</v>
      </c>
      <c r="F43" s="105" t="n">
        <f aca="false">+(F42/F34)*100</f>
        <v>22.2222222222222</v>
      </c>
    </row>
    <row r="46" customFormat="false" ht="14.25" hidden="false" customHeight="true" outlineLevel="0" collapsed="false">
      <c r="A46" s="115" t="s">
        <v>824</v>
      </c>
    </row>
    <row r="48" customFormat="false" ht="31.5" hidden="false" customHeight="true" outlineLevel="0" collapsed="false">
      <c r="A48" s="122" t="s">
        <v>825</v>
      </c>
    </row>
    <row r="50" customFormat="false" ht="14.25" hidden="false" customHeight="true" outlineLevel="0" collapsed="false">
      <c r="A50" s="111" t="s">
        <v>826</v>
      </c>
    </row>
    <row r="51" customFormat="false" ht="14.25" hidden="false" customHeight="true" outlineLevel="0" collapsed="false">
      <c r="A51" s="112"/>
    </row>
    <row r="52" customFormat="false" ht="14.25" hidden="false" customHeight="true" outlineLevel="0" collapsed="false">
      <c r="A52" s="113"/>
    </row>
    <row r="53" customFormat="false" ht="14.25" hidden="false" customHeight="true" outlineLevel="0" collapsed="false">
      <c r="A53" s="113"/>
    </row>
    <row r="55" customFormat="false" ht="14.25" hidden="false" customHeight="true" outlineLevel="0" collapsed="false">
      <c r="A55" s="95" t="s">
        <v>799</v>
      </c>
      <c r="B55" s="95" t="s">
        <v>670</v>
      </c>
      <c r="C55" s="114" t="s">
        <v>750</v>
      </c>
      <c r="D55" s="114" t="s">
        <v>751</v>
      </c>
      <c r="E55" s="114" t="s">
        <v>752</v>
      </c>
    </row>
    <row r="56" customFormat="false" ht="14.25" hidden="false" customHeight="true" outlineLevel="0" collapsed="false">
      <c r="A56" s="96" t="s">
        <v>806</v>
      </c>
      <c r="B56" s="97" t="s">
        <v>807</v>
      </c>
      <c r="C56" s="105" t="n">
        <f aca="false">D34/11</f>
        <v>0.818181818181818</v>
      </c>
      <c r="D56" s="105" t="n">
        <f aca="false">E34/11</f>
        <v>0.636363636363636</v>
      </c>
      <c r="E56" s="105" t="n">
        <f aca="false">F34/11</f>
        <v>0.818181818181818</v>
      </c>
    </row>
    <row r="57" customFormat="false" ht="14.25" hidden="false" customHeight="true" outlineLevel="0" collapsed="false">
      <c r="A57" s="96" t="s">
        <v>808</v>
      </c>
      <c r="B57" s="97" t="s">
        <v>776</v>
      </c>
      <c r="C57" s="105" t="n">
        <f aca="false">D35/6</f>
        <v>0.833333333333333</v>
      </c>
      <c r="D57" s="105" t="n">
        <f aca="false">E35/6</f>
        <v>0.5</v>
      </c>
      <c r="E57" s="105" t="n">
        <f aca="false">F35/6</f>
        <v>0.666666666666667</v>
      </c>
    </row>
    <row r="58" customFormat="false" ht="14.25" hidden="false" customHeight="true" outlineLevel="0" collapsed="false">
      <c r="A58" s="96" t="s">
        <v>812</v>
      </c>
      <c r="B58" s="97" t="s">
        <v>813</v>
      </c>
      <c r="C58" s="105" t="n">
        <f aca="false">D38/3</f>
        <v>0.666666666666667</v>
      </c>
      <c r="D58" s="105" t="n">
        <f aca="false">E38/3</f>
        <v>0.666666666666667</v>
      </c>
      <c r="E58" s="105" t="n">
        <f aca="false">F38/3</f>
        <v>1</v>
      </c>
    </row>
    <row r="59" customFormat="false" ht="14.25" hidden="false" customHeight="true" outlineLevel="0" collapsed="false">
      <c r="A59" s="96" t="s">
        <v>816</v>
      </c>
      <c r="B59" s="97" t="s">
        <v>817</v>
      </c>
      <c r="C59" s="105" t="n">
        <f aca="false">1-(D40/5)</f>
        <v>0</v>
      </c>
      <c r="D59" s="105" t="n">
        <f aca="false">1-(E40/5)</f>
        <v>0.2</v>
      </c>
      <c r="E59" s="105" t="n">
        <f aca="false">1-(F40/5)</f>
        <v>0.2</v>
      </c>
    </row>
    <row r="60" customFormat="false" ht="14.25" hidden="false" customHeight="true" outlineLevel="0" collapsed="false">
      <c r="A60" s="96" t="s">
        <v>820</v>
      </c>
      <c r="B60" s="97" t="s">
        <v>821</v>
      </c>
      <c r="C60" s="105" t="n">
        <f aca="false">1-(D42/3)</f>
        <v>0.333333333333333</v>
      </c>
      <c r="D60" s="105" t="n">
        <f aca="false">1-(E42/3)</f>
        <v>0.666666666666667</v>
      </c>
      <c r="E60" s="105" t="n">
        <f aca="false">1-(F42/3)</f>
        <v>0.333333333333333</v>
      </c>
    </row>
    <row r="63" customFormat="false" ht="14.25" hidden="false" customHeight="true" outlineLevel="0" collapsed="false">
      <c r="A63" s="115" t="s">
        <v>827</v>
      </c>
    </row>
    <row r="65" customFormat="false" ht="14.25" hidden="false" customHeight="true" outlineLevel="0" collapsed="false">
      <c r="A65" s="116" t="s">
        <v>370</v>
      </c>
      <c r="B65" s="116" t="s">
        <v>828</v>
      </c>
      <c r="C65" s="116" t="s">
        <v>794</v>
      </c>
      <c r="D65" s="116" t="s">
        <v>758</v>
      </c>
    </row>
    <row r="66" customFormat="false" ht="14.25" hidden="false" customHeight="true" outlineLevel="0" collapsed="false">
      <c r="A66" s="96" t="s">
        <v>311</v>
      </c>
      <c r="B66" s="117" t="n">
        <f aca="false">SUM(C56:C60)/COUNT(C56:C60)</f>
        <v>0.53030303030303</v>
      </c>
      <c r="C66" s="96" t="str">
        <f aca="false">IF(B66&gt;0.6,"Alta",IF(B66&gt;=0.31,"Moderada","Baja"))</f>
        <v>Moderada</v>
      </c>
      <c r="D66" s="125"/>
    </row>
    <row r="67" customFormat="false" ht="14.25" hidden="false" customHeight="true" outlineLevel="0" collapsed="false">
      <c r="A67" s="96" t="s">
        <v>190</v>
      </c>
      <c r="B67" s="117" t="n">
        <f aca="false">SUM(D56:D60)/COUNT(D56:D60)</f>
        <v>0.533939393939394</v>
      </c>
      <c r="C67" s="96" t="str">
        <f aca="false">IF(B67&gt;0.6,"Alta",IF(B67&gt;=0.31,"Moderada","Baja"))</f>
        <v>Moderada</v>
      </c>
      <c r="D67" s="125"/>
    </row>
    <row r="68" customFormat="false" ht="14.25" hidden="false" customHeight="true" outlineLevel="0" collapsed="false">
      <c r="A68" s="96" t="s">
        <v>283</v>
      </c>
      <c r="B68" s="117" t="n">
        <f aca="false">SUM(E56:E60)/COUNT(E56:E60)</f>
        <v>0.603636363636364</v>
      </c>
      <c r="C68" s="96" t="str">
        <f aca="false">IF(B68&gt;0.6,"Alta",IF(B68&gt;=0.31,"Moderada","Baja"))</f>
        <v>Alta</v>
      </c>
      <c r="D68" s="130"/>
    </row>
  </sheetData>
  <mergeCells count="4">
    <mergeCell ref="A1:G1"/>
    <mergeCell ref="A3:G3"/>
    <mergeCell ref="A6:G6"/>
    <mergeCell ref="A27:G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79646"/>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0.6796875" defaultRowHeight="14.25" zeroHeight="false" outlineLevelRow="0" outlineLevelCol="0"/>
  <cols>
    <col collapsed="false" customWidth="true" hidden="false" outlineLevel="0" max="1" min="1" style="1" width="19.56"/>
    <col collapsed="false" customWidth="true" hidden="false" outlineLevel="0" max="4" min="4" style="1" width="13.22"/>
  </cols>
  <sheetData>
    <row r="1" customFormat="false" ht="16.5" hidden="false" customHeight="true" outlineLevel="0" collapsed="false">
      <c r="A1" s="91" t="s">
        <v>829</v>
      </c>
      <c r="B1" s="91"/>
      <c r="C1" s="91"/>
      <c r="D1" s="91"/>
    </row>
    <row r="3" customFormat="false" ht="14.25" hidden="false" customHeight="true" outlineLevel="0" collapsed="false">
      <c r="A3" s="94" t="s">
        <v>830</v>
      </c>
      <c r="B3" s="94"/>
      <c r="C3" s="94"/>
      <c r="D3" s="94"/>
      <c r="E3" s="94"/>
      <c r="F3" s="94"/>
      <c r="G3" s="94"/>
    </row>
    <row r="5" customFormat="false" ht="14.25" hidden="false" customHeight="true" outlineLevel="0" collapsed="false">
      <c r="A5" s="92" t="s">
        <v>661</v>
      </c>
    </row>
    <row r="6" customFormat="false" ht="64.5" hidden="false" customHeight="true" outlineLevel="0" collapsed="false">
      <c r="A6" s="131" t="s">
        <v>831</v>
      </c>
      <c r="B6" s="131"/>
      <c r="C6" s="131"/>
      <c r="D6" s="131"/>
      <c r="E6" s="131"/>
      <c r="F6" s="131"/>
      <c r="G6" s="131"/>
    </row>
    <row r="8" customFormat="false" ht="14.25" hidden="false" customHeight="true" outlineLevel="0" collapsed="false">
      <c r="B8" s="95" t="s">
        <v>500</v>
      </c>
      <c r="C8" s="95"/>
      <c r="D8" s="95"/>
    </row>
    <row r="9" customFormat="false" ht="14.25" hidden="false" customHeight="true" outlineLevel="0" collapsed="false">
      <c r="A9" s="132" t="s">
        <v>487</v>
      </c>
      <c r="B9" s="95" t="s">
        <v>502</v>
      </c>
      <c r="C9" s="95" t="s">
        <v>440</v>
      </c>
      <c r="D9" s="95" t="s">
        <v>283</v>
      </c>
    </row>
    <row r="10" customFormat="false" ht="14.25" hidden="false" customHeight="true" outlineLevel="0" collapsed="false">
      <c r="A10" s="97" t="s">
        <v>494</v>
      </c>
      <c r="B10" s="133" t="n">
        <v>9</v>
      </c>
      <c r="C10" s="133" t="n">
        <v>5</v>
      </c>
      <c r="D10" s="133" t="n">
        <v>10</v>
      </c>
    </row>
    <row r="11" customFormat="false" ht="14.25" hidden="false" customHeight="true" outlineLevel="0" collapsed="false">
      <c r="A11" s="97" t="s">
        <v>495</v>
      </c>
      <c r="B11" s="133" t="n">
        <v>7</v>
      </c>
      <c r="C11" s="133" t="n">
        <v>6</v>
      </c>
      <c r="D11" s="133" t="n">
        <v>10</v>
      </c>
    </row>
    <row r="12" customFormat="false" ht="14.25" hidden="false" customHeight="true" outlineLevel="0" collapsed="false">
      <c r="A12" s="97" t="s">
        <v>496</v>
      </c>
      <c r="B12" s="133" t="n">
        <v>8</v>
      </c>
      <c r="C12" s="133" t="n">
        <v>4</v>
      </c>
      <c r="D12" s="133" t="n">
        <v>10</v>
      </c>
    </row>
    <row r="13" customFormat="false" ht="14.25" hidden="false" customHeight="true" outlineLevel="0" collapsed="false">
      <c r="A13" s="97" t="s">
        <v>498</v>
      </c>
      <c r="B13" s="133" t="n">
        <v>5</v>
      </c>
      <c r="C13" s="133" t="n">
        <v>5</v>
      </c>
      <c r="D13" s="133" t="n">
        <v>10</v>
      </c>
    </row>
    <row r="14" customFormat="false" ht="14.25" hidden="false" customHeight="true" outlineLevel="0" collapsed="false">
      <c r="A14" s="97" t="s">
        <v>499</v>
      </c>
      <c r="B14" s="133" t="n">
        <v>7</v>
      </c>
      <c r="C14" s="133" t="n">
        <v>6</v>
      </c>
      <c r="D14" s="133" t="n">
        <v>9</v>
      </c>
    </row>
    <row r="15" customFormat="false" ht="14.25" hidden="false" customHeight="true" outlineLevel="0" collapsed="false">
      <c r="A15" s="97" t="s">
        <v>501</v>
      </c>
      <c r="B15" s="133" t="n">
        <v>5.5</v>
      </c>
      <c r="C15" s="133" t="n">
        <v>7</v>
      </c>
      <c r="D15" s="133" t="n">
        <v>9</v>
      </c>
    </row>
    <row r="16" customFormat="false" ht="14.25" hidden="false" customHeight="true" outlineLevel="0" collapsed="false">
      <c r="A16" s="97" t="n">
        <v>4</v>
      </c>
      <c r="B16" s="133" t="n">
        <v>8.5</v>
      </c>
      <c r="C16" s="133" t="n">
        <v>5</v>
      </c>
      <c r="D16" s="133" t="n">
        <v>9</v>
      </c>
    </row>
    <row r="17" customFormat="false" ht="14.25" hidden="false" customHeight="true" outlineLevel="0" collapsed="false">
      <c r="A17" s="97" t="n">
        <v>5</v>
      </c>
      <c r="B17" s="133" t="n">
        <v>7.5</v>
      </c>
      <c r="C17" s="133" t="n">
        <v>4</v>
      </c>
      <c r="D17" s="133" t="n">
        <v>10</v>
      </c>
    </row>
    <row r="18" customFormat="false" ht="14.25" hidden="false" customHeight="true" outlineLevel="0" collapsed="false">
      <c r="A18" s="97" t="n">
        <v>6</v>
      </c>
      <c r="B18" s="133" t="n">
        <v>8</v>
      </c>
      <c r="C18" s="133" t="n">
        <v>5</v>
      </c>
      <c r="D18" s="133" t="n">
        <v>9</v>
      </c>
    </row>
    <row r="19" customFormat="false" ht="14.25" hidden="false" customHeight="true" outlineLevel="0" collapsed="false">
      <c r="A19" s="97" t="n">
        <v>7</v>
      </c>
      <c r="B19" s="133" t="n">
        <v>8</v>
      </c>
      <c r="C19" s="133" t="n">
        <v>4</v>
      </c>
      <c r="D19" s="133" t="n">
        <v>9</v>
      </c>
    </row>
    <row r="20" customFormat="false" ht="14.25" hidden="false" customHeight="true" outlineLevel="0" collapsed="false">
      <c r="A20" s="95" t="s">
        <v>832</v>
      </c>
      <c r="B20" s="134" t="n">
        <v>73.5</v>
      </c>
      <c r="C20" s="134" t="n">
        <v>51</v>
      </c>
      <c r="D20" s="134" t="n">
        <v>95</v>
      </c>
    </row>
    <row r="23" customFormat="false" ht="14.25" hidden="false" customHeight="true" outlineLevel="0" collapsed="false">
      <c r="A23" s="94" t="s">
        <v>833</v>
      </c>
      <c r="B23" s="94"/>
      <c r="C23" s="94"/>
      <c r="D23" s="94"/>
      <c r="E23" s="94"/>
      <c r="F23" s="94"/>
      <c r="G23" s="94"/>
    </row>
    <row r="25" customFormat="false" ht="26.25" hidden="false" customHeight="true" outlineLevel="0" collapsed="false">
      <c r="A25" s="95" t="s">
        <v>834</v>
      </c>
      <c r="B25" s="95" t="s">
        <v>835</v>
      </c>
      <c r="C25" s="95"/>
      <c r="D25" s="114" t="s">
        <v>836</v>
      </c>
    </row>
    <row r="26" customFormat="false" ht="14.25" hidden="false" customHeight="true" outlineLevel="0" collapsed="false">
      <c r="A26" s="97" t="s">
        <v>837</v>
      </c>
      <c r="B26" s="135" t="s">
        <v>838</v>
      </c>
      <c r="C26" s="135"/>
      <c r="D26" s="97" t="s">
        <v>839</v>
      </c>
    </row>
    <row r="27" customFormat="false" ht="14.25" hidden="false" customHeight="true" outlineLevel="0" collapsed="false">
      <c r="A27" s="97" t="s">
        <v>840</v>
      </c>
      <c r="B27" s="135" t="s">
        <v>511</v>
      </c>
      <c r="C27" s="135"/>
      <c r="D27" s="97" t="s">
        <v>841</v>
      </c>
    </row>
    <row r="28" customFormat="false" ht="14.25" hidden="false" customHeight="true" outlineLevel="0" collapsed="false">
      <c r="A28" s="97" t="s">
        <v>842</v>
      </c>
      <c r="B28" s="135" t="s">
        <v>509</v>
      </c>
      <c r="C28" s="135"/>
      <c r="D28" s="97" t="s">
        <v>843</v>
      </c>
    </row>
    <row r="29" customFormat="false" ht="14.25" hidden="false" customHeight="true" outlineLevel="0" collapsed="false">
      <c r="A29" s="97" t="s">
        <v>844</v>
      </c>
      <c r="B29" s="135" t="s">
        <v>510</v>
      </c>
      <c r="C29" s="135"/>
      <c r="D29" s="97" t="s">
        <v>845</v>
      </c>
    </row>
    <row r="30" customFormat="false" ht="14.25" hidden="false" customHeight="true" outlineLevel="0" collapsed="false">
      <c r="A30" s="97" t="s">
        <v>846</v>
      </c>
      <c r="B30" s="135" t="s">
        <v>847</v>
      </c>
      <c r="C30" s="135"/>
      <c r="D30" s="97" t="s">
        <v>848</v>
      </c>
    </row>
    <row r="32" customFormat="false" ht="14.25" hidden="false" customHeight="true" outlineLevel="0" collapsed="false">
      <c r="A32" s="94" t="s">
        <v>849</v>
      </c>
      <c r="B32" s="94"/>
      <c r="C32" s="94"/>
      <c r="D32" s="94"/>
      <c r="E32" s="94"/>
      <c r="F32" s="94"/>
      <c r="G32" s="94"/>
    </row>
    <row r="34" customFormat="false" ht="14.25" hidden="false" customHeight="true" outlineLevel="0" collapsed="false">
      <c r="A34" s="136" t="s">
        <v>850</v>
      </c>
      <c r="B34" s="136"/>
      <c r="C34" s="136"/>
      <c r="D34" s="136"/>
      <c r="E34" s="136"/>
      <c r="F34" s="136"/>
      <c r="G34" s="136"/>
    </row>
    <row r="36" customFormat="false" ht="14.25" hidden="false" customHeight="true" outlineLevel="0" collapsed="false">
      <c r="A36" s="137" t="s">
        <v>851</v>
      </c>
      <c r="B36" s="97" t="n">
        <v>10</v>
      </c>
    </row>
    <row r="37" customFormat="false" ht="14.25" hidden="false" customHeight="true" outlineLevel="0" collapsed="false">
      <c r="A37" s="137" t="s">
        <v>852</v>
      </c>
      <c r="B37" s="97" t="n">
        <v>120</v>
      </c>
    </row>
    <row r="39" customFormat="false" ht="26.25" hidden="false" customHeight="true" outlineLevel="0" collapsed="false">
      <c r="A39" s="95" t="s">
        <v>370</v>
      </c>
      <c r="B39" s="114" t="s">
        <v>853</v>
      </c>
      <c r="C39" s="95" t="s">
        <v>854</v>
      </c>
      <c r="D39" s="114" t="s">
        <v>757</v>
      </c>
      <c r="E39" s="116" t="s">
        <v>758</v>
      </c>
    </row>
    <row r="40" customFormat="false" ht="14.25" hidden="false" customHeight="true" outlineLevel="0" collapsed="false">
      <c r="A40" s="97" t="s">
        <v>311</v>
      </c>
      <c r="B40" s="133" t="n">
        <f aca="false">B20</f>
        <v>73.5</v>
      </c>
      <c r="C40" s="117" t="n">
        <f aca="false">(B40-$B$36)/($B$37-$B$36)</f>
        <v>0.577272727272727</v>
      </c>
      <c r="D40" s="97" t="str">
        <f aca="false">IF(C40&gt;0.6,"Alta",IF(C40&gt;=0.31,"Moderada","Baja"))</f>
        <v>Moderada</v>
      </c>
      <c r="E40" s="125"/>
    </row>
    <row r="41" customFormat="false" ht="14.25" hidden="false" customHeight="true" outlineLevel="0" collapsed="false">
      <c r="A41" s="97" t="s">
        <v>190</v>
      </c>
      <c r="B41" s="133" t="n">
        <f aca="false">C20</f>
        <v>51</v>
      </c>
      <c r="C41" s="117" t="n">
        <f aca="false">(B41-$B$36)/($B$37-$B$36)</f>
        <v>0.372727272727273</v>
      </c>
      <c r="D41" s="97" t="str">
        <f aca="false">IF(C41&gt;0.6,"Alta",IF(C41&gt;=0.31,"Moderada","Baja"))</f>
        <v>Moderada</v>
      </c>
      <c r="E41" s="119"/>
    </row>
    <row r="42" customFormat="false" ht="14.25" hidden="false" customHeight="true" outlineLevel="0" collapsed="false">
      <c r="A42" s="97" t="s">
        <v>283</v>
      </c>
      <c r="B42" s="133" t="n">
        <f aca="false">D20</f>
        <v>95</v>
      </c>
      <c r="C42" s="117" t="n">
        <f aca="false">(B42-$B$36)/($B$37-$B$36)</f>
        <v>0.772727272727273</v>
      </c>
      <c r="D42" s="97" t="str">
        <f aca="false">IF(C42&gt;0.6,"Alta",IF(C42&gt;=0.31,"Moderada","Baja"))</f>
        <v>Alta</v>
      </c>
      <c r="E42" s="130"/>
    </row>
  </sheetData>
  <mergeCells count="12">
    <mergeCell ref="A3:G3"/>
    <mergeCell ref="A6:G6"/>
    <mergeCell ref="B8:D8"/>
    <mergeCell ref="A23:G23"/>
    <mergeCell ref="B25:C25"/>
    <mergeCell ref="B26:C26"/>
    <mergeCell ref="B27:C27"/>
    <mergeCell ref="B28:C28"/>
    <mergeCell ref="B29:C29"/>
    <mergeCell ref="B30:C30"/>
    <mergeCell ref="A32:G32"/>
    <mergeCell ref="A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8920"/>
    <pageSetUpPr fitToPage="false"/>
  </sheetPr>
  <dimension ref="A1:G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6" activeCellId="0" sqref="H6"/>
    </sheetView>
  </sheetViews>
  <sheetFormatPr defaultColWidth="10.6796875" defaultRowHeight="14.25" zeroHeight="false" outlineLevelRow="0" outlineLevelCol="0"/>
  <cols>
    <col collapsed="false" customWidth="true" hidden="false" outlineLevel="0" max="1" min="1" style="1" width="23.67"/>
    <col collapsed="false" customWidth="true" hidden="false" outlineLevel="0" max="2" min="2" style="1" width="27.76"/>
    <col collapsed="false" customWidth="true" hidden="false" outlineLevel="0" max="3" min="3" style="1" width="13.88"/>
    <col collapsed="false" customWidth="true" hidden="false" outlineLevel="0" max="5" min="5" style="1" width="18.79"/>
    <col collapsed="false" customWidth="true" hidden="false" outlineLevel="0" max="6" min="6" style="1" width="13.22"/>
  </cols>
  <sheetData>
    <row r="1" customFormat="false" ht="16.5" hidden="false" customHeight="true" outlineLevel="0" collapsed="false">
      <c r="A1" s="138" t="s">
        <v>855</v>
      </c>
      <c r="B1" s="138"/>
      <c r="C1" s="138"/>
      <c r="D1" s="138"/>
      <c r="E1" s="138"/>
      <c r="F1" s="138"/>
    </row>
    <row r="3" customFormat="false" ht="14.25" hidden="false" customHeight="true" outlineLevel="0" collapsed="false">
      <c r="A3" s="94" t="s">
        <v>856</v>
      </c>
      <c r="B3" s="94"/>
      <c r="C3" s="94"/>
      <c r="D3" s="94"/>
      <c r="E3" s="94"/>
      <c r="F3" s="94"/>
      <c r="G3" s="94"/>
    </row>
    <row r="5" customFormat="false" ht="135.75" hidden="false" customHeight="true" outlineLevel="0" collapsed="false">
      <c r="A5" s="110" t="s">
        <v>857</v>
      </c>
      <c r="B5" s="110"/>
      <c r="C5" s="110"/>
      <c r="D5" s="110"/>
      <c r="E5" s="110"/>
      <c r="F5" s="110"/>
      <c r="G5" s="110"/>
    </row>
    <row r="6" customFormat="false" ht="14.25" hidden="false" customHeight="true" outlineLevel="0" collapsed="false">
      <c r="A6" s="122"/>
      <c r="B6" s="122"/>
      <c r="C6" s="122"/>
      <c r="D6" s="122"/>
      <c r="E6" s="122"/>
      <c r="F6" s="122"/>
      <c r="G6" s="122"/>
    </row>
    <row r="9" customFormat="false" ht="14.25" hidden="false" customHeight="true" outlineLevel="0" collapsed="false">
      <c r="A9" s="95" t="s">
        <v>71</v>
      </c>
      <c r="B9" s="95" t="s">
        <v>770</v>
      </c>
      <c r="C9" s="95" t="s">
        <v>311</v>
      </c>
      <c r="D9" s="95" t="s">
        <v>440</v>
      </c>
      <c r="E9" s="95" t="s">
        <v>283</v>
      </c>
    </row>
    <row r="10" customFormat="false" ht="14.25" hidden="false" customHeight="true" outlineLevel="0" collapsed="false">
      <c r="A10" s="139" t="s">
        <v>858</v>
      </c>
      <c r="B10" s="139" t="s">
        <v>859</v>
      </c>
      <c r="C10" s="105" t="n">
        <f aca="false">IIBMA!$B209</f>
        <v>0.76</v>
      </c>
      <c r="D10" s="105" t="n">
        <f aca="false">IIBMA!B210</f>
        <v>0.68</v>
      </c>
      <c r="E10" s="105" t="n">
        <f aca="false">IIBMA!B211</f>
        <v>0.88</v>
      </c>
    </row>
    <row r="11" customFormat="false" ht="14.25" hidden="false" customHeight="true" outlineLevel="0" collapsed="false">
      <c r="A11" s="139" t="s">
        <v>34</v>
      </c>
      <c r="B11" s="139" t="s">
        <v>860</v>
      </c>
      <c r="C11" s="105" t="n">
        <f aca="false">IIBPeces!B57</f>
        <v>0.933333333333333</v>
      </c>
      <c r="D11" s="105" t="n">
        <f aca="false">IIBPeces!B58</f>
        <v>0.621428571428571</v>
      </c>
      <c r="E11" s="105" t="n">
        <f aca="false">IIBPeces!B59</f>
        <v>0.64484126984127</v>
      </c>
    </row>
    <row r="12" customFormat="false" ht="14.25" hidden="false" customHeight="true" outlineLevel="0" collapsed="false">
      <c r="A12" s="139" t="s">
        <v>32</v>
      </c>
      <c r="B12" s="139" t="s">
        <v>861</v>
      </c>
      <c r="C12" s="105" t="n">
        <f aca="false">IIBPef!B66</f>
        <v>0.53030303030303</v>
      </c>
      <c r="D12" s="105" t="n">
        <f aca="false">IIBPef!B67</f>
        <v>0.533939393939394</v>
      </c>
      <c r="E12" s="105" t="n">
        <f aca="false">IIBPef!B68</f>
        <v>0.603636363636364</v>
      </c>
    </row>
    <row r="13" customFormat="false" ht="14.25" hidden="false" customHeight="true" outlineLevel="0" collapsed="false">
      <c r="A13" s="139" t="s">
        <v>862</v>
      </c>
      <c r="B13" s="139" t="s">
        <v>863</v>
      </c>
      <c r="C13" s="105" t="n">
        <f aca="false">IIBVeg!C40</f>
        <v>0.577272727272727</v>
      </c>
      <c r="D13" s="105" t="n">
        <f aca="false">IIBVeg!C41</f>
        <v>0.372727272727273</v>
      </c>
      <c r="E13" s="105" t="n">
        <f aca="false">IIBVeg!C42</f>
        <v>0.772727272727273</v>
      </c>
    </row>
    <row r="16" customFormat="false" ht="14.25" hidden="false" customHeight="true" outlineLevel="0" collapsed="false">
      <c r="A16" s="94" t="s">
        <v>864</v>
      </c>
      <c r="B16" s="94"/>
      <c r="C16" s="94"/>
      <c r="D16" s="94"/>
      <c r="E16" s="94"/>
      <c r="F16" s="94"/>
      <c r="G16" s="94"/>
    </row>
    <row r="20" customFormat="false" ht="14.25" hidden="false" customHeight="true" outlineLevel="0" collapsed="false">
      <c r="A20" s="1" t="s">
        <v>865</v>
      </c>
    </row>
    <row r="22" customFormat="false" ht="27.75" hidden="false" customHeight="true" outlineLevel="0" collapsed="false">
      <c r="A22" s="13" t="s">
        <v>866</v>
      </c>
    </row>
    <row r="24" customFormat="false" ht="14.25" hidden="false" customHeight="true" outlineLevel="0" collapsed="false">
      <c r="A24" s="1" t="s">
        <v>867</v>
      </c>
      <c r="B24" s="1" t="n">
        <v>0.25</v>
      </c>
    </row>
    <row r="26" customFormat="false" ht="14.25" hidden="false" customHeight="true" outlineLevel="0" collapsed="false">
      <c r="A26" s="95" t="s">
        <v>370</v>
      </c>
      <c r="B26" s="95" t="s">
        <v>868</v>
      </c>
      <c r="C26" s="95" t="s">
        <v>757</v>
      </c>
      <c r="D26" s="95" t="s">
        <v>758</v>
      </c>
      <c r="E26" s="140" t="s">
        <v>869</v>
      </c>
      <c r="F26" s="95" t="s">
        <v>757</v>
      </c>
    </row>
    <row r="27" customFormat="false" ht="14.25" hidden="false" customHeight="true" outlineLevel="0" collapsed="false">
      <c r="A27" s="139" t="s">
        <v>311</v>
      </c>
      <c r="B27" s="141" t="n">
        <f aca="false">((C10*$B$24)+(C11*$B$24)+(C12*$B$24)+(C13*$B$24))/4</f>
        <v>0.175056818181818</v>
      </c>
      <c r="C27" s="105" t="str">
        <f aca="false">IF(B27&gt;0.8,"Alta",IF(B27&gt;=0.51,"Moderada",IF(B27&gt;=0.21,"Baja","Pobre")))</f>
        <v>Pobre</v>
      </c>
      <c r="D27" s="105"/>
      <c r="E27" s="63" t="n">
        <f aca="false">+SUM(C10:C13)/4</f>
        <v>0.700227272727273</v>
      </c>
      <c r="F27" s="1" t="str">
        <f aca="false">IF(E27&gt;0.8,"Alta",IF(E27&gt;=0.51,"Moderada",IF(E27&gt;=0.21,"Baja","Pobre")))</f>
        <v>Moderada</v>
      </c>
    </row>
    <row r="28" customFormat="false" ht="14.25" hidden="false" customHeight="true" outlineLevel="0" collapsed="false">
      <c r="A28" s="139" t="s">
        <v>440</v>
      </c>
      <c r="B28" s="141" t="n">
        <f aca="false">((D10*$B$24)+(D11*$B$24)+(D12*$B$24)+(D13*$B$24))/4</f>
        <v>0.138005952380952</v>
      </c>
      <c r="C28" s="105" t="str">
        <f aca="false">IF(B28&gt;0.8,"Alta",IF(B28&gt;=0.51,"Moderada",IF(B28&gt;=0.21,"Baja","Pobre")))</f>
        <v>Pobre</v>
      </c>
      <c r="D28" s="105"/>
      <c r="E28" s="63" t="n">
        <f aca="false">+SUM(D10:D13)/4</f>
        <v>0.55202380952381</v>
      </c>
      <c r="F28" s="1" t="str">
        <f aca="false">IF(E28&gt;0.8,"Alta",IF(E28&gt;=0.51,"Moderada",IF(E28&gt;=0.21,"Baja","Pobre")))</f>
        <v>Moderada</v>
      </c>
    </row>
    <row r="29" customFormat="false" ht="14.25" hidden="false" customHeight="true" outlineLevel="0" collapsed="false">
      <c r="A29" s="139" t="s">
        <v>283</v>
      </c>
      <c r="B29" s="141" t="n">
        <f aca="false">((E10*$B$24)+(E11*$B$24)+(E12*$B$24)+(E13*$B$24))/4</f>
        <v>0.181325306637807</v>
      </c>
      <c r="C29" s="105" t="str">
        <f aca="false">IF(B29&gt;0.8,"Alta",IF(B29&gt;=0.51,"Moderada",IF(B29&gt;=0.21,"Baja","Pobre")))</f>
        <v>Pobre</v>
      </c>
      <c r="D29" s="105"/>
      <c r="E29" s="63" t="n">
        <f aca="false">+SUM(E10:E13)/4</f>
        <v>0.725301226551226</v>
      </c>
      <c r="F29" s="1" t="str">
        <f aca="false">IF(E29&gt;0.8,"Alta",IF(E29&gt;=0.51,"Moderada",IF(E29&gt;=0.21,"Baja","Pobre")))</f>
        <v>Moderada</v>
      </c>
    </row>
  </sheetData>
  <mergeCells count="4">
    <mergeCell ref="A1:F1"/>
    <mergeCell ref="A3:G3"/>
    <mergeCell ref="A5:G5"/>
    <mergeCell ref="A16:G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2017-04-18T00:26:04Z</dcterms:created>
  <dc:creator>Javier</dc:creator>
  <dc:description/>
  <dc:language>en-US</dc:language>
  <cp:lastModifiedBy>FANNY CECILIA MOLINA MARTINEZ</cp:lastModifiedBy>
  <dcterms:modified xsi:type="dcterms:W3CDTF">2026-10-19T01:42:25Z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