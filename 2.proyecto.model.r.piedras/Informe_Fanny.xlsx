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Javier Rodriguez\Documents\GitHub\Proyectos\2.proyecto.model.r.piedras\"/>
    </mc:Choice>
  </mc:AlternateContent>
  <xr:revisionPtr revIDLastSave="0" documentId="13_ncr:1_{7EAF3441-F6A6-45AF-AE78-96A529A4CE11}" xr6:coauthVersionLast="47" xr6:coauthVersionMax="47" xr10:uidLastSave="{00000000-0000-0000-0000-000000000000}"/>
  <bookViews>
    <workbookView xWindow="-120" yWindow="-120" windowWidth="29040" windowHeight="15720" tabRatio="859" activeTab="3" xr2:uid="{00000000-000D-0000-FFFF-FFFF00000000}"/>
  </bookViews>
  <sheets>
    <sheet name="Coordenadas " sheetId="17" r:id="rId1"/>
    <sheet name="Diccionario" sheetId="27" r:id="rId2"/>
    <sheet name="Macroinv." sheetId="1" r:id="rId3"/>
    <sheet name="Perifiton" sheetId="25" r:id="rId4"/>
    <sheet name="Peces" sheetId="13" r:id="rId5"/>
    <sheet name="Vegetacion" sheetId="10" r:id="rId6"/>
    <sheet name="Fisicoquímicos" sheetId="7" r:id="rId7"/>
    <sheet name="Chl-a" sheetId="26" r:id="rId8"/>
    <sheet name="IIBPeces" sheetId="28" r:id="rId9"/>
    <sheet name="IIBMA" sheetId="16" r:id="rId10"/>
    <sheet name="IIBPef" sheetId="22" r:id="rId11"/>
    <sheet name="IIBVeg" sheetId="29" r:id="rId12"/>
  </sheets>
  <definedNames>
    <definedName name="_xlnm._FilterDatabase" localSheetId="9" hidden="1">IIBMA!$A$35:$G$78</definedName>
    <definedName name="_xlnm._FilterDatabase" localSheetId="2" hidden="1">Macroinv.!$A$6:$N$628</definedName>
    <definedName name="_xlnm._FilterDatabase" localSheetId="4" hidden="1">Peces!$A$2:$O$20</definedName>
    <definedName name="_xlnm._FilterDatabase" localSheetId="3" hidden="1">Perifiton!$A$4:$M$64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8" i="16" l="1"/>
  <c r="C71" i="28"/>
  <c r="D71" i="28"/>
  <c r="B71" i="28"/>
  <c r="C10" i="28"/>
  <c r="E19" i="28"/>
  <c r="C19" i="28"/>
  <c r="E18" i="28"/>
  <c r="D18" i="28"/>
  <c r="C18" i="28"/>
  <c r="C15" i="28"/>
  <c r="C14" i="28"/>
  <c r="E11" i="28"/>
  <c r="D11" i="28"/>
  <c r="C11" i="28"/>
  <c r="E10" i="28"/>
  <c r="D10" i="28"/>
  <c r="E9" i="28"/>
  <c r="D9" i="28"/>
  <c r="C9" i="28"/>
  <c r="D31" i="7"/>
  <c r="D30" i="7"/>
  <c r="D29" i="7"/>
  <c r="D28" i="7"/>
  <c r="D24" i="7"/>
  <c r="D23" i="7"/>
  <c r="D22" i="7"/>
  <c r="C32" i="7"/>
  <c r="C31" i="7"/>
  <c r="C30" i="7"/>
  <c r="C29" i="7"/>
  <c r="C28" i="7"/>
  <c r="C24" i="7"/>
  <c r="C23" i="7"/>
  <c r="C22" i="7"/>
  <c r="B32" i="7"/>
  <c r="B31" i="7"/>
  <c r="B30" i="7"/>
  <c r="B29" i="7"/>
  <c r="B28" i="7"/>
  <c r="B24" i="7"/>
  <c r="B23" i="7"/>
  <c r="B22" i="7"/>
  <c r="O32" i="7"/>
  <c r="O31" i="7"/>
  <c r="O30" i="7"/>
  <c r="O29" i="7"/>
  <c r="O28" i="7"/>
  <c r="O24" i="7"/>
  <c r="O23" i="7"/>
  <c r="O22" i="7"/>
  <c r="N32" i="7"/>
  <c r="N31" i="7"/>
  <c r="N30" i="7"/>
  <c r="N29" i="7"/>
  <c r="N28" i="7"/>
  <c r="N24" i="7"/>
  <c r="N23" i="7"/>
  <c r="N22" i="7"/>
  <c r="M32" i="7"/>
  <c r="M31" i="7"/>
  <c r="M30" i="7"/>
  <c r="M29" i="7"/>
  <c r="M28" i="7"/>
  <c r="M24" i="7"/>
  <c r="M23" i="7"/>
  <c r="M22" i="7"/>
  <c r="L32" i="7"/>
  <c r="L31" i="7"/>
  <c r="L30" i="7"/>
  <c r="L29" i="7"/>
  <c r="L28" i="7"/>
  <c r="L24" i="7"/>
  <c r="L23" i="7"/>
  <c r="L22" i="7"/>
  <c r="K32" i="7"/>
  <c r="K31" i="7"/>
  <c r="K30" i="7"/>
  <c r="K29" i="7"/>
  <c r="K28" i="7"/>
  <c r="K24" i="7"/>
  <c r="K23" i="7"/>
  <c r="K22" i="7"/>
  <c r="J32" i="7"/>
  <c r="J31" i="7"/>
  <c r="J30" i="7"/>
  <c r="J29" i="7"/>
  <c r="J28" i="7"/>
  <c r="J24" i="7"/>
  <c r="J23" i="7"/>
  <c r="J22" i="7"/>
  <c r="I32" i="7"/>
  <c r="I31" i="7"/>
  <c r="I30" i="7"/>
  <c r="I29" i="7"/>
  <c r="I28" i="7"/>
  <c r="I24" i="7"/>
  <c r="I23" i="7"/>
  <c r="I22" i="7"/>
  <c r="H32" i="7"/>
  <c r="H31" i="7"/>
  <c r="H30" i="7"/>
  <c r="H29" i="7"/>
  <c r="H28" i="7"/>
  <c r="H24" i="7"/>
  <c r="H23" i="7"/>
  <c r="H22" i="7"/>
  <c r="G32" i="7"/>
  <c r="G31" i="7"/>
  <c r="G30" i="7"/>
  <c r="G29" i="7"/>
  <c r="G24" i="7"/>
  <c r="G23" i="7"/>
  <c r="G22" i="7"/>
  <c r="F24" i="7"/>
  <c r="F23" i="7"/>
  <c r="F22" i="7"/>
  <c r="F32" i="7"/>
  <c r="F31" i="7"/>
  <c r="F30" i="7"/>
  <c r="F29" i="7"/>
  <c r="G28" i="7"/>
  <c r="F28" i="7"/>
  <c r="E32" i="7"/>
  <c r="E31" i="7"/>
  <c r="E30" i="7"/>
  <c r="E29" i="7"/>
  <c r="E28" i="7"/>
  <c r="E24" i="7"/>
  <c r="E23" i="7"/>
  <c r="E22" i="7"/>
  <c r="J27" i="10"/>
  <c r="I43" i="10" s="1"/>
  <c r="K27" i="10"/>
  <c r="I44" i="10" s="1"/>
  <c r="I18" i="10"/>
  <c r="I19" i="10"/>
  <c r="I20" i="10"/>
  <c r="I21" i="10"/>
  <c r="I22" i="10"/>
  <c r="I23" i="10"/>
  <c r="I24" i="10"/>
  <c r="I25" i="10"/>
  <c r="I26" i="10"/>
  <c r="I17" i="10"/>
  <c r="P7" i="1"/>
  <c r="L550" i="1" s="1"/>
  <c r="D79" i="22"/>
  <c r="C79" i="22"/>
  <c r="B79" i="22"/>
  <c r="R4" i="26"/>
  <c r="R49" i="26"/>
  <c r="R40" i="26"/>
  <c r="R28" i="26"/>
  <c r="R16" i="26"/>
  <c r="C69" i="22"/>
  <c r="D69" i="22"/>
  <c r="B69" i="22"/>
  <c r="C84" i="16"/>
  <c r="S78" i="16"/>
  <c r="V78" i="16"/>
  <c r="T78" i="16"/>
  <c r="U78" i="16"/>
  <c r="D88" i="16"/>
  <c r="E88" i="16"/>
  <c r="C88" i="16"/>
  <c r="E87" i="16"/>
  <c r="D87" i="16"/>
  <c r="D94" i="16"/>
  <c r="C87" i="16"/>
  <c r="C94" i="16"/>
  <c r="E86" i="16"/>
  <c r="D86" i="16"/>
  <c r="C86" i="16"/>
  <c r="E85" i="16"/>
  <c r="F114" i="16"/>
  <c r="D85" i="16"/>
  <c r="E114" i="16"/>
  <c r="C85" i="16"/>
  <c r="D114" i="16"/>
  <c r="D84" i="16"/>
  <c r="E84" i="16"/>
  <c r="E94" i="16"/>
  <c r="F78" i="16"/>
  <c r="D78" i="16"/>
  <c r="E78" i="16"/>
  <c r="N76" i="16"/>
  <c r="N77" i="16"/>
  <c r="N78" i="16"/>
  <c r="N79" i="16"/>
  <c r="N80" i="16"/>
  <c r="N81" i="16"/>
  <c r="N82" i="16"/>
  <c r="N83" i="16"/>
  <c r="N84" i="16"/>
  <c r="N85" i="16"/>
  <c r="N86" i="16"/>
  <c r="N87" i="16"/>
  <c r="N88" i="16"/>
  <c r="N89" i="16"/>
  <c r="N90" i="16"/>
  <c r="N91" i="16"/>
  <c r="N92" i="16"/>
  <c r="N93" i="16"/>
  <c r="N94" i="16"/>
  <c r="N95" i="16"/>
  <c r="N96" i="16"/>
  <c r="N97" i="16"/>
  <c r="N98" i="16"/>
  <c r="N99" i="16"/>
  <c r="M99" i="16"/>
  <c r="L99" i="16"/>
  <c r="K99" i="16"/>
  <c r="N38" i="16"/>
  <c r="N39" i="16"/>
  <c r="N40" i="16"/>
  <c r="N41" i="16"/>
  <c r="N42" i="16"/>
  <c r="N43" i="16"/>
  <c r="N44" i="16"/>
  <c r="N45" i="16"/>
  <c r="N46" i="16"/>
  <c r="N47" i="16"/>
  <c r="N48" i="16"/>
  <c r="N49" i="16"/>
  <c r="N50" i="16"/>
  <c r="N51" i="16"/>
  <c r="N52" i="16"/>
  <c r="N53" i="16"/>
  <c r="N54" i="16"/>
  <c r="N55" i="16"/>
  <c r="N56" i="16"/>
  <c r="N57" i="16"/>
  <c r="N58" i="16"/>
  <c r="N59" i="16"/>
  <c r="N60" i="16"/>
  <c r="N61" i="16"/>
  <c r="N62" i="16"/>
  <c r="N63" i="16"/>
  <c r="N64" i="16"/>
  <c r="N65" i="16"/>
  <c r="N66" i="16"/>
  <c r="N67" i="16"/>
  <c r="N68" i="16"/>
  <c r="N69" i="16"/>
  <c r="N70" i="16"/>
  <c r="N71" i="16"/>
  <c r="N72" i="16"/>
  <c r="N73" i="16"/>
  <c r="N74" i="16"/>
  <c r="N37" i="16"/>
  <c r="F38" i="16"/>
  <c r="F39" i="16"/>
  <c r="F40" i="16"/>
  <c r="F41" i="16"/>
  <c r="F42" i="16"/>
  <c r="F43" i="16"/>
  <c r="F44" i="16"/>
  <c r="F45" i="16"/>
  <c r="F46" i="16"/>
  <c r="F47" i="16"/>
  <c r="F48" i="16"/>
  <c r="F49" i="16"/>
  <c r="F50" i="16"/>
  <c r="F51" i="16"/>
  <c r="F52" i="16"/>
  <c r="F53" i="16"/>
  <c r="F54" i="16"/>
  <c r="F55" i="16"/>
  <c r="F56" i="16"/>
  <c r="F57" i="16"/>
  <c r="F58" i="16"/>
  <c r="F59" i="16"/>
  <c r="F60" i="16"/>
  <c r="F61" i="16"/>
  <c r="F62" i="16"/>
  <c r="F63" i="16"/>
  <c r="F64" i="16"/>
  <c r="F65" i="16"/>
  <c r="F66" i="16"/>
  <c r="F67" i="16"/>
  <c r="F68" i="16"/>
  <c r="F69" i="16"/>
  <c r="F70" i="16"/>
  <c r="F71" i="16"/>
  <c r="F72" i="16"/>
  <c r="F73" i="16"/>
  <c r="F74" i="16"/>
  <c r="F75" i="16"/>
  <c r="F76" i="16"/>
  <c r="F77" i="16"/>
  <c r="F37" i="16"/>
  <c r="N75" i="16"/>
  <c r="C21" i="10"/>
  <c r="D21" i="10"/>
  <c r="E21" i="10"/>
  <c r="B21" i="10"/>
  <c r="K343" i="1"/>
  <c r="K229" i="1"/>
  <c r="K219" i="1"/>
  <c r="C90" i="16"/>
  <c r="C93" i="16"/>
  <c r="C92" i="16"/>
  <c r="D113" i="16"/>
  <c r="C91" i="16"/>
  <c r="C89" i="16"/>
  <c r="F113" i="16"/>
  <c r="E113" i="16"/>
  <c r="E92" i="16"/>
  <c r="E90" i="16"/>
  <c r="E91" i="16"/>
  <c r="D93" i="16"/>
  <c r="D92" i="16"/>
  <c r="D90" i="16"/>
  <c r="D91" i="16"/>
  <c r="E89" i="16"/>
  <c r="D89" i="16"/>
  <c r="E93" i="16"/>
  <c r="C95" i="16"/>
  <c r="E95" i="16"/>
  <c r="D95" i="16"/>
  <c r="I27" i="10" l="1"/>
  <c r="I42" i="10" s="1"/>
  <c r="L458" i="1"/>
  <c r="L390" i="1"/>
  <c r="L524" i="1"/>
  <c r="L531" i="1"/>
  <c r="L389" i="1"/>
  <c r="L163" i="1"/>
  <c r="L450" i="1"/>
  <c r="L211" i="1"/>
  <c r="L243" i="1"/>
  <c r="L71" i="1"/>
  <c r="L135" i="1"/>
  <c r="L465" i="1"/>
  <c r="L457" i="1"/>
  <c r="L542" i="1"/>
  <c r="L291" i="1"/>
  <c r="L430" i="1"/>
  <c r="L501" i="1"/>
  <c r="L51" i="1"/>
  <c r="L283" i="1"/>
  <c r="L414" i="1"/>
  <c r="L460" i="1"/>
  <c r="L476" i="1"/>
  <c r="L195" i="1"/>
  <c r="L84" i="1"/>
  <c r="L76" i="1"/>
  <c r="L481" i="1"/>
  <c r="L473" i="1"/>
  <c r="L533" i="1"/>
  <c r="L358" i="1"/>
  <c r="L406" i="1"/>
  <c r="L398" i="1"/>
  <c r="L547" i="1"/>
  <c r="L581" i="1"/>
  <c r="L477" i="1"/>
  <c r="L425" i="1"/>
  <c r="L563" i="1"/>
  <c r="L613" i="1"/>
  <c r="L509" i="1"/>
  <c r="L106" i="1"/>
  <c r="L579" i="1"/>
  <c r="L552" i="1"/>
  <c r="L96" i="1"/>
  <c r="L66" i="1"/>
  <c r="L246" i="1"/>
  <c r="L584" i="1"/>
  <c r="L77" i="1"/>
  <c r="L58" i="1"/>
  <c r="L262" i="1"/>
  <c r="L395" i="1"/>
  <c r="L616" i="1"/>
  <c r="L13" i="1"/>
  <c r="L50" i="1"/>
  <c r="L278" i="1"/>
  <c r="L626" i="1"/>
  <c r="L535" i="1"/>
  <c r="L99" i="1"/>
  <c r="L480" i="1"/>
  <c r="L618" i="1"/>
  <c r="L527" i="1"/>
  <c r="L131" i="1"/>
  <c r="L35" i="1"/>
  <c r="L466" i="1"/>
  <c r="L519" i="1"/>
  <c r="L144" i="1"/>
  <c r="L174" i="1"/>
  <c r="L277" i="1"/>
  <c r="L260" i="1"/>
  <c r="L368" i="1"/>
  <c r="L281" i="1"/>
  <c r="L294" i="1"/>
  <c r="L539" i="1"/>
  <c r="L442" i="1"/>
  <c r="L471" i="1"/>
  <c r="L305" i="1"/>
  <c r="L14" i="1"/>
  <c r="L377" i="1"/>
  <c r="L119" i="1"/>
  <c r="L285" i="1"/>
  <c r="L399" i="1"/>
  <c r="L176" i="1"/>
  <c r="L190" i="1"/>
  <c r="L269" i="1"/>
  <c r="L416" i="1"/>
  <c r="L209" i="1"/>
  <c r="L310" i="1"/>
  <c r="L331" i="1"/>
  <c r="L208" i="1"/>
  <c r="L325" i="1"/>
  <c r="L261" i="1"/>
  <c r="L212" i="1"/>
  <c r="L7" i="1"/>
  <c r="L177" i="1"/>
  <c r="L252" i="1"/>
  <c r="L343" i="1"/>
  <c r="L24" i="1"/>
  <c r="L240" i="1"/>
  <c r="L411" i="1"/>
  <c r="L149" i="1"/>
  <c r="L204" i="1"/>
  <c r="L362" i="1"/>
  <c r="L169" i="1"/>
  <c r="L30" i="1"/>
  <c r="L369" i="1"/>
  <c r="L517" i="1"/>
  <c r="L43" i="1"/>
  <c r="L469" i="1"/>
  <c r="L272" i="1"/>
  <c r="L428" i="1"/>
  <c r="L93" i="1"/>
  <c r="L196" i="1"/>
  <c r="L234" i="1"/>
  <c r="L145" i="1"/>
  <c r="L87" i="1"/>
  <c r="L27" i="1"/>
  <c r="L128" i="1"/>
  <c r="L385" i="1"/>
  <c r="L103" i="1"/>
  <c r="L59" i="1"/>
  <c r="L256" i="1"/>
  <c r="L370" i="1"/>
  <c r="L407" i="1"/>
  <c r="L319" i="1"/>
  <c r="L91" i="1"/>
  <c r="L268" i="1"/>
  <c r="L421" i="1"/>
  <c r="L199" i="1"/>
  <c r="L373" i="1"/>
  <c r="L75" i="1"/>
  <c r="L485" i="1"/>
  <c r="L303" i="1"/>
  <c r="L444" i="1"/>
  <c r="L85" i="1"/>
  <c r="L188" i="1"/>
  <c r="L130" i="1"/>
  <c r="L65" i="1"/>
  <c r="L396" i="1"/>
  <c r="L600" i="1"/>
  <c r="L215" i="1"/>
  <c r="L64" i="1"/>
  <c r="L555" i="1"/>
  <c r="L48" i="1"/>
  <c r="L610" i="1"/>
  <c r="L68" i="1"/>
  <c r="L122" i="1"/>
  <c r="L161" i="1"/>
  <c r="L515" i="1"/>
  <c r="L11" i="1"/>
  <c r="L231" i="1"/>
  <c r="L112" i="1"/>
  <c r="L571" i="1"/>
  <c r="L80" i="1"/>
  <c r="L602" i="1"/>
  <c r="L60" i="1"/>
  <c r="L114" i="1"/>
  <c r="L153" i="1"/>
  <c r="L49" i="1"/>
  <c r="L511" i="1"/>
  <c r="L57" i="1"/>
  <c r="L214" i="1"/>
  <c r="L107" i="1"/>
  <c r="L247" i="1"/>
  <c r="L15" i="1"/>
  <c r="L255" i="1"/>
  <c r="L492" i="1"/>
  <c r="L165" i="1"/>
  <c r="L402" i="1"/>
  <c r="L20" i="1"/>
  <c r="L266" i="1"/>
  <c r="L503" i="1"/>
  <c r="L230" i="1"/>
  <c r="L624" i="1"/>
  <c r="L320" i="1"/>
  <c r="L525" i="1"/>
  <c r="L326" i="1"/>
  <c r="L508" i="1"/>
  <c r="L157" i="1"/>
  <c r="L394" i="1"/>
  <c r="L12" i="1"/>
  <c r="L258" i="1"/>
  <c r="L495" i="1"/>
  <c r="L17" i="1"/>
  <c r="L386" i="1"/>
  <c r="L625" i="1"/>
  <c r="L250" i="1"/>
  <c r="L487" i="1"/>
  <c r="L598" i="1"/>
  <c r="L540" i="1"/>
  <c r="L101" i="1"/>
  <c r="L378" i="1"/>
  <c r="L617" i="1"/>
  <c r="L242" i="1"/>
  <c r="L479" i="1"/>
  <c r="L582" i="1"/>
  <c r="L595" i="1"/>
  <c r="L488" i="1"/>
  <c r="L436" i="1"/>
  <c r="L72" i="1"/>
  <c r="L123" i="1"/>
  <c r="L576" i="1"/>
  <c r="L46" i="1"/>
  <c r="L556" i="1"/>
  <c r="L253" i="1"/>
  <c r="L594" i="1"/>
  <c r="L244" i="1"/>
  <c r="L585" i="1"/>
  <c r="L298" i="1"/>
  <c r="L42" i="1"/>
  <c r="L273" i="1"/>
  <c r="L574" i="1"/>
  <c r="L611" i="1"/>
  <c r="L504" i="1"/>
  <c r="L500" i="1"/>
  <c r="L380" i="1"/>
  <c r="L155" i="1"/>
  <c r="L592" i="1"/>
  <c r="L62" i="1"/>
  <c r="L271" i="1"/>
  <c r="L245" i="1"/>
  <c r="L586" i="1"/>
  <c r="L236" i="1"/>
  <c r="L577" i="1"/>
  <c r="L290" i="1"/>
  <c r="L34" i="1"/>
  <c r="L233" i="1"/>
  <c r="L566" i="1"/>
  <c r="L627" i="1"/>
  <c r="L536" i="1"/>
  <c r="L516" i="1"/>
  <c r="L437" i="1"/>
  <c r="L334" i="1"/>
  <c r="L608" i="1"/>
  <c r="L78" i="1"/>
  <c r="L302" i="1"/>
  <c r="L237" i="1"/>
  <c r="L506" i="1"/>
  <c r="L228" i="1"/>
  <c r="L569" i="1"/>
  <c r="L282" i="1"/>
  <c r="L26" i="1"/>
  <c r="L225" i="1"/>
  <c r="L558" i="1"/>
  <c r="L166" i="1"/>
  <c r="L568" i="1"/>
  <c r="L532" i="1"/>
  <c r="L453" i="1"/>
  <c r="L344" i="1"/>
  <c r="L19" i="1"/>
  <c r="L158" i="1"/>
  <c r="L336" i="1"/>
  <c r="L205" i="1"/>
  <c r="L474" i="1"/>
  <c r="L220" i="1"/>
  <c r="L489" i="1"/>
  <c r="L274" i="1"/>
  <c r="L18" i="1"/>
  <c r="L217" i="1"/>
  <c r="L412" i="1"/>
  <c r="L478" i="1"/>
  <c r="L606" i="1"/>
  <c r="L113" i="1"/>
  <c r="L241" i="1"/>
  <c r="L439" i="1"/>
  <c r="L567" i="1"/>
  <c r="L74" i="1"/>
  <c r="L202" i="1"/>
  <c r="L330" i="1"/>
  <c r="L393" i="1"/>
  <c r="L521" i="1"/>
  <c r="L28" i="1"/>
  <c r="L156" i="1"/>
  <c r="L284" i="1"/>
  <c r="L410" i="1"/>
  <c r="L538" i="1"/>
  <c r="L45" i="1"/>
  <c r="L173" i="1"/>
  <c r="L301" i="1"/>
  <c r="L16" i="1"/>
  <c r="L63" i="1"/>
  <c r="L388" i="1"/>
  <c r="L142" i="1"/>
  <c r="L507" i="1"/>
  <c r="L147" i="1"/>
  <c r="L464" i="1"/>
  <c r="L32" i="1"/>
  <c r="L297" i="1"/>
  <c r="L321" i="1"/>
  <c r="L461" i="1"/>
  <c r="L307" i="1"/>
  <c r="L55" i="1"/>
  <c r="L420" i="1"/>
  <c r="L323" i="1"/>
  <c r="L456" i="1"/>
  <c r="L361" i="1"/>
  <c r="L134" i="1"/>
  <c r="L499" i="1"/>
  <c r="L491" i="1"/>
  <c r="L280" i="1"/>
  <c r="L295" i="1"/>
  <c r="L39" i="1"/>
  <c r="L397" i="1"/>
  <c r="L311" i="1"/>
  <c r="L351" i="1"/>
  <c r="L118" i="1"/>
  <c r="L483" i="1"/>
  <c r="L318" i="1"/>
  <c r="L129" i="1"/>
  <c r="L257" i="1"/>
  <c r="L583" i="1"/>
  <c r="L409" i="1"/>
  <c r="L172" i="1"/>
  <c r="L554" i="1"/>
  <c r="L189" i="1"/>
  <c r="L573" i="1"/>
  <c r="L345" i="1"/>
  <c r="L475" i="1"/>
  <c r="L83" i="1"/>
  <c r="L589" i="1"/>
  <c r="L232" i="1"/>
  <c r="L296" i="1"/>
  <c r="L23" i="1"/>
  <c r="L379" i="1"/>
  <c r="L424" i="1"/>
  <c r="L102" i="1"/>
  <c r="L328" i="1"/>
  <c r="L374" i="1"/>
  <c r="L9" i="1"/>
  <c r="L137" i="1"/>
  <c r="L463" i="1"/>
  <c r="L98" i="1"/>
  <c r="L354" i="1"/>
  <c r="L545" i="1"/>
  <c r="L180" i="1"/>
  <c r="L434" i="1"/>
  <c r="L69" i="1"/>
  <c r="L371" i="1"/>
  <c r="L604" i="1"/>
  <c r="L335" i="1"/>
  <c r="L94" i="1"/>
  <c r="L67" i="1"/>
  <c r="L413" i="1"/>
  <c r="L187" i="1"/>
  <c r="L304" i="1"/>
  <c r="L365" i="1"/>
  <c r="L486" i="1"/>
  <c r="L614" i="1"/>
  <c r="L121" i="1"/>
  <c r="L249" i="1"/>
  <c r="L447" i="1"/>
  <c r="L575" i="1"/>
  <c r="L82" i="1"/>
  <c r="L210" i="1"/>
  <c r="L338" i="1"/>
  <c r="L401" i="1"/>
  <c r="L529" i="1"/>
  <c r="L36" i="1"/>
  <c r="L164" i="1"/>
  <c r="L292" i="1"/>
  <c r="L418" i="1"/>
  <c r="L546" i="1"/>
  <c r="L53" i="1"/>
  <c r="L181" i="1"/>
  <c r="L309" i="1"/>
  <c r="L605" i="1"/>
  <c r="L47" i="1"/>
  <c r="L357" i="1"/>
  <c r="L126" i="1"/>
  <c r="L115" i="1"/>
  <c r="L448" i="1"/>
  <c r="L621" i="1"/>
  <c r="L251" i="1"/>
  <c r="L333" i="1"/>
  <c r="L440" i="1"/>
  <c r="L366" i="1"/>
  <c r="L494" i="1"/>
  <c r="L622" i="1"/>
  <c r="L455" i="1"/>
  <c r="L90" i="1"/>
  <c r="L218" i="1"/>
  <c r="L346" i="1"/>
  <c r="L537" i="1"/>
  <c r="L44" i="1"/>
  <c r="L300" i="1"/>
  <c r="L426" i="1"/>
  <c r="L61" i="1"/>
  <c r="L317" i="1"/>
  <c r="L620" i="1"/>
  <c r="L110" i="1"/>
  <c r="L432" i="1"/>
  <c r="L219" i="1"/>
  <c r="L279" i="1"/>
  <c r="L267" i="1"/>
  <c r="L341" i="1"/>
  <c r="L467" i="1"/>
  <c r="L502" i="1"/>
  <c r="L265" i="1"/>
  <c r="L591" i="1"/>
  <c r="L226" i="1"/>
  <c r="L417" i="1"/>
  <c r="L52" i="1"/>
  <c r="L308" i="1"/>
  <c r="L562" i="1"/>
  <c r="L197" i="1"/>
  <c r="L541" i="1"/>
  <c r="L459" i="1"/>
  <c r="L557" i="1"/>
  <c r="L248" i="1"/>
  <c r="L263" i="1"/>
  <c r="L628" i="1"/>
  <c r="L275" i="1"/>
  <c r="L235" i="1"/>
  <c r="L381" i="1"/>
  <c r="L329" i="1"/>
  <c r="L86" i="1"/>
  <c r="L451" i="1"/>
  <c r="L339" i="1"/>
  <c r="L382" i="1"/>
  <c r="L510" i="1"/>
  <c r="L350" i="1"/>
  <c r="L422" i="1"/>
  <c r="L590" i="1"/>
  <c r="L446" i="1"/>
  <c r="L25" i="1"/>
  <c r="L185" i="1"/>
  <c r="L415" i="1"/>
  <c r="L607" i="1"/>
  <c r="L146" i="1"/>
  <c r="L306" i="1"/>
  <c r="L433" i="1"/>
  <c r="L593" i="1"/>
  <c r="L132" i="1"/>
  <c r="L324" i="1"/>
  <c r="L482" i="1"/>
  <c r="L21" i="1"/>
  <c r="L213" i="1"/>
  <c r="L224" i="1"/>
  <c r="L127" i="1"/>
  <c r="L312" i="1"/>
  <c r="L619" i="1"/>
  <c r="L259" i="1"/>
  <c r="L359" i="1"/>
  <c r="L313" i="1"/>
  <c r="L472" i="1"/>
  <c r="L184" i="1"/>
  <c r="L183" i="1"/>
  <c r="L484" i="1"/>
  <c r="L203" i="1"/>
  <c r="L168" i="1"/>
  <c r="L198" i="1"/>
  <c r="L435" i="1"/>
  <c r="L454" i="1"/>
  <c r="L33" i="1"/>
  <c r="L193" i="1"/>
  <c r="L423" i="1"/>
  <c r="L615" i="1"/>
  <c r="L154" i="1"/>
  <c r="L314" i="1"/>
  <c r="L441" i="1"/>
  <c r="L601" i="1"/>
  <c r="L140" i="1"/>
  <c r="L332" i="1"/>
  <c r="L490" i="1"/>
  <c r="L29" i="1"/>
  <c r="L221" i="1"/>
  <c r="L192" i="1"/>
  <c r="L95" i="1"/>
  <c r="L299" i="1"/>
  <c r="L603" i="1"/>
  <c r="L227" i="1"/>
  <c r="L349" i="1"/>
  <c r="L287" i="1"/>
  <c r="L404" i="1"/>
  <c r="L152" i="1"/>
  <c r="L167" i="1"/>
  <c r="L468" i="1"/>
  <c r="L171" i="1"/>
  <c r="L104" i="1"/>
  <c r="L182" i="1"/>
  <c r="L419" i="1"/>
  <c r="L462" i="1"/>
  <c r="L41" i="1"/>
  <c r="L201" i="1"/>
  <c r="L431" i="1"/>
  <c r="L623" i="1"/>
  <c r="L162" i="1"/>
  <c r="L322" i="1"/>
  <c r="L449" i="1"/>
  <c r="L609" i="1"/>
  <c r="L148" i="1"/>
  <c r="L340" i="1"/>
  <c r="L498" i="1"/>
  <c r="L37" i="1"/>
  <c r="L229" i="1"/>
  <c r="L160" i="1"/>
  <c r="L79" i="1"/>
  <c r="L286" i="1"/>
  <c r="L587" i="1"/>
  <c r="L179" i="1"/>
  <c r="L327" i="1"/>
  <c r="L223" i="1"/>
  <c r="L353" i="1"/>
  <c r="L120" i="1"/>
  <c r="L151" i="1"/>
  <c r="L452" i="1"/>
  <c r="L139" i="1"/>
  <c r="L56" i="1"/>
  <c r="L22" i="1"/>
  <c r="L549" i="1"/>
  <c r="L355" i="1"/>
  <c r="L548" i="1"/>
  <c r="L342" i="1"/>
  <c r="L40" i="1"/>
  <c r="L159" i="1"/>
  <c r="L496" i="1"/>
  <c r="L387" i="1"/>
  <c r="L206" i="1"/>
  <c r="L572" i="1"/>
  <c r="L288" i="1"/>
  <c r="L141" i="1"/>
  <c r="L578" i="1"/>
  <c r="L364" i="1"/>
  <c r="L124" i="1"/>
  <c r="L561" i="1"/>
  <c r="L408" i="1"/>
  <c r="L194" i="1"/>
  <c r="L10" i="1"/>
  <c r="L391" i="1"/>
  <c r="L105" i="1"/>
  <c r="L534" i="1"/>
  <c r="L38" i="1"/>
  <c r="L597" i="1"/>
  <c r="L31" i="1"/>
  <c r="L564" i="1"/>
  <c r="L352" i="1"/>
  <c r="L88" i="1"/>
  <c r="L347" i="1"/>
  <c r="L512" i="1"/>
  <c r="L405" i="1"/>
  <c r="L222" i="1"/>
  <c r="L588" i="1"/>
  <c r="L315" i="1"/>
  <c r="L133" i="1"/>
  <c r="L570" i="1"/>
  <c r="L356" i="1"/>
  <c r="L116" i="1"/>
  <c r="L553" i="1"/>
  <c r="L400" i="1"/>
  <c r="L186" i="1"/>
  <c r="L599" i="1"/>
  <c r="L383" i="1"/>
  <c r="L97" i="1"/>
  <c r="L526" i="1"/>
  <c r="L54" i="1"/>
  <c r="L8" i="1"/>
  <c r="L111" i="1"/>
  <c r="L580" i="1"/>
  <c r="L363" i="1"/>
  <c r="L136" i="1"/>
  <c r="L429" i="1"/>
  <c r="L528" i="1"/>
  <c r="L427" i="1"/>
  <c r="L238" i="1"/>
  <c r="L175" i="1"/>
  <c r="L337" i="1"/>
  <c r="L125" i="1"/>
  <c r="L530" i="1"/>
  <c r="L348" i="1"/>
  <c r="L108" i="1"/>
  <c r="L513" i="1"/>
  <c r="L392" i="1"/>
  <c r="L178" i="1"/>
  <c r="L559" i="1"/>
  <c r="L375" i="1"/>
  <c r="L89" i="1"/>
  <c r="L518" i="1"/>
  <c r="L70" i="1"/>
  <c r="L216" i="1"/>
  <c r="L143" i="1"/>
  <c r="L596" i="1"/>
  <c r="L403" i="1"/>
  <c r="L200" i="1"/>
  <c r="L445" i="1"/>
  <c r="L544" i="1"/>
  <c r="L443" i="1"/>
  <c r="L254" i="1"/>
  <c r="L207" i="1"/>
  <c r="L372" i="1"/>
  <c r="L117" i="1"/>
  <c r="L522" i="1"/>
  <c r="L316" i="1"/>
  <c r="L100" i="1"/>
  <c r="L505" i="1"/>
  <c r="L384" i="1"/>
  <c r="L170" i="1"/>
  <c r="L551" i="1"/>
  <c r="L367" i="1"/>
  <c r="L81" i="1"/>
  <c r="L470" i="1"/>
  <c r="L150" i="1"/>
  <c r="L264" i="1"/>
  <c r="L191" i="1"/>
  <c r="L612" i="1"/>
  <c r="L565" i="1"/>
  <c r="L520" i="1"/>
  <c r="L493" i="1"/>
  <c r="L560" i="1"/>
  <c r="L523" i="1"/>
  <c r="L270" i="1"/>
  <c r="L239" i="1"/>
  <c r="L293" i="1"/>
  <c r="L109" i="1"/>
  <c r="L514" i="1"/>
  <c r="L276" i="1"/>
  <c r="L92" i="1"/>
  <c r="L497" i="1"/>
  <c r="L376" i="1"/>
  <c r="L138" i="1"/>
  <c r="L543" i="1"/>
  <c r="L289" i="1"/>
  <c r="L73" i="1"/>
  <c r="L438" i="1"/>
  <c r="L360" i="1"/>
  <c r="G78" i="1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E6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Para el caso en que se cuente con replicas por variable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Asus</author>
  </authors>
  <commentList>
    <comment ref="D40" authorId="0" shapeId="0" xr:uid="{7899ED8E-F1B6-4CD2-9A4E-1945E40C46B8}">
      <text>
        <r>
          <rPr>
            <b/>
            <sz val="9"/>
            <color indexed="81"/>
            <rFont val="Tahoma"/>
            <family val="2"/>
          </rPr>
          <t xml:space="preserve">Fanny: 
</t>
        </r>
        <r>
          <rPr>
            <sz val="9"/>
            <color indexed="81"/>
            <rFont val="Tahoma"/>
            <family val="2"/>
          </rPr>
          <t>En el documento original aparecen como hojarasca replica 5, 6  y 7 pero verificando con Emilio se llego a la conclucion de un error en el etiquetado y en realidad es arena</t>
        </r>
      </text>
    </comment>
    <comment ref="D41" authorId="0" shapeId="0" xr:uid="{CE1BCB61-3EA6-41C7-A69E-6FC9BF78D19C}">
      <text>
        <r>
          <rPr>
            <b/>
            <sz val="9"/>
            <color indexed="81"/>
            <rFont val="Tahoma"/>
            <family val="2"/>
          </rPr>
          <t xml:space="preserve">Fanny: 
</t>
        </r>
        <r>
          <rPr>
            <sz val="9"/>
            <color indexed="81"/>
            <rFont val="Tahoma"/>
            <family val="2"/>
          </rPr>
          <t>En el documento original aparecen como hojarasca replica 5, 6  y 7 pero verificando con Emilio se llego a la conclucion de un error en el etiquetado y en realidad es arena</t>
        </r>
      </text>
    </comment>
    <comment ref="D42" authorId="0" shapeId="0" xr:uid="{743BD037-1750-4EE7-BDA9-787267678F07}">
      <text>
        <r>
          <rPr>
            <b/>
            <sz val="9"/>
            <color indexed="81"/>
            <rFont val="Tahoma"/>
            <family val="2"/>
          </rPr>
          <t xml:space="preserve">Fanny: 
</t>
        </r>
        <r>
          <rPr>
            <sz val="9"/>
            <color indexed="81"/>
            <rFont val="Tahoma"/>
            <family val="2"/>
          </rPr>
          <t>En el documento original aparecen como hojarasca replica 5, 6  y 7 pero verificando con Emilio se llego a la conclucion de un error en el etiquetado y en realidad es arena</t>
        </r>
      </text>
    </comment>
    <comment ref="D43" authorId="0" shapeId="0" xr:uid="{C06C1932-FE01-4718-B0D3-ABC02906388E}">
      <text>
        <r>
          <rPr>
            <b/>
            <sz val="9"/>
            <color indexed="81"/>
            <rFont val="Tahoma"/>
            <family val="2"/>
          </rPr>
          <t xml:space="preserve">Fanny: 
</t>
        </r>
        <r>
          <rPr>
            <sz val="9"/>
            <color indexed="81"/>
            <rFont val="Tahoma"/>
            <family val="2"/>
          </rPr>
          <t>En el documento original aparecen como hojarasca replica 5, 6  y 7 pero verificando con Emilio se llego a la conclucion de un error en el etiquetado y en realidad es arena</t>
        </r>
      </text>
    </comment>
    <comment ref="D44" authorId="0" shapeId="0" xr:uid="{D348D605-BBEA-4583-B51F-3C69AD9F56EB}">
      <text>
        <r>
          <rPr>
            <b/>
            <sz val="9"/>
            <color indexed="81"/>
            <rFont val="Tahoma"/>
            <family val="2"/>
          </rPr>
          <t xml:space="preserve">Fanny: 
</t>
        </r>
        <r>
          <rPr>
            <sz val="9"/>
            <color indexed="81"/>
            <rFont val="Tahoma"/>
            <family val="2"/>
          </rPr>
          <t>En el documento original aparecen como hojarasca replica 5, 6  y 7 pero verificando con Emilio se llego a la conclucion de un error en el etiquetado y en realidad es arena</t>
        </r>
      </text>
    </comment>
    <comment ref="D45" authorId="0" shapeId="0" xr:uid="{6C06155D-3848-4B5A-A3B6-F40977392B09}">
      <text>
        <r>
          <rPr>
            <b/>
            <sz val="9"/>
            <color indexed="81"/>
            <rFont val="Tahoma"/>
            <family val="2"/>
          </rPr>
          <t xml:space="preserve">Fanny: 
</t>
        </r>
        <r>
          <rPr>
            <sz val="9"/>
            <color indexed="81"/>
            <rFont val="Tahoma"/>
            <family val="2"/>
          </rPr>
          <t>En el documento original aparecen como hojarasca replica 5, 6  y 7 pero verificando con Emilio se llego a la conclucion de un error en el etiquetado y en realidad es arena</t>
        </r>
      </text>
    </comment>
    <comment ref="D46" authorId="0" shapeId="0" xr:uid="{2306B71C-96D9-458D-A161-7494C0C2C52F}">
      <text>
        <r>
          <rPr>
            <b/>
            <sz val="9"/>
            <color indexed="81"/>
            <rFont val="Tahoma"/>
            <family val="2"/>
          </rPr>
          <t xml:space="preserve">Fanny: 
</t>
        </r>
        <r>
          <rPr>
            <sz val="9"/>
            <color indexed="81"/>
            <rFont val="Tahoma"/>
            <family val="2"/>
          </rPr>
          <t>En el documento original aparecen como hojarasca replica 5, 6  y 7 pero verificando con Emilio se llego a la conclucion de un error en el etiquetado y en realidad es arena</t>
        </r>
      </text>
    </comment>
    <comment ref="D47" authorId="0" shapeId="0" xr:uid="{3AA55B80-D069-45D3-B2FF-44B84BE13686}">
      <text>
        <r>
          <rPr>
            <b/>
            <sz val="9"/>
            <color indexed="81"/>
            <rFont val="Tahoma"/>
            <family val="2"/>
          </rPr>
          <t xml:space="preserve">Fanny: 
</t>
        </r>
        <r>
          <rPr>
            <sz val="9"/>
            <color indexed="81"/>
            <rFont val="Tahoma"/>
            <family val="2"/>
          </rPr>
          <t>En el documento original aparecen como hojarasca replica 5, 6  y 7 pero verificando con Emilio se llego a la conclucion de un error en el etiquetado y en realidad es arena</t>
        </r>
      </text>
    </comment>
    <comment ref="D48" authorId="0" shapeId="0" xr:uid="{3CAE4236-7FBD-47A3-8C4D-507F56794FCF}">
      <text>
        <r>
          <rPr>
            <b/>
            <sz val="9"/>
            <color indexed="81"/>
            <rFont val="Tahoma"/>
            <family val="2"/>
          </rPr>
          <t xml:space="preserve">Fanny: 
</t>
        </r>
        <r>
          <rPr>
            <sz val="9"/>
            <color indexed="81"/>
            <rFont val="Tahoma"/>
            <family val="2"/>
          </rPr>
          <t>En el documento original aparecen como hojarasca replica 5, 6  y 7 pero verificando con Emilio se llego a la conclucion de un error en el etiquetado y en realidad es arena</t>
        </r>
      </text>
    </comment>
  </commentList>
</comments>
</file>

<file path=xl/sharedStrings.xml><?xml version="1.0" encoding="utf-8"?>
<sst xmlns="http://schemas.openxmlformats.org/spreadsheetml/2006/main" count="8703" uniqueCount="836">
  <si>
    <t>Punto de Muestreos</t>
  </si>
  <si>
    <t>Tramos</t>
  </si>
  <si>
    <t>Abr</t>
  </si>
  <si>
    <t xml:space="preserve">Lalitud </t>
  </si>
  <si>
    <t>Longitud</t>
  </si>
  <si>
    <t>Altitud</t>
  </si>
  <si>
    <t>Desembocadura - Zaino</t>
  </si>
  <si>
    <t>Tramo bajo</t>
  </si>
  <si>
    <t>P1</t>
  </si>
  <si>
    <t>11°16'59.1" N</t>
  </si>
  <si>
    <t>73°54'27.7" W</t>
  </si>
  <si>
    <t>Parte baja - Rio Piedra</t>
  </si>
  <si>
    <t>P2</t>
  </si>
  <si>
    <t xml:space="preserve">11°16'39.4" N </t>
  </si>
  <si>
    <t>73°55'45.2" W</t>
  </si>
  <si>
    <t>La Lisa</t>
  </si>
  <si>
    <t>Tramo medio</t>
  </si>
  <si>
    <t>P3</t>
  </si>
  <si>
    <t>11°13'46.7" N</t>
  </si>
  <si>
    <t>74°01'23.1" W</t>
  </si>
  <si>
    <t>Bocatoma</t>
  </si>
  <si>
    <t>P4</t>
  </si>
  <si>
    <t>11°12'37.1" N</t>
  </si>
  <si>
    <t>74°02'10.30" W</t>
  </si>
  <si>
    <t>Atinkana</t>
  </si>
  <si>
    <t>Tramo alto</t>
  </si>
  <si>
    <t>P5</t>
  </si>
  <si>
    <t>11°12'33.27'' N</t>
  </si>
  <si>
    <t>74°02'46.71'' W</t>
  </si>
  <si>
    <t xml:space="preserve">Tramo </t>
  </si>
  <si>
    <t>Orden</t>
  </si>
  <si>
    <t>Familia / subfamilia</t>
  </si>
  <si>
    <t xml:space="preserve">Alto </t>
  </si>
  <si>
    <t>Bajo</t>
  </si>
  <si>
    <t>Medio</t>
  </si>
  <si>
    <t>Total general</t>
  </si>
  <si>
    <t>Coleoptera</t>
  </si>
  <si>
    <t>Elmidae</t>
  </si>
  <si>
    <t>Psephenidae</t>
  </si>
  <si>
    <t>Ptilodactylidae</t>
  </si>
  <si>
    <t>Staphylinidae</t>
  </si>
  <si>
    <t>Decapoda</t>
  </si>
  <si>
    <t>Atyidae</t>
  </si>
  <si>
    <t>Pseudothelphusidae</t>
  </si>
  <si>
    <t>Diptera</t>
  </si>
  <si>
    <t>Blepharoceridae</t>
  </si>
  <si>
    <t>Ceratopogonidae</t>
  </si>
  <si>
    <t>Chironomidae</t>
  </si>
  <si>
    <t>Dixidae</t>
  </si>
  <si>
    <t>Empididae</t>
  </si>
  <si>
    <t>Limoniidae</t>
  </si>
  <si>
    <t>Psychodidae</t>
  </si>
  <si>
    <t>Simuliidae</t>
  </si>
  <si>
    <t>Tipulidae</t>
  </si>
  <si>
    <t>Ephemeroptera</t>
  </si>
  <si>
    <t>Baetidae</t>
  </si>
  <si>
    <t>Leptohyphidae</t>
  </si>
  <si>
    <t>Leptophlebiidae</t>
  </si>
  <si>
    <t>Gastropoda</t>
  </si>
  <si>
    <t>Planorbidae</t>
  </si>
  <si>
    <t>Hemiptera</t>
  </si>
  <si>
    <t>Gelastocoridae</t>
  </si>
  <si>
    <t>Mesoveliidae</t>
  </si>
  <si>
    <t>Naucoridae</t>
  </si>
  <si>
    <t>Veliidae</t>
  </si>
  <si>
    <t>Lepidoptera</t>
  </si>
  <si>
    <t>Crambidae</t>
  </si>
  <si>
    <t>Littorinimorpha</t>
  </si>
  <si>
    <t>Hydrobiidae</t>
  </si>
  <si>
    <t>Lumbriculida</t>
  </si>
  <si>
    <t>Lumbriculidae</t>
  </si>
  <si>
    <t>Megaloptera</t>
  </si>
  <si>
    <t>Corydalidae</t>
  </si>
  <si>
    <t>Odonata</t>
  </si>
  <si>
    <t>Calopterygidae</t>
  </si>
  <si>
    <t>Coenagrionidae</t>
  </si>
  <si>
    <t>Gomphidae</t>
  </si>
  <si>
    <t>Libellulidae</t>
  </si>
  <si>
    <t>Platystictidae</t>
  </si>
  <si>
    <t>Plecoptera</t>
  </si>
  <si>
    <t>Perlidae</t>
  </si>
  <si>
    <t>Trichoptera</t>
  </si>
  <si>
    <t>Calamoceratidae</t>
  </si>
  <si>
    <t>Hydropsychidae</t>
  </si>
  <si>
    <t>Hydroptilidae</t>
  </si>
  <si>
    <t>Leptoceridae</t>
  </si>
  <si>
    <t>Odontoceridae</t>
  </si>
  <si>
    <t>Philopotamidae</t>
  </si>
  <si>
    <t>Tricladida</t>
  </si>
  <si>
    <t>Dugesiidae</t>
  </si>
  <si>
    <t>Trombidiformes</t>
  </si>
  <si>
    <t>Limnesiidae</t>
  </si>
  <si>
    <t xml:space="preserve">Fecha: </t>
  </si>
  <si>
    <t xml:space="preserve">Localidad: </t>
  </si>
  <si>
    <t>Rio Piedra</t>
  </si>
  <si>
    <t>Coordenadas</t>
  </si>
  <si>
    <t xml:space="preserve">Fecha </t>
  </si>
  <si>
    <t xml:space="preserve">Sitio </t>
  </si>
  <si>
    <t>Micro-Habitat</t>
  </si>
  <si>
    <t>Réplica</t>
  </si>
  <si>
    <t>Género</t>
  </si>
  <si>
    <t>Abundancia</t>
  </si>
  <si>
    <t>Abundancia relativa</t>
  </si>
  <si>
    <t>Grupos funcionales</t>
  </si>
  <si>
    <t>Anotaciones</t>
  </si>
  <si>
    <t>11°13'46,7" N</t>
  </si>
  <si>
    <t>74°01'23,1" W</t>
  </si>
  <si>
    <t>Arena</t>
  </si>
  <si>
    <t>Atanatolica</t>
  </si>
  <si>
    <t>CG</t>
  </si>
  <si>
    <t>Abundancia total</t>
  </si>
  <si>
    <t>CGF</t>
  </si>
  <si>
    <t>Limnocoris</t>
  </si>
  <si>
    <t>Pr</t>
  </si>
  <si>
    <t>Chironominae</t>
  </si>
  <si>
    <t>Det</t>
  </si>
  <si>
    <t>Sh-Dt</t>
  </si>
  <si>
    <t>Microvelia</t>
  </si>
  <si>
    <t>Rhagovelia</t>
  </si>
  <si>
    <t>Ft</t>
  </si>
  <si>
    <t>Baetodes</t>
  </si>
  <si>
    <t>Ras</t>
  </si>
  <si>
    <t>Americabaetis</t>
  </si>
  <si>
    <t>Tr</t>
  </si>
  <si>
    <t>Tanypodinae</t>
  </si>
  <si>
    <t xml:space="preserve">Raspador </t>
  </si>
  <si>
    <t>Progomphus</t>
  </si>
  <si>
    <t>Limonia</t>
  </si>
  <si>
    <t>Heterelmis</t>
  </si>
  <si>
    <t>Métrica</t>
  </si>
  <si>
    <t>Raíz</t>
  </si>
  <si>
    <t>Leptonema</t>
  </si>
  <si>
    <t>Tricorythodes</t>
  </si>
  <si>
    <t>Simulium</t>
  </si>
  <si>
    <t>Dugesia</t>
  </si>
  <si>
    <t>Smicridea</t>
  </si>
  <si>
    <t>Mesovelia</t>
  </si>
  <si>
    <t>Pelocoris</t>
  </si>
  <si>
    <t>Phylloicus</t>
  </si>
  <si>
    <t>Petrophila</t>
  </si>
  <si>
    <t>Hetaerina</t>
  </si>
  <si>
    <t>Thraulodes</t>
  </si>
  <si>
    <t>Anacroneuria</t>
  </si>
  <si>
    <t>Libellula</t>
  </si>
  <si>
    <t>Nectopsyche</t>
  </si>
  <si>
    <t>Grava</t>
  </si>
  <si>
    <t>Marilia</t>
  </si>
  <si>
    <t>Palaemnema</t>
  </si>
  <si>
    <t>Anchytarsus</t>
  </si>
  <si>
    <t>Argia</t>
  </si>
  <si>
    <t>Orthocladiinae</t>
  </si>
  <si>
    <t>Psephenus</t>
  </si>
  <si>
    <t>Brechmorhoga</t>
  </si>
  <si>
    <t>Macrelmis</t>
  </si>
  <si>
    <t>Cabecar</t>
  </si>
  <si>
    <t>Chimarra</t>
  </si>
  <si>
    <t>Corydalus</t>
  </si>
  <si>
    <t>Farrodes</t>
  </si>
  <si>
    <t>Camelobaetidius</t>
  </si>
  <si>
    <t>Hojarasca</t>
  </si>
  <si>
    <t>Phanocerus</t>
  </si>
  <si>
    <t>Atya</t>
  </si>
  <si>
    <t>11°12'37,1" N</t>
  </si>
  <si>
    <t>74°02'10,30" W</t>
  </si>
  <si>
    <t>Limonicola</t>
  </si>
  <si>
    <t>Tipula</t>
  </si>
  <si>
    <t>Oecetis</t>
  </si>
  <si>
    <t>2*</t>
  </si>
  <si>
    <t>Leptohyphes</t>
  </si>
  <si>
    <t>Microcylloepus</t>
  </si>
  <si>
    <t>Dixella</t>
  </si>
  <si>
    <t>73°02'10,30" W</t>
  </si>
  <si>
    <t>Bezzia</t>
  </si>
  <si>
    <t>Hemerodromia</t>
  </si>
  <si>
    <t>Confirmar posible Austrelmis</t>
  </si>
  <si>
    <t>* Confirmar</t>
  </si>
  <si>
    <t>Pseudothelphusa</t>
  </si>
  <si>
    <t>Los Naranjos</t>
  </si>
  <si>
    <t>11°16'39,4" N</t>
  </si>
  <si>
    <t>73°55'45,2" W</t>
  </si>
  <si>
    <t>Disersus</t>
  </si>
  <si>
    <t>Pericoma</t>
  </si>
  <si>
    <t>11°16'59,1" N</t>
  </si>
  <si>
    <t>73°54'27,7" W</t>
  </si>
  <si>
    <t>Gelastocoris</t>
  </si>
  <si>
    <t>73°33'15" W</t>
  </si>
  <si>
    <t>* Raspador</t>
  </si>
  <si>
    <t>Hydroptila</t>
  </si>
  <si>
    <t>11°12'42,44"N</t>
  </si>
  <si>
    <t xml:space="preserve"> 74°02'11,00"W</t>
  </si>
  <si>
    <t>Hexatoma</t>
  </si>
  <si>
    <t>Helicopsychidae</t>
  </si>
  <si>
    <t>Helicopsyche</t>
  </si>
  <si>
    <t>Cochliopidae</t>
  </si>
  <si>
    <t>Pyrgophorus</t>
  </si>
  <si>
    <t>* Confirmar género</t>
  </si>
  <si>
    <t>Physidae</t>
  </si>
  <si>
    <t>Physa</t>
  </si>
  <si>
    <t>Tachinidae</t>
  </si>
  <si>
    <t>Traulotes</t>
  </si>
  <si>
    <t>Sin información</t>
  </si>
  <si>
    <t>Confirmar</t>
  </si>
  <si>
    <t>Mayobaetis</t>
  </si>
  <si>
    <t>Glossosomatidae</t>
  </si>
  <si>
    <t>Mortoniella</t>
  </si>
  <si>
    <t>Polycentropodidae</t>
  </si>
  <si>
    <t>Polycentropus</t>
  </si>
  <si>
    <t>Hydrophilidae</t>
  </si>
  <si>
    <t xml:space="preserve">Hydrophilus   </t>
  </si>
  <si>
    <t>Culicidae</t>
  </si>
  <si>
    <t>Culex</t>
  </si>
  <si>
    <t>Stratiomyidae</t>
  </si>
  <si>
    <t>*Confirmar (grupo funcional de la familia Tenebrionidae)</t>
  </si>
  <si>
    <t>Steinovelia</t>
  </si>
  <si>
    <t>Sympetrum</t>
  </si>
  <si>
    <t>*Confirmar grupo funcional para el género</t>
  </si>
  <si>
    <t xml:space="preserve"> Arena         </t>
  </si>
  <si>
    <t xml:space="preserve">Prebaetodes   </t>
  </si>
  <si>
    <t xml:space="preserve">Hexanchorus   </t>
  </si>
  <si>
    <t>Finca Atinkana</t>
  </si>
  <si>
    <t>11°12'34,44" N</t>
  </si>
  <si>
    <t>74°02'43,96" W</t>
  </si>
  <si>
    <t xml:space="preserve"> Hojarasca     </t>
  </si>
  <si>
    <t>Forcipomyia</t>
  </si>
  <si>
    <t>*Verificar grupo funcional del género</t>
  </si>
  <si>
    <t>*Hirudinea</t>
  </si>
  <si>
    <t>11°13'46,6" N</t>
  </si>
  <si>
    <t>74°01'23,0" W</t>
  </si>
  <si>
    <t>Tabanidae</t>
  </si>
  <si>
    <t>Tabanus</t>
  </si>
  <si>
    <t>Baetis</t>
  </si>
  <si>
    <t xml:space="preserve">Macroinvertebrados acuáticos </t>
  </si>
  <si>
    <r>
      <t xml:space="preserve">6. </t>
    </r>
    <r>
      <rPr>
        <sz val="11"/>
        <color theme="1"/>
        <rFont val="Calibri"/>
        <family val="2"/>
        <scheme val="minor"/>
      </rPr>
      <t>Estandarización de la métrica</t>
    </r>
  </si>
  <si>
    <r>
      <t xml:space="preserve">1. </t>
    </r>
    <r>
      <rPr>
        <sz val="11"/>
        <color theme="1"/>
        <rFont val="Calibri"/>
        <family val="2"/>
        <scheme val="minor"/>
      </rPr>
      <t xml:space="preserve">Tabulación de los datos </t>
    </r>
  </si>
  <si>
    <r>
      <t xml:space="preserve">2. </t>
    </r>
    <r>
      <rPr>
        <sz val="11"/>
        <color theme="1"/>
        <rFont val="Calibri"/>
        <family val="2"/>
        <scheme val="minor"/>
      </rPr>
      <t>Listado de métrica ajustadas a la cuenca estudiada</t>
    </r>
  </si>
  <si>
    <t xml:space="preserve">Puntaje </t>
  </si>
  <si>
    <r>
      <t xml:space="preserve">3. </t>
    </r>
    <r>
      <rPr>
        <sz val="11"/>
        <color theme="1"/>
        <rFont val="Calibri"/>
        <family val="2"/>
        <scheme val="minor"/>
      </rPr>
      <t>Correlación de Pearson de las métricas con el gradiente de presión (físicoquímicos) Pearson r &gt;6 (Índice multimétrico) y correlación entre las métricas (se excluyen las métricas con correlación r&gt;0,8)</t>
    </r>
  </si>
  <si>
    <t>Variable</t>
  </si>
  <si>
    <t xml:space="preserve">Valor </t>
  </si>
  <si>
    <t xml:space="preserve">Clasificación Cualitativa </t>
  </si>
  <si>
    <t>Respuesta biológica a las condiciones ambientales</t>
  </si>
  <si>
    <r>
      <t xml:space="preserve">4. </t>
    </r>
    <r>
      <rPr>
        <sz val="11"/>
        <color theme="1"/>
        <rFont val="Calibri"/>
        <family val="2"/>
        <scheme val="minor"/>
      </rPr>
      <t xml:space="preserve">Selección de las métricas que mejor describen la cuenca </t>
    </r>
  </si>
  <si>
    <t>TR</t>
  </si>
  <si>
    <t>&lt;23</t>
  </si>
  <si>
    <t>23-27</t>
  </si>
  <si>
    <t>27-30</t>
  </si>
  <si>
    <t>&gt;30</t>
  </si>
  <si>
    <t>&gt; 84</t>
  </si>
  <si>
    <t>Muy alta</t>
  </si>
  <si>
    <r>
      <t xml:space="preserve">5. </t>
    </r>
    <r>
      <rPr>
        <sz val="11"/>
        <color theme="1"/>
        <rFont val="Calibri"/>
        <family val="2"/>
        <scheme val="minor"/>
      </rPr>
      <t xml:space="preserve">Calcular las métricas para cada tramo </t>
    </r>
  </si>
  <si>
    <t>EPTR</t>
  </si>
  <si>
    <t>&lt;9</t>
  </si>
  <si>
    <t>&gt;11</t>
  </si>
  <si>
    <t>58-83</t>
  </si>
  <si>
    <t xml:space="preserve">Alta </t>
  </si>
  <si>
    <t>EPT</t>
  </si>
  <si>
    <t>40-57</t>
  </si>
  <si>
    <t xml:space="preserve">Media </t>
  </si>
  <si>
    <r>
      <t xml:space="preserve">7. </t>
    </r>
    <r>
      <rPr>
        <sz val="11"/>
        <color theme="1"/>
        <rFont val="Calibri"/>
        <family val="2"/>
        <scheme val="minor"/>
      </rPr>
      <t xml:space="preserve">Calculo del IBI preliminar </t>
    </r>
  </si>
  <si>
    <t>22-39</t>
  </si>
  <si>
    <t xml:space="preserve">Baja </t>
  </si>
  <si>
    <r>
      <t xml:space="preserve">8. </t>
    </r>
    <r>
      <rPr>
        <sz val="11"/>
        <color theme="1"/>
        <rFont val="Calibri"/>
        <family val="2"/>
        <scheme val="minor"/>
      </rPr>
      <t xml:space="preserve">Delimitación del semanforo </t>
    </r>
  </si>
  <si>
    <t>3 - 21</t>
  </si>
  <si>
    <t>Muy baja</t>
  </si>
  <si>
    <t>Color</t>
  </si>
  <si>
    <t>&gt; 22</t>
  </si>
  <si>
    <t>Excelente</t>
  </si>
  <si>
    <t>Taxones raros</t>
  </si>
  <si>
    <t>16 - 21</t>
  </si>
  <si>
    <t>Bueno</t>
  </si>
  <si>
    <t xml:space="preserve">Categoría </t>
  </si>
  <si>
    <t>Métricas</t>
  </si>
  <si>
    <t xml:space="preserve">Código </t>
  </si>
  <si>
    <t xml:space="preserve">Descripción </t>
  </si>
  <si>
    <t>Respuesta hipotética ante la perturbación antropogénica</t>
  </si>
  <si>
    <t>13 - 16</t>
  </si>
  <si>
    <t>Regular</t>
  </si>
  <si>
    <t>Métricas de riqueza</t>
  </si>
  <si>
    <t xml:space="preserve">Riqueza de taxones </t>
  </si>
  <si>
    <t xml:space="preserve">Número de familias de macroinvertebrados presentes por tramo </t>
  </si>
  <si>
    <t xml:space="preserve">Disminuye </t>
  </si>
  <si>
    <t>&lt; 13</t>
  </si>
  <si>
    <t>Pobre</t>
  </si>
  <si>
    <t>Riqueza de EPT</t>
  </si>
  <si>
    <t xml:space="preserve">Número de familias de los órdenes de Ephemeroptera, Plecoptera y Trichoptera encontrados </t>
  </si>
  <si>
    <t xml:space="preserve">Riqueza de taxones únicos </t>
  </si>
  <si>
    <t>Número de taxones con un solo índividuo</t>
  </si>
  <si>
    <t xml:space="preserve">Métricas de abundancia </t>
  </si>
  <si>
    <t xml:space="preserve">Abundancia total </t>
  </si>
  <si>
    <t xml:space="preserve">N° total de individuos recolectados por tramo </t>
  </si>
  <si>
    <t>Variable, pero con tendencia a la disminución</t>
  </si>
  <si>
    <t>Metrícas de composición</t>
  </si>
  <si>
    <t xml:space="preserve">EPT </t>
  </si>
  <si>
    <t>%EPT</t>
  </si>
  <si>
    <t>Porcentaje 
Ecuación: %EPT= (N° indv. EPT  /total indv.)*100</t>
  </si>
  <si>
    <t xml:space="preserve">Grupos funcionales </t>
  </si>
  <si>
    <t>Colectores</t>
  </si>
  <si>
    <t>%CG</t>
  </si>
  <si>
    <t xml:space="preserve">Porcentaje - a nivel de género
Ecuación: %CG= (N° indv. CG  /total indv.)*100 </t>
  </si>
  <si>
    <t>Decrece</t>
  </si>
  <si>
    <t>Depredadores</t>
  </si>
  <si>
    <t>%Pr</t>
  </si>
  <si>
    <t xml:space="preserve">Porcentaje - a nivel de género
Ecuación: %Pr= (N° indv. Pr /total indv.)*100 </t>
  </si>
  <si>
    <t>Disminuye</t>
  </si>
  <si>
    <t>Filtradores</t>
  </si>
  <si>
    <t>%Ft</t>
  </si>
  <si>
    <t xml:space="preserve">Porcentaje - a nivel de género
Ecuación: %Ft= (N° indv. Ft /total indv.)*100 </t>
  </si>
  <si>
    <t xml:space="preserve">Porcentaje - a nivel de género
Ecuación: %Ras= (N° indv. Ras /total indv.)*100 </t>
  </si>
  <si>
    <t xml:space="preserve">Fragmentadores </t>
  </si>
  <si>
    <t>%Sh-Dt</t>
  </si>
  <si>
    <t xml:space="preserve">Porcentaje - a nivel de género
Ecuación: %Sh-Dt= (N° indv. Sh-Dt /total indv.)*100 </t>
  </si>
  <si>
    <t xml:space="preserve">Tolerancia </t>
  </si>
  <si>
    <t>% de abundancia de Chironomidae</t>
  </si>
  <si>
    <t>%Chi</t>
  </si>
  <si>
    <t>Porcentaje - a nivel de familia
Ecuación: %Chi=(N° indv. Chi/total indv.)*100</t>
  </si>
  <si>
    <t>Aumenta</t>
  </si>
  <si>
    <t>Índices</t>
  </si>
  <si>
    <t>BMWP</t>
  </si>
  <si>
    <t>Tolerancia</t>
  </si>
  <si>
    <r>
      <rPr>
        <b/>
        <sz val="11"/>
        <color theme="1"/>
        <rFont val="Calibri"/>
        <family val="2"/>
        <scheme val="minor"/>
      </rPr>
      <t>5.1.</t>
    </r>
    <r>
      <rPr>
        <sz val="11"/>
        <color theme="1"/>
        <rFont val="Calibri"/>
        <family val="2"/>
        <scheme val="minor"/>
      </rPr>
      <t xml:space="preserve"> Tabla de abundancia por tramo </t>
    </r>
  </si>
  <si>
    <r>
      <rPr>
        <b/>
        <sz val="11"/>
        <color theme="1"/>
        <rFont val="Calibri"/>
        <family val="2"/>
        <scheme val="minor"/>
      </rPr>
      <t xml:space="preserve">5.2. </t>
    </r>
    <r>
      <rPr>
        <sz val="11"/>
        <color theme="1"/>
        <rFont val="Calibri"/>
        <family val="2"/>
        <scheme val="minor"/>
      </rPr>
      <t>Tabla de abundancia de grupos funcionales por tramo</t>
    </r>
  </si>
  <si>
    <r>
      <rPr>
        <b/>
        <sz val="11"/>
        <color theme="1"/>
        <rFont val="Calibri"/>
        <family val="2"/>
        <scheme val="minor"/>
      </rPr>
      <t>5.3.</t>
    </r>
    <r>
      <rPr>
        <sz val="11"/>
        <color theme="1"/>
        <rFont val="Calibri"/>
        <family val="2"/>
        <scheme val="minor"/>
      </rPr>
      <t xml:space="preserve"> Índice BMWP</t>
    </r>
  </si>
  <si>
    <r>
      <rPr>
        <b/>
        <sz val="11"/>
        <color theme="1"/>
        <rFont val="Calibri"/>
        <family val="2"/>
        <scheme val="minor"/>
      </rPr>
      <t>5.4.</t>
    </r>
    <r>
      <rPr>
        <sz val="11"/>
        <color theme="1"/>
        <rFont val="Calibri"/>
        <family val="2"/>
        <scheme val="minor"/>
      </rPr>
      <t xml:space="preserve"> Puntaje de BMWP</t>
    </r>
  </si>
  <si>
    <t>Total Familia</t>
  </si>
  <si>
    <t>BMWP/Col</t>
  </si>
  <si>
    <t>Total familia</t>
  </si>
  <si>
    <t>Clase</t>
  </si>
  <si>
    <t xml:space="preserve">Calidad </t>
  </si>
  <si>
    <t>Significado</t>
  </si>
  <si>
    <t>I</t>
  </si>
  <si>
    <t xml:space="preserve">Buena </t>
  </si>
  <si>
    <t>&gt;150
101-120</t>
  </si>
  <si>
    <t xml:space="preserve">Aguas muy limpias, no contaminadas o poco alteradas </t>
  </si>
  <si>
    <t>II</t>
  </si>
  <si>
    <t>Aceptable</t>
  </si>
  <si>
    <t>61-100</t>
  </si>
  <si>
    <t>Aguas ligeramente contaminadas</t>
  </si>
  <si>
    <t>III</t>
  </si>
  <si>
    <t>Dudosa</t>
  </si>
  <si>
    <t>36-60</t>
  </si>
  <si>
    <t>Aguas moderadamente contaminadas</t>
  </si>
  <si>
    <t>IV</t>
  </si>
  <si>
    <t>Crítica</t>
  </si>
  <si>
    <t>16-35</t>
  </si>
  <si>
    <t xml:space="preserve">Aguas muy contaminadas </t>
  </si>
  <si>
    <t>V</t>
  </si>
  <si>
    <t>Muy Crítica</t>
  </si>
  <si>
    <t>&lt;15</t>
  </si>
  <si>
    <t>Aguas fuertemente contaminadas</t>
  </si>
  <si>
    <t>Total tramo</t>
  </si>
  <si>
    <r>
      <rPr>
        <b/>
        <sz val="11"/>
        <color theme="1"/>
        <rFont val="Calibri"/>
        <family val="2"/>
        <scheme val="minor"/>
      </rPr>
      <t>5.3.</t>
    </r>
    <r>
      <rPr>
        <sz val="11"/>
        <color theme="1"/>
        <rFont val="Calibri"/>
        <family val="2"/>
        <scheme val="minor"/>
      </rPr>
      <t xml:space="preserve"> Calculo de las métricas </t>
    </r>
  </si>
  <si>
    <t>Riqueza (Familias)</t>
  </si>
  <si>
    <t>Riqueza de EPT (familias)</t>
  </si>
  <si>
    <t xml:space="preserve">Raspadores </t>
  </si>
  <si>
    <t>%Ras</t>
  </si>
  <si>
    <t>Estandarización de 0 -100 de las métricas que conforman el índice</t>
  </si>
  <si>
    <t>Métricas que se espera un decrecimiento frente al estrés  antrópico (TR, EPTR, %EPT, %CG, %Pr, %Ft, %Sh-Dt, %Ras, BMWP)</t>
  </si>
  <si>
    <t>Score= (100 * (X/(Xmáx -Xmin)))</t>
  </si>
  <si>
    <t>Métricas que se espera un aumento con la intervención trópica</t>
  </si>
  <si>
    <t>Score= (100*((Xmáx - X)/(Xmáx- Xmin)))</t>
  </si>
  <si>
    <t xml:space="preserve">Máximo </t>
  </si>
  <si>
    <t>Mínimo</t>
  </si>
  <si>
    <t xml:space="preserve">Fórmula de estandarización </t>
  </si>
  <si>
    <t>Según la información de Pinilla (2014) y el Minambiente (2008) se recomiendan los siguientes atributos y métricas</t>
  </si>
  <si>
    <r>
      <t xml:space="preserve">1. </t>
    </r>
    <r>
      <rPr>
        <sz val="11"/>
        <color theme="1"/>
        <rFont val="Calibri"/>
        <family val="2"/>
        <scheme val="minor"/>
      </rPr>
      <t>Selección de las métricas que mejor describen la cuenca ( Los porcentajes se tomaron a nivel de género, puesto que no se tiene abundancia)</t>
    </r>
  </si>
  <si>
    <t>Atributos</t>
  </si>
  <si>
    <t>Nota</t>
  </si>
  <si>
    <t>Estructura de la comunidad</t>
  </si>
  <si>
    <t xml:space="preserve">Riqueza total de taxones </t>
  </si>
  <si>
    <t>Número de familias presentes en el perifiton por tramo</t>
  </si>
  <si>
    <t xml:space="preserve">Dominancia </t>
  </si>
  <si>
    <t>Clorofila</t>
  </si>
  <si>
    <t>Chla</t>
  </si>
  <si>
    <t xml:space="preserve">Clorofila </t>
  </si>
  <si>
    <t>Cantidad promedio de clorofila a por centímetro cuadrado de sustrato</t>
  </si>
  <si>
    <t>Gremios ecológicos</t>
  </si>
  <si>
    <t>Eutróficos</t>
  </si>
  <si>
    <t>%Eu</t>
  </si>
  <si>
    <t xml:space="preserve">Porcentaje - a nivel de género
Ecuación: %= (N° generos Eutróficos /total géneros por tramo)*100 </t>
  </si>
  <si>
    <t>Número de taxones cuya ocurrencia optima se da en agua eutróficas</t>
  </si>
  <si>
    <t>Acidobiontes</t>
  </si>
  <si>
    <t>%Acido</t>
  </si>
  <si>
    <t xml:space="preserve">Porcentaje - a nivel de género
Ecuación: %= (N° géneros /total generos del tramo)*100 </t>
  </si>
  <si>
    <t>Número de taxones cuya ocurrencia optima se da en agua a pH&lt;5,5</t>
  </si>
  <si>
    <t>Alcalifílicas</t>
  </si>
  <si>
    <t>%Alcalino</t>
  </si>
  <si>
    <t>Número de taxones cuya ocurrencia optima se da en agua a pH&gt;8,5</t>
  </si>
  <si>
    <t>Polisapróbicos</t>
  </si>
  <si>
    <t>%Poli</t>
  </si>
  <si>
    <t>Número de diatomeas tolerantes a elevadas cantidades de materia orgánica</t>
  </si>
  <si>
    <t>Perfil bajo (Low-profile)</t>
  </si>
  <si>
    <t>%Low</t>
  </si>
  <si>
    <t>Porcentaje - a nivel de género
Ecuación: %= (N° géneros /total generos del tramo)*101</t>
  </si>
  <si>
    <t>Perfil alto (High-profile)</t>
  </si>
  <si>
    <t>%High</t>
  </si>
  <si>
    <t>Porcentaje - a nivel de género
Ecuación: %= (N° géneros /total generos del tramo)*102</t>
  </si>
  <si>
    <t>Morfofuncionales</t>
  </si>
  <si>
    <t xml:space="preserve">% taxones móviles </t>
  </si>
  <si>
    <t>%Mov</t>
  </si>
  <si>
    <t>Diatomeas con capacidad de moverse</t>
  </si>
  <si>
    <t>% taxones con mucílago</t>
  </si>
  <si>
    <t>%Muc</t>
  </si>
  <si>
    <t>% taxones formadores de colonias</t>
  </si>
  <si>
    <t>%Colonias</t>
  </si>
  <si>
    <t>% taxones con flagelos</t>
  </si>
  <si>
    <t>%Flagelo</t>
  </si>
  <si>
    <t>Porcentaje - a nivel de género
Ecuación: %= (N° géneros /total generos del tramo)*103</t>
  </si>
  <si>
    <t>% taxones con exoesqueleto de silice</t>
  </si>
  <si>
    <t>%Silice</t>
  </si>
  <si>
    <t>Porcentaje - a nivel de género
Ecuación: %= (N° géneros /total generos del tramo)*104</t>
  </si>
  <si>
    <t>% taxones formadores de filamentos</t>
  </si>
  <si>
    <t>%Filamento</t>
  </si>
  <si>
    <t>Porcentaje - a nivel de género
Ecuación: %= (N° géneros /total generos del tramo)*105</t>
  </si>
  <si>
    <t>Tolerancia a la contaminación</t>
  </si>
  <si>
    <t xml:space="preserve">Sensibles </t>
  </si>
  <si>
    <t>% Sensibles</t>
  </si>
  <si>
    <t xml:space="preserve">Tolerantes </t>
  </si>
  <si>
    <t>% Tolerantes</t>
  </si>
  <si>
    <r>
      <t xml:space="preserve">Gremios ecológicos en diatomeas (Marcel et al, 2017):
- </t>
    </r>
    <r>
      <rPr>
        <b/>
        <sz val="11"/>
        <color theme="1"/>
        <rFont val="Calibri"/>
        <family val="2"/>
        <scheme val="minor"/>
      </rPr>
      <t>Perfil bajo (Low-profile)</t>
    </r>
    <r>
      <rPr>
        <sz val="11"/>
        <color theme="1"/>
        <rFont val="Calibri"/>
        <family val="2"/>
        <scheme val="minor"/>
      </rPr>
      <t xml:space="preserve">: Especies que crecen en aguas pobres en nutrientes y que toleran perturbaciones físicas, como las causadas por las corrientes. Géneros como Achnanthes, Achnanthidium, Amphora, Cocconeis, Cymbella, Opephora y Remeria pertenecen a este grupo.
- </t>
    </r>
    <r>
      <rPr>
        <b/>
        <sz val="11"/>
        <color theme="1"/>
        <rFont val="Calibri"/>
        <family val="2"/>
        <scheme val="minor"/>
      </rPr>
      <t>Perfil alto (High-profile)</t>
    </r>
    <r>
      <rPr>
        <sz val="11"/>
        <color theme="1"/>
        <rFont val="Calibri"/>
        <family val="2"/>
        <scheme val="minor"/>
      </rPr>
      <t xml:space="preserve">: Especies que crecen en aguas contaminadas (ricas en nutrientes y materia orgánica), pero sensibles a la perturbación física. Géneros como Diatoma, Eunotia, Fragilaria, Gomphoneis, Gomphonema y Ulnaria pertenecen a este grupo.
- </t>
    </r>
    <r>
      <rPr>
        <b/>
        <sz val="11"/>
        <color theme="1"/>
        <rFont val="Calibri"/>
        <family val="2"/>
        <scheme val="minor"/>
      </rPr>
      <t>Móviles (Motile)</t>
    </r>
    <r>
      <rPr>
        <sz val="11"/>
        <color theme="1"/>
        <rFont val="Calibri"/>
        <family val="2"/>
        <scheme val="minor"/>
      </rPr>
      <t>: Especies que proliferan en aguas ricas en nutrientes, capaces de desplazarse rápidamente y migrar continuamente para encontrar condiciones adecuadas de crecimiento. Géneros como Navicula, Nitzschia, Sellaphora y Surirella pertenecen a este grupo.</t>
    </r>
  </si>
  <si>
    <r>
      <rPr>
        <b/>
        <sz val="11"/>
        <color rgb="FF000000"/>
        <rFont val="Calibri"/>
        <scheme val="minor"/>
      </rPr>
      <t>5.1.</t>
    </r>
    <r>
      <rPr>
        <sz val="11"/>
        <color rgb="FF000000"/>
        <rFont val="Calibri"/>
        <scheme val="minor"/>
      </rPr>
      <t xml:space="preserve"> Tabla taxonómica por tramo </t>
    </r>
  </si>
  <si>
    <t xml:space="preserve">N° de géneros </t>
  </si>
  <si>
    <t>Etiquetas de fila</t>
  </si>
  <si>
    <t>Familia</t>
  </si>
  <si>
    <t>Achnanthes</t>
  </si>
  <si>
    <t>Achnanthaceae</t>
  </si>
  <si>
    <t>Closterium</t>
  </si>
  <si>
    <t>Amphipleuraceae</t>
  </si>
  <si>
    <t>Cocconeis</t>
  </si>
  <si>
    <t>Bacillariaceae</t>
  </si>
  <si>
    <t>Craticula</t>
  </si>
  <si>
    <t>Closteriaceae</t>
  </si>
  <si>
    <t xml:space="preserve">Cymbella </t>
  </si>
  <si>
    <t>Cocconeidaceae</t>
  </si>
  <si>
    <t>Frustulia</t>
  </si>
  <si>
    <t>Cymbellaceae</t>
  </si>
  <si>
    <t>Gyrosigma</t>
  </si>
  <si>
    <t>Fragilariaceae</t>
  </si>
  <si>
    <t>Melosira</t>
  </si>
  <si>
    <t>Lauderiaceae</t>
  </si>
  <si>
    <t>Navicula</t>
  </si>
  <si>
    <t>Melosiraceae</t>
  </si>
  <si>
    <t>Nitzschia</t>
  </si>
  <si>
    <t>Naviculaceae</t>
  </si>
  <si>
    <t>Oscillatoria</t>
  </si>
  <si>
    <t>Oscillatoriaceae</t>
  </si>
  <si>
    <t>Phormidium</t>
  </si>
  <si>
    <t>Pinnulariaceae</t>
  </si>
  <si>
    <t>Pinnularia</t>
  </si>
  <si>
    <t>Spirogyraceae</t>
  </si>
  <si>
    <t>Spirogyra</t>
  </si>
  <si>
    <t>Stauroneidaceae</t>
  </si>
  <si>
    <t>Synedra</t>
  </si>
  <si>
    <t>Total</t>
  </si>
  <si>
    <t>Géneros sensibles</t>
  </si>
  <si>
    <t>Géneros tolerantes</t>
  </si>
  <si>
    <t xml:space="preserve">Métrica </t>
  </si>
  <si>
    <t>Riqueza</t>
  </si>
  <si>
    <t>Géneros sensibles (%)</t>
  </si>
  <si>
    <t>Géneros tolerantes (%)</t>
  </si>
  <si>
    <t xml:space="preserve">Géneros </t>
  </si>
  <si>
    <t>Achnanthales</t>
  </si>
  <si>
    <t>Sensible</t>
  </si>
  <si>
    <t>Bacillariales</t>
  </si>
  <si>
    <t>Tolerante</t>
  </si>
  <si>
    <t>Móvil</t>
  </si>
  <si>
    <t>Cymbellales</t>
  </si>
  <si>
    <t>Naviculales</t>
  </si>
  <si>
    <t>Oscillatoriales</t>
  </si>
  <si>
    <t>Melosirales</t>
  </si>
  <si>
    <t>Zygnematales</t>
  </si>
  <si>
    <t>Roca</t>
  </si>
  <si>
    <t xml:space="preserve">Hojarasca </t>
  </si>
  <si>
    <t xml:space="preserve">Arena </t>
  </si>
  <si>
    <t xml:space="preserve">Roca </t>
  </si>
  <si>
    <t>Spirogyrales</t>
  </si>
  <si>
    <t>Fragilariales</t>
  </si>
  <si>
    <t>Localidad:</t>
  </si>
  <si>
    <t>Datos de clorofila</t>
  </si>
  <si>
    <t>Fecha</t>
  </si>
  <si>
    <t>Lugar</t>
  </si>
  <si>
    <t>Tramo</t>
  </si>
  <si>
    <t>Sustrato</t>
  </si>
  <si>
    <t>Replica</t>
  </si>
  <si>
    <t>Absorbancia</t>
  </si>
  <si>
    <t>Longitud de Onda</t>
  </si>
  <si>
    <t>Vol extracto (ml)</t>
  </si>
  <si>
    <t xml:space="preserve">Superficie (cm2) </t>
  </si>
  <si>
    <t>Chl-a</t>
  </si>
  <si>
    <t>Desviación estandar</t>
  </si>
  <si>
    <t xml:space="preserve">Promedio Chl-a (sustrato) </t>
  </si>
  <si>
    <t>Promedio Chl-a (tramo)</t>
  </si>
  <si>
    <t>Rio Piedras</t>
  </si>
  <si>
    <t xml:space="preserve">Tramo Alto </t>
  </si>
  <si>
    <t xml:space="preserve">Tramo Alto Bocatoma </t>
  </si>
  <si>
    <t>R1</t>
  </si>
  <si>
    <t>R2</t>
  </si>
  <si>
    <t>R3</t>
  </si>
  <si>
    <t>R4</t>
  </si>
  <si>
    <t xml:space="preserve">Tramo Medio La Lisa </t>
  </si>
  <si>
    <t xml:space="preserve">Tramo Medio </t>
  </si>
  <si>
    <t>Tramo Alto San Isidro</t>
  </si>
  <si>
    <t>No se tomo muestra por lluvias</t>
  </si>
  <si>
    <t>Río Piedras</t>
  </si>
  <si>
    <t>Tramo Medio La Lisa</t>
  </si>
  <si>
    <t xml:space="preserve">Tramo Medio Lisa </t>
  </si>
  <si>
    <t>Peces</t>
  </si>
  <si>
    <t>Muestra</t>
  </si>
  <si>
    <t>Especie</t>
  </si>
  <si>
    <t>FORMA ALETA CAUDAL</t>
  </si>
  <si>
    <t>Posición bucal</t>
  </si>
  <si>
    <t>Gremios tróficos</t>
  </si>
  <si>
    <t>Hemibrycon</t>
  </si>
  <si>
    <t>Emarginada</t>
  </si>
  <si>
    <t>Sicydium</t>
  </si>
  <si>
    <t>Sicydium cf antillarum</t>
  </si>
  <si>
    <t>Redondeada</t>
  </si>
  <si>
    <t>Catádromo</t>
  </si>
  <si>
    <t>Mugilidae</t>
  </si>
  <si>
    <t>Dajaus monticola</t>
  </si>
  <si>
    <t>Cichlidae</t>
  </si>
  <si>
    <t>Poecilia</t>
  </si>
  <si>
    <t>Eleotridae</t>
  </si>
  <si>
    <t xml:space="preserve">Eleotris </t>
  </si>
  <si>
    <t>Gobiomorus</t>
  </si>
  <si>
    <t>N/A</t>
  </si>
  <si>
    <t>Trichomycteridae</t>
  </si>
  <si>
    <t xml:space="preserve">Trichomycterus </t>
  </si>
  <si>
    <t>IQR</t>
  </si>
  <si>
    <t>Atributo</t>
  </si>
  <si>
    <t xml:space="preserve">Segmento o tramo de franja ribereña </t>
  </si>
  <si>
    <t>1 (Desembocadura)</t>
  </si>
  <si>
    <t>2 (Zaino)</t>
  </si>
  <si>
    <t>3 (La Lisa)</t>
  </si>
  <si>
    <t>4 (Bocatoma)</t>
  </si>
  <si>
    <t>1A</t>
  </si>
  <si>
    <t>1B</t>
  </si>
  <si>
    <t>2A</t>
  </si>
  <si>
    <t>2B</t>
  </si>
  <si>
    <t>3A</t>
  </si>
  <si>
    <t>3B</t>
  </si>
  <si>
    <t>Valoración</t>
  </si>
  <si>
    <t xml:space="preserve">Regular </t>
  </si>
  <si>
    <t xml:space="preserve">Bueno </t>
  </si>
  <si>
    <t xml:space="preserve">Pobre </t>
  </si>
  <si>
    <t xml:space="preserve">Muy bueno </t>
  </si>
  <si>
    <t>Moderada</t>
  </si>
  <si>
    <t>Origen muestra:</t>
  </si>
  <si>
    <t>Agua superficial</t>
  </si>
  <si>
    <t xml:space="preserve">Fecha de muestreo </t>
  </si>
  <si>
    <t>Sitio</t>
  </si>
  <si>
    <t>Estación</t>
  </si>
  <si>
    <t xml:space="preserve">Temperatura </t>
  </si>
  <si>
    <t>Conductividad</t>
  </si>
  <si>
    <t>Oxígeno Disuelto</t>
  </si>
  <si>
    <t>pH</t>
  </si>
  <si>
    <t>Amonio</t>
  </si>
  <si>
    <t>Nitrito</t>
  </si>
  <si>
    <t>Nitrato</t>
  </si>
  <si>
    <t>Fosfato</t>
  </si>
  <si>
    <t>Alcalinidad</t>
  </si>
  <si>
    <t>Color Real</t>
  </si>
  <si>
    <t>Cloruros</t>
  </si>
  <si>
    <t>Dureza total</t>
  </si>
  <si>
    <t xml:space="preserve">Calcio </t>
  </si>
  <si>
    <t xml:space="preserve">Magnesio </t>
  </si>
  <si>
    <t>Hierro total</t>
  </si>
  <si>
    <t>Manganeso</t>
  </si>
  <si>
    <t>Sulfatos</t>
  </si>
  <si>
    <t xml:space="preserve">Silice </t>
  </si>
  <si>
    <t>Turbiedad</t>
  </si>
  <si>
    <t>Coliformes totales</t>
  </si>
  <si>
    <t>E. coli</t>
  </si>
  <si>
    <t>oC</t>
  </si>
  <si>
    <t>µsm/cm</t>
  </si>
  <si>
    <t>mg/L</t>
  </si>
  <si>
    <t>unidades</t>
  </si>
  <si>
    <t>mg NH3/ L</t>
  </si>
  <si>
    <t>mg NO2/ L</t>
  </si>
  <si>
    <t>mg NO3/ L</t>
  </si>
  <si>
    <t>mg PO4/ L</t>
  </si>
  <si>
    <t>mg/l CaCO3</t>
  </si>
  <si>
    <t>upc</t>
  </si>
  <si>
    <t>mg Cl/l</t>
  </si>
  <si>
    <t>mg CaCO3/l</t>
  </si>
  <si>
    <t>mg Ca/L</t>
  </si>
  <si>
    <t>mg Mg/l</t>
  </si>
  <si>
    <t>mg Fe/l</t>
  </si>
  <si>
    <t>mg Mn/l</t>
  </si>
  <si>
    <t>mg SO4/l</t>
  </si>
  <si>
    <t>mg/l Si</t>
  </si>
  <si>
    <t>UNT</t>
  </si>
  <si>
    <t>UFC/ 100 ml</t>
  </si>
  <si>
    <t xml:space="preserve">Medio </t>
  </si>
  <si>
    <t>P1 Qb La Lisa</t>
  </si>
  <si>
    <t>&lt;0,001</t>
  </si>
  <si>
    <t>&lt;0,01</t>
  </si>
  <si>
    <t>P2 Río Piebras</t>
  </si>
  <si>
    <t>P3 Bocatoma</t>
  </si>
  <si>
    <t xml:space="preserve">Bajo </t>
  </si>
  <si>
    <t>Parte baja Río</t>
  </si>
  <si>
    <t>Desembocadura</t>
  </si>
  <si>
    <t>Parte baja puente</t>
  </si>
  <si>
    <t>Punto bajo río Piedras</t>
  </si>
  <si>
    <t xml:space="preserve">Bocatoma </t>
  </si>
  <si>
    <t>Quebrada finca Atinkana</t>
  </si>
  <si>
    <t>&lt;0,004</t>
  </si>
  <si>
    <t xml:space="preserve">Tolerante </t>
  </si>
  <si>
    <t>Hemibrycon cf sierraensis</t>
  </si>
  <si>
    <t>Poecilia gillii</t>
  </si>
  <si>
    <t>Eleotris pisonis</t>
  </si>
  <si>
    <t>Gobiomorus maculatus</t>
  </si>
  <si>
    <t>Trichomycterus  nigromaculatus</t>
  </si>
  <si>
    <t>Stevardiidae</t>
  </si>
  <si>
    <t>Gobiidae </t>
  </si>
  <si>
    <t>Andinoacara latifrons</t>
  </si>
  <si>
    <t>Componente</t>
  </si>
  <si>
    <t xml:space="preserve">Abundancia </t>
  </si>
  <si>
    <t>Characiformes</t>
  </si>
  <si>
    <t>Diurna</t>
  </si>
  <si>
    <t>Terminal</t>
  </si>
  <si>
    <t>Inferior</t>
  </si>
  <si>
    <t>Protractil</t>
  </si>
  <si>
    <t>Superior</t>
  </si>
  <si>
    <t>Hábito Migratorio</t>
  </si>
  <si>
    <t>Estacionario</t>
  </si>
  <si>
    <t xml:space="preserve">Bentónico </t>
  </si>
  <si>
    <t>Pelágico</t>
  </si>
  <si>
    <t>Gobiiformes</t>
  </si>
  <si>
    <t xml:space="preserve">Dajaus </t>
  </si>
  <si>
    <t>Mugiliformes</t>
  </si>
  <si>
    <t>Cichliformes</t>
  </si>
  <si>
    <t>Poeciliidae</t>
  </si>
  <si>
    <t>Cyprinodontiformes</t>
  </si>
  <si>
    <t>Siluriformes</t>
  </si>
  <si>
    <t xml:space="preserve">Andinoacara </t>
  </si>
  <si>
    <t>Comentario gremio trófico</t>
  </si>
  <si>
    <t>Omnívoro</t>
  </si>
  <si>
    <t>Herbívoro</t>
  </si>
  <si>
    <t>Silva (1990) Microherbívoro/ algas filamentosas y bacterias</t>
  </si>
  <si>
    <t>Ibarra-Trujillo y García-Alzate (2017) en otra literatura: Insectivoro/ generalista</t>
  </si>
  <si>
    <t>Matamoros et al (2021) en otra literatura: insectivoro/ carnívoro / generalista</t>
  </si>
  <si>
    <t>Blanco Cervantes (2020) En otra literatura: Especialista / Piscívoras/ depredador</t>
  </si>
  <si>
    <t>Jimenez Prado et al (2020) Detritívoro</t>
  </si>
  <si>
    <t xml:space="preserve">Carnívoro </t>
  </si>
  <si>
    <t>Silva y Tavares (2023)</t>
  </si>
  <si>
    <t>Ibarra-Trujillo y García Alzate (2023): omnívora con tendencia a insectivora generalista</t>
  </si>
  <si>
    <t>Canales-Gomez et al (2024) se alimentan de pequeños crustáceos y plantas / Carnívoro</t>
  </si>
  <si>
    <t>Macroinvertebrados Acuáticos</t>
  </si>
  <si>
    <t>Bajo perfil</t>
  </si>
  <si>
    <t>Alto perfil</t>
  </si>
  <si>
    <t>Gremio ecológico (Rimet y Bouchez, 2012)</t>
  </si>
  <si>
    <t>Grupo</t>
  </si>
  <si>
    <t>Diatomea</t>
  </si>
  <si>
    <t>Cianobacteria</t>
  </si>
  <si>
    <t>Alga Verde</t>
  </si>
  <si>
    <t>Filamentosa no flagelada</t>
  </si>
  <si>
    <t>Unicelular no flagelada</t>
  </si>
  <si>
    <t>Filamento oscilatorial simple</t>
  </si>
  <si>
    <r>
      <rPr>
        <b/>
        <sz val="11"/>
        <color theme="1"/>
        <rFont val="Calibri"/>
        <family val="2"/>
        <scheme val="minor"/>
      </rPr>
      <t>Nota:</t>
    </r>
    <r>
      <rPr>
        <sz val="11"/>
        <color theme="1"/>
        <rFont val="Calibri"/>
        <family val="2"/>
        <scheme val="minor"/>
      </rPr>
      <t xml:space="preserve"> Para la construcción del índice sólo se tendran en cuenta los 11 géneros de diatomeas y los otros 4 géneros pertenecientes a otros grupos (cianobacterias y algas verdes) se toman como información complementaria descriptiva porque en la literatura se ha construido el índice principalmente con Diatomeas y existe una ocurrencia puntual de estos datos, lo que hace díficil su comparación con otros puntos de muestreo</t>
    </r>
  </si>
  <si>
    <t>Índice de Calidad de Riveras - IRQ</t>
  </si>
  <si>
    <t>Propuesta de reescalonamiento del IRQ a IIBveg</t>
  </si>
  <si>
    <r>
      <t xml:space="preserve">1. </t>
    </r>
    <r>
      <rPr>
        <sz val="11"/>
        <color theme="1"/>
        <rFont val="Calibri"/>
        <family val="2"/>
        <scheme val="minor"/>
      </rPr>
      <t xml:space="preserve">Agregación espacial de los sitios a tramos </t>
    </r>
  </si>
  <si>
    <t>Como el IRQ se tomaron en 4 sitios puntuales, el tramo bajo compuesto por Desembocadura + Zaino se propone hacer una ponderación aritmética simple tomando los valores de la tabla 1.2</t>
  </si>
  <si>
    <t xml:space="preserve">Tramos  o segmentos del río </t>
  </si>
  <si>
    <t>Alto</t>
  </si>
  <si>
    <r>
      <t>Tabla 1.1.</t>
    </r>
    <r>
      <rPr>
        <sz val="11"/>
        <color theme="1"/>
        <rFont val="Calibri"/>
        <family val="2"/>
        <scheme val="minor"/>
      </rPr>
      <t xml:space="preserve"> Datos del IRQ por sitio de muestreo</t>
    </r>
  </si>
  <si>
    <r>
      <rPr>
        <b/>
        <sz val="11"/>
        <color theme="1"/>
        <rFont val="Calibri"/>
        <family val="2"/>
        <scheme val="minor"/>
      </rPr>
      <t>Tabla 1.2.</t>
    </r>
    <r>
      <rPr>
        <sz val="11"/>
        <color theme="1"/>
        <rFont val="Calibri"/>
        <family val="2"/>
        <scheme val="minor"/>
      </rPr>
      <t xml:space="preserve"> Datos ajustados del IRQ tabla 1.1.</t>
    </r>
  </si>
  <si>
    <r>
      <rPr>
        <b/>
        <sz val="11"/>
        <color theme="1"/>
        <rFont val="Calibri"/>
        <family val="2"/>
        <scheme val="minor"/>
      </rPr>
      <t>2.</t>
    </r>
    <r>
      <rPr>
        <sz val="11"/>
        <color theme="1"/>
        <rFont val="Calibri"/>
        <family val="2"/>
        <scheme val="minor"/>
      </rPr>
      <t xml:space="preserve"> Reescala del IRQ a IIBveg</t>
    </r>
  </si>
  <si>
    <r>
      <t xml:space="preserve">Se realiza una reescala del IRQ (10 -120)  a un IIBveg (0-1) equivalente y comparable con los componentes del IIB mediante la ecuación:
</t>
    </r>
    <r>
      <rPr>
        <b/>
        <sz val="11"/>
        <color theme="1"/>
        <rFont val="Calibri"/>
        <family val="2"/>
        <scheme val="minor"/>
      </rPr>
      <t>IIBveg=</t>
    </r>
    <r>
      <rPr>
        <sz val="11"/>
        <color theme="1"/>
        <rFont val="Calibri"/>
        <family val="2"/>
        <scheme val="minor"/>
      </rPr>
      <t xml:space="preserve"> (Valor observado IRQ - Valor mínimo posible del IRQ) / (Valor máximo posible del IRQ - Valor mínimo posible del IRQ)</t>
    </r>
  </si>
  <si>
    <t>IIBveg</t>
  </si>
  <si>
    <t>Valor mínimo IRQ</t>
  </si>
  <si>
    <t>Valor máximo IRQ</t>
  </si>
  <si>
    <t>Interpretación IIB</t>
  </si>
  <si>
    <r>
      <rPr>
        <b/>
        <sz val="11"/>
        <color theme="6"/>
        <rFont val="Aptos Narrow"/>
        <family val="2"/>
      </rPr>
      <t>→</t>
    </r>
    <r>
      <rPr>
        <b/>
        <sz val="11"/>
        <color theme="1"/>
        <rFont val="Aptos Narrow"/>
        <family val="2"/>
      </rPr>
      <t xml:space="preserve">  ¿Cómo esta organizado el libro?</t>
    </r>
  </si>
  <si>
    <t xml:space="preserve">Macroinv. </t>
  </si>
  <si>
    <t>Datos crudos de macroinvertebrados acuáticos</t>
  </si>
  <si>
    <t>Perifiton</t>
  </si>
  <si>
    <t>Datos de perifiton depurados (los datos originales estan en la nube carpeta del proyecto)</t>
  </si>
  <si>
    <t>Datos crudos del componente peces</t>
  </si>
  <si>
    <t>Datos de vegetación y propuesta de para la traducción del IQR a IIBveg</t>
  </si>
  <si>
    <r>
      <rPr>
        <b/>
        <sz val="11"/>
        <color theme="6"/>
        <rFont val="Calibri"/>
        <family val="2"/>
        <scheme val="minor"/>
      </rPr>
      <t>→</t>
    </r>
    <r>
      <rPr>
        <b/>
        <sz val="11"/>
        <color theme="1"/>
        <rFont val="Calibri"/>
        <family val="2"/>
        <scheme val="minor"/>
      </rPr>
      <t xml:space="preserve">  Código de Colores (Propuesta)</t>
    </r>
  </si>
  <si>
    <t xml:space="preserve">IBI compuesto </t>
  </si>
  <si>
    <t>Clase ecológica</t>
  </si>
  <si>
    <t>Código de color</t>
  </si>
  <si>
    <t>Descripción</t>
  </si>
  <si>
    <t>[0,0 - 0,2)</t>
  </si>
  <si>
    <t>Muy Pobre</t>
  </si>
  <si>
    <t>Muy pobre integridad biótica de las comunidades acuáticas que implica un estado ecológico muy malo del sitio de muestreo</t>
  </si>
  <si>
    <t>[0,2 - 0,4)</t>
  </si>
  <si>
    <t>Pobre integridad biótica de las comunidades acuáticas que implica un estado ecológico malo del sitio de muestreo</t>
  </si>
  <si>
    <t>[0,4 - 0,6)</t>
  </si>
  <si>
    <t>Moderado</t>
  </si>
  <si>
    <t>Moderada integridad biótica de las comunidades acuáticas que implica un estado ecológico deficiente del sitio de muestreo</t>
  </si>
  <si>
    <t>[0,6 - 0,8)</t>
  </si>
  <si>
    <t>Buena integridad biótica de las comunidades acuáticas que implica un estado ecológico bueno del sitio de muestreo</t>
  </si>
  <si>
    <t>[0,8 - 1,0]</t>
  </si>
  <si>
    <t>Excelente integridad biótica de las comunidades acuáticas que implica un estado ecológico excelente del sitio de muestreo</t>
  </si>
  <si>
    <r>
      <t xml:space="preserve">→ </t>
    </r>
    <r>
      <rPr>
        <b/>
        <sz val="11"/>
        <color theme="1"/>
        <rFont val="Calibri"/>
        <family val="2"/>
        <scheme val="minor"/>
      </rPr>
      <t>Flujo de Trabajo Recomendado (Pinilla et al., 2014)</t>
    </r>
  </si>
  <si>
    <r>
      <t xml:space="preserve">2. </t>
    </r>
    <r>
      <rPr>
        <sz val="11"/>
        <color theme="1"/>
        <rFont val="Calibri"/>
        <family val="2"/>
        <scheme val="minor"/>
      </rPr>
      <t>Listado de métricas ajustadas a la cuenca estudiada</t>
    </r>
  </si>
  <si>
    <r>
      <t xml:space="preserve">3. </t>
    </r>
    <r>
      <rPr>
        <sz val="11"/>
        <color theme="1"/>
        <rFont val="Calibri"/>
        <family val="2"/>
        <scheme val="minor"/>
      </rPr>
      <t xml:space="preserve">Selección de las métricas que mejor describen la cuenca </t>
    </r>
  </si>
  <si>
    <r>
      <t xml:space="preserve">4. </t>
    </r>
    <r>
      <rPr>
        <sz val="11"/>
        <color theme="1"/>
        <rFont val="Calibri"/>
        <family val="2"/>
        <scheme val="minor"/>
      </rPr>
      <t>Calcular las métricas para cada tramo y/o temporada climática</t>
    </r>
  </si>
  <si>
    <r>
      <t xml:space="preserve">5. </t>
    </r>
    <r>
      <rPr>
        <sz val="11"/>
        <color theme="1"/>
        <rFont val="Calibri"/>
        <family val="2"/>
        <scheme val="minor"/>
      </rPr>
      <t>Calculo del IBI preliminar: cálculo del IBI por componente</t>
    </r>
  </si>
  <si>
    <r>
      <t xml:space="preserve">6. </t>
    </r>
    <r>
      <rPr>
        <sz val="11"/>
        <color theme="1"/>
        <rFont val="Calibri"/>
        <family val="2"/>
        <scheme val="minor"/>
      </rPr>
      <t>Estandarización de la métrica por componente: escala de valor de las métricas sean comparables entre si y con los otros componentes del IBI</t>
    </r>
  </si>
  <si>
    <r>
      <t xml:space="preserve">7. </t>
    </r>
    <r>
      <rPr>
        <sz val="11"/>
        <color theme="1"/>
        <rFont val="Calibri"/>
        <family val="2"/>
        <scheme val="minor"/>
      </rPr>
      <t>Delimitación del semanforo: los IBI por componente son comparables en escala de valor y se puede calcular el IBI compuesto</t>
    </r>
  </si>
  <si>
    <r>
      <t xml:space="preserve">8. </t>
    </r>
    <r>
      <rPr>
        <sz val="11"/>
        <color theme="1"/>
        <rFont val="Calibri"/>
        <family val="2"/>
        <scheme val="minor"/>
      </rPr>
      <t>Comparación del valor del IBI calculado por tramo con las variables fisicoquímicas y otros datos de la cuenca para poder explicar el estado de la cuenca</t>
    </r>
  </si>
  <si>
    <r>
      <t xml:space="preserve">→ </t>
    </r>
    <r>
      <rPr>
        <b/>
        <sz val="11"/>
        <color theme="1"/>
        <rFont val="Calibri"/>
        <family val="2"/>
        <scheme val="minor"/>
      </rPr>
      <t>Diccionario de Variables</t>
    </r>
  </si>
  <si>
    <t xml:space="preserve">Definición </t>
  </si>
  <si>
    <t>Ecuación</t>
  </si>
  <si>
    <t>Todos</t>
  </si>
  <si>
    <t xml:space="preserve">Fecha de recolección </t>
  </si>
  <si>
    <t xml:space="preserve">Todos </t>
  </si>
  <si>
    <t>Posición relativa del sitio de muestreo a lo largo del gradiente longitudinal de la cuenca</t>
  </si>
  <si>
    <t>Macro, perifiton, peces</t>
  </si>
  <si>
    <t>-</t>
  </si>
  <si>
    <t>Macro, perifiton</t>
  </si>
  <si>
    <t>Réplicas de macroinvertebrados, perifiton y muestras para el análisis fisicoquímico</t>
  </si>
  <si>
    <t>Horario diurno o nocturno en que se recolecto la muestra</t>
  </si>
  <si>
    <t>Clasificación taxonómica</t>
  </si>
  <si>
    <t xml:space="preserve">Familia </t>
  </si>
  <si>
    <t>Micro-hábitat</t>
  </si>
  <si>
    <t>Tipo de sustrato o hábitat específico dentro del tramo del río donde se realizó la recolección de organismos</t>
  </si>
  <si>
    <t>Macro, peces</t>
  </si>
  <si>
    <t>Número de individuos por morfoespecies</t>
  </si>
  <si>
    <t>Número total de individuos recolectados por tramo</t>
  </si>
  <si>
    <t xml:space="preserve">Grupo funcional </t>
  </si>
  <si>
    <t>Macro</t>
  </si>
  <si>
    <t>Gremio trófico</t>
  </si>
  <si>
    <t xml:space="preserve">Número de familias presentes por tramo </t>
  </si>
  <si>
    <t>Porcentaje de familias de los órdenes de Ephemeroptera, Plecoptera y Trichoptera encontrados</t>
  </si>
  <si>
    <t>Taxones sensibles</t>
  </si>
  <si>
    <t>Número de taxones considerados como sensibles a la pertubación</t>
  </si>
  <si>
    <t>Taxones tolerantes</t>
  </si>
  <si>
    <t>Número de taxones considerados como tolerantes a la perturbación</t>
  </si>
  <si>
    <t>% Colectores (%CG)</t>
  </si>
  <si>
    <t>Porcentaje de taxones que se alimentan de materia orgánica particulada depositada en el sedimento</t>
  </si>
  <si>
    <t>% Depredadores (%Pr)</t>
  </si>
  <si>
    <t>Porcentaje de taxones que se alimentan de tejido animal vivo</t>
  </si>
  <si>
    <t>% Filtradores (%Ft)</t>
  </si>
  <si>
    <t>Porcentaje de taxones que se alimentan de materia orgánica particulada fina de la columna de agua</t>
  </si>
  <si>
    <t>% Raspador (Ras)</t>
  </si>
  <si>
    <t>Porcentaje de taxones que se alimentan de perifiton/ biopelícula</t>
  </si>
  <si>
    <t>% Fragmentadores (%Sh-dt)</t>
  </si>
  <si>
    <t>Porcentaje de taxones que trituran materia orgánica particulada gruesa</t>
  </si>
  <si>
    <t>% Chironomidae (%Chi)</t>
  </si>
  <si>
    <t>Número de taxones que no realizan migraciones de larga distancia con ciclo de vida en una misma área geográfica</t>
  </si>
  <si>
    <t>Número de taxones de aguas con baja salinidad, pero migran hacia el océano durante una etapa de su vida</t>
  </si>
  <si>
    <t>Número de taxones que se consumen recursos mixtos de origen animal y vegetal</t>
  </si>
  <si>
    <t>Número de taxones que se alimentan solo o mayormente de material vegetal</t>
  </si>
  <si>
    <t>Carnívoro</t>
  </si>
  <si>
    <t>Número de taxones que se alimentan mayormente de otros animales</t>
  </si>
  <si>
    <t xml:space="preserve">Número de taxones que habitan en la columna de agua </t>
  </si>
  <si>
    <t>Bentónico</t>
  </si>
  <si>
    <t>Número de taxones que se asocian directamente con el fondo cerca del sustrato</t>
  </si>
  <si>
    <t>Colector-Filtrador (CGF)</t>
  </si>
  <si>
    <t>Taxones que se alimentan de materia orgánica particulada fina suspendida en la columna de agua</t>
  </si>
  <si>
    <t>Colector (CG)</t>
  </si>
  <si>
    <t>Taxones que se alimentan de materia orgánica particulada depositada en el sedimento</t>
  </si>
  <si>
    <t>Fragmentadores (Sh-dt)</t>
  </si>
  <si>
    <t>Taxones que tritura materia orgánica particulada gruesa</t>
  </si>
  <si>
    <t>Depredador (Pr)</t>
  </si>
  <si>
    <t>Taxones que se alimentan de tejido animal vivo</t>
  </si>
  <si>
    <t>Filtrador (Ft)</t>
  </si>
  <si>
    <t>Herbívoro (HR)</t>
  </si>
  <si>
    <t xml:space="preserve">Categoría que agrupa raspadores + consumidores de tejido vegetal vivo </t>
  </si>
  <si>
    <t>Triturador (Tr)</t>
  </si>
  <si>
    <t>Taxones que trituran materia orgánica particulada gruesa de hojarasca y hojas vivas</t>
  </si>
  <si>
    <t>Sedentario / depositario (SD)</t>
  </si>
  <si>
    <t>Organismos poco móviles que viven adheridos o enterrados en el sustrato</t>
  </si>
  <si>
    <t>Detrítivoros (Det)</t>
  </si>
  <si>
    <t>Categoría que agrupa colectores + fragmentadores de materia orgánica muerta</t>
  </si>
  <si>
    <t>Raspador (Ras)</t>
  </si>
  <si>
    <t xml:space="preserve">Taxones que se rapan el paerifiton de superficies duras </t>
  </si>
  <si>
    <t>Nota con respecto al dato, ya sea para verificar o buscar más información al respecto</t>
  </si>
  <si>
    <t>Perifiton, peces</t>
  </si>
  <si>
    <t>Clasificación de los taxones de acuerdo a la respuesta a la perturbación (sensible o tolerante)</t>
  </si>
  <si>
    <t xml:space="preserve">Bajo perfil </t>
  </si>
  <si>
    <t>Gremio ecológico (Passy, 2007): contiene especies de baja estatura que incluyen diatomeas
postradas, adnatas y erectas, centrales solitarias, y especies de baja movilidad</t>
  </si>
  <si>
    <t>Gremio ecológico (Passy, 2007): contiene especies de talla más grande o que tienden a formar grandes colonias. Incluye a las formas erectas, filamentosas, ramificadas, en cadena, tuberiformes, pedunculadas y centrales coloniales</t>
  </si>
  <si>
    <t>Móviles</t>
  </si>
  <si>
    <t>Gremio ecológico (Passy, 2007): contiene especies de rápido movimiento, taxones adaptados a ambientes turbulentos y a altas concentraciones de nutrientes</t>
  </si>
  <si>
    <t>%EPT= (N° indv. EPT  /total indv.)*100</t>
  </si>
  <si>
    <t xml:space="preserve">%CG= (N° indv. CG  /total indv.)*100 </t>
  </si>
  <si>
    <t xml:space="preserve">%Pr= (N° indv. Pr /total indv.)*100 </t>
  </si>
  <si>
    <t xml:space="preserve">%Ft= (N° indv. Ft /total indv.)*100 </t>
  </si>
  <si>
    <t xml:space="preserve">%Ras= (N° indv. Ras /total indv.)*100 </t>
  </si>
  <si>
    <t xml:space="preserve">%Sh-Dt= (N° indv. Sh-Dt /total indv.)*100 </t>
  </si>
  <si>
    <t>%Chi=(N° indv. Chi/total indv.)*100</t>
  </si>
  <si>
    <t>Conjunto de especies o géneros que explotan el mismo tipo de recurso alimenticio</t>
  </si>
  <si>
    <t>Conjunto de especies o géneros que comparten el mismo o estrategia morfológica de conseguir alimento</t>
  </si>
  <si>
    <t>Porcentaje de taxones de la familia Chironomidae</t>
  </si>
  <si>
    <r>
      <rPr>
        <b/>
        <sz val="11"/>
        <color theme="3"/>
        <rFont val="Calibri"/>
        <family val="2"/>
        <scheme val="minor"/>
      </rPr>
      <t>Nota:</t>
    </r>
    <r>
      <rPr>
        <sz val="11"/>
        <color theme="3"/>
        <rFont val="Calibri"/>
        <family val="2"/>
        <scheme val="minor"/>
      </rPr>
      <t xml:space="preserve"> 
-</t>
    </r>
    <r>
      <rPr>
        <b/>
        <sz val="11"/>
        <color theme="3"/>
        <rFont val="Calibri"/>
        <family val="2"/>
        <scheme val="minor"/>
      </rPr>
      <t>Macro (</t>
    </r>
    <r>
      <rPr>
        <sz val="11"/>
        <color theme="3"/>
        <rFont val="Calibri"/>
        <family val="2"/>
        <scheme val="minor"/>
      </rPr>
      <t>Macroinvertebrados acuáticos)
-</t>
    </r>
    <r>
      <rPr>
        <b/>
        <sz val="11"/>
        <color theme="3"/>
        <rFont val="Calibri"/>
        <family val="2"/>
        <scheme val="minor"/>
      </rPr>
      <t>IIBMA</t>
    </r>
    <r>
      <rPr>
        <sz val="11"/>
        <color theme="3"/>
        <rFont val="Calibri"/>
        <family val="2"/>
        <scheme val="minor"/>
      </rPr>
      <t>: índice de integridad biótica componente macroinvertebrados acuáticos
-</t>
    </r>
    <r>
      <rPr>
        <b/>
        <sz val="11"/>
        <color theme="3"/>
        <rFont val="Calibri"/>
        <family val="2"/>
        <scheme val="minor"/>
      </rPr>
      <t>IIBPerif:</t>
    </r>
    <r>
      <rPr>
        <sz val="11"/>
        <color theme="3"/>
        <rFont val="Calibri"/>
        <family val="2"/>
        <scheme val="minor"/>
      </rPr>
      <t xml:space="preserve"> índice de integridad biótica componente perifiton
-</t>
    </r>
    <r>
      <rPr>
        <b/>
        <sz val="11"/>
        <color theme="3"/>
        <rFont val="Calibri"/>
        <family val="2"/>
        <scheme val="minor"/>
      </rPr>
      <t>IIBPeces:</t>
    </r>
    <r>
      <rPr>
        <sz val="11"/>
        <color theme="3"/>
        <rFont val="Calibri"/>
        <family val="2"/>
        <scheme val="minor"/>
      </rPr>
      <t xml:space="preserve"> índice de integridad biótica componente peces
-</t>
    </r>
    <r>
      <rPr>
        <b/>
        <sz val="11"/>
        <color theme="3"/>
        <rFont val="Calibri"/>
        <family val="2"/>
        <scheme val="minor"/>
      </rPr>
      <t>IIBVegRib</t>
    </r>
    <r>
      <rPr>
        <sz val="11"/>
        <color theme="3"/>
        <rFont val="Calibri"/>
        <family val="2"/>
        <scheme val="minor"/>
      </rPr>
      <t>: índice de integridad biótica componente vegetación de ribera
-</t>
    </r>
    <r>
      <rPr>
        <b/>
        <sz val="11"/>
        <color theme="3"/>
        <rFont val="Calibri"/>
        <family val="2"/>
        <scheme val="minor"/>
      </rPr>
      <t xml:space="preserve">IIBComp: </t>
    </r>
    <r>
      <rPr>
        <sz val="11"/>
        <color theme="3"/>
        <rFont val="Calibri"/>
        <family val="2"/>
        <scheme val="minor"/>
      </rPr>
      <t>índice de integridad biótica compuesto</t>
    </r>
  </si>
  <si>
    <t>Microhabitat</t>
  </si>
  <si>
    <r>
      <rPr>
        <b/>
        <sz val="11"/>
        <color theme="1"/>
        <rFont val="Calibri"/>
        <family val="2"/>
        <scheme val="minor"/>
      </rPr>
      <t xml:space="preserve">Tabla 1. </t>
    </r>
    <r>
      <rPr>
        <sz val="11"/>
        <color theme="1"/>
        <rFont val="Calibri"/>
        <family val="2"/>
        <scheme val="minor"/>
      </rPr>
      <t>Datos fisicoquímicos obtenidos del análisis de agua superficial</t>
    </r>
  </si>
  <si>
    <t xml:space="preserve">Tabla 2. Datos fisicoquímicos empleados para el análisis </t>
  </si>
  <si>
    <t>Tramo /sitio</t>
  </si>
  <si>
    <t>Riqueza de catadromos</t>
  </si>
  <si>
    <t>Riqueza de estacionarios</t>
  </si>
  <si>
    <t>Riqueza de taxones sensibles</t>
  </si>
  <si>
    <t>Riqueza de taxones tolerantes</t>
  </si>
  <si>
    <t>Riqueza de taxones pelágicos</t>
  </si>
  <si>
    <t>Riqueza de taxones bentónicos</t>
  </si>
  <si>
    <t>% individuos catádromos</t>
  </si>
  <si>
    <t>% individuos estacionarias</t>
  </si>
  <si>
    <t>% individuos Herbívoros</t>
  </si>
  <si>
    <t>% individuos Omnívoros</t>
  </si>
  <si>
    <t>% individuos Carnívoros</t>
  </si>
  <si>
    <t>% individuos sensibles</t>
  </si>
  <si>
    <t>% indivduos tolerantes</t>
  </si>
  <si>
    <r>
      <rPr>
        <b/>
        <sz val="11"/>
        <color theme="1"/>
        <rFont val="Calibri"/>
        <family val="2"/>
        <scheme val="minor"/>
      </rPr>
      <t>Paso 1.</t>
    </r>
    <r>
      <rPr>
        <sz val="11"/>
        <color theme="1"/>
        <rFont val="Calibri"/>
        <family val="2"/>
        <scheme val="minor"/>
      </rPr>
      <t xml:space="preserve"> Calcular las métricas del IIB y realizar una evaluación discriminante para seleccionar las métricas finales </t>
    </r>
  </si>
  <si>
    <t>Abreviatura</t>
  </si>
  <si>
    <t>Ab</t>
  </si>
  <si>
    <t>Riq</t>
  </si>
  <si>
    <t>%Herb</t>
  </si>
  <si>
    <t>%Omn</t>
  </si>
  <si>
    <t>%Carn</t>
  </si>
  <si>
    <t>%Cat</t>
  </si>
  <si>
    <t>%Est</t>
  </si>
  <si>
    <t>Sens</t>
  </si>
  <si>
    <t>Tol</t>
  </si>
  <si>
    <t>%Sens</t>
  </si>
  <si>
    <t>%Tol</t>
  </si>
  <si>
    <t>Pel</t>
  </si>
  <si>
    <t>Bent</t>
  </si>
  <si>
    <t>IIBPeces</t>
  </si>
  <si>
    <t>Cat</t>
  </si>
  <si>
    <t>Est</t>
  </si>
  <si>
    <t>Dirección</t>
  </si>
  <si>
    <t>Puntaje IBIcomp</t>
  </si>
  <si>
    <r>
      <rPr>
        <b/>
        <sz val="11"/>
        <color theme="1"/>
        <rFont val="Calibri"/>
        <family val="2"/>
        <scheme val="minor"/>
      </rPr>
      <t>Paso 2</t>
    </r>
    <r>
      <rPr>
        <sz val="11"/>
        <color theme="1"/>
        <rFont val="Calibri"/>
        <family val="2"/>
        <scheme val="minor"/>
      </rPr>
      <t>. Asignación de los puntajes</t>
    </r>
  </si>
  <si>
    <r>
      <rPr>
        <b/>
        <sz val="11"/>
        <color theme="1"/>
        <rFont val="Calibri"/>
        <family val="2"/>
        <scheme val="minor"/>
      </rPr>
      <t>Nota</t>
    </r>
    <r>
      <rPr>
        <sz val="11"/>
        <color theme="1"/>
        <rFont val="Calibri"/>
        <family val="2"/>
        <scheme val="minor"/>
      </rPr>
      <t>: Las métricas resaltadas en verde son aquellas que han sido utilizadas por otros autores: Romero (2018) y Teixeira &amp; Araujo (2007). Además  Como métricas finales para el cálculo del IIB</t>
    </r>
  </si>
  <si>
    <t>Aumenta levemente</t>
  </si>
  <si>
    <t xml:space="preserve">Transformación de cada valor a un puntaje entre 0 y 1 realizando una normalización a una escala común de calidad ecológica  ponderada para poder comparar entre los componentes. 
La dirección es la respuesta la variable ante el deterioro, contaminación o perturbación del habitat, aunque no todos tienen una respuesta lineal y cambian de acuerdo al sistema </t>
  </si>
  <si>
    <r>
      <rPr>
        <b/>
        <sz val="11"/>
        <color rgb="FF196B24"/>
        <rFont val="Aptos Narrow"/>
        <family val="2"/>
      </rPr>
      <t>→</t>
    </r>
    <r>
      <rPr>
        <sz val="11"/>
        <color rgb="FF196B24"/>
        <rFont val="Calibri"/>
        <family val="2"/>
      </rPr>
      <t xml:space="preserve"> </t>
    </r>
    <r>
      <rPr>
        <sz val="11"/>
        <color theme="1"/>
        <rFont val="Calibri"/>
        <family val="2"/>
        <scheme val="minor"/>
      </rPr>
      <t>Resumen de puntajes por métrica</t>
    </r>
  </si>
  <si>
    <r>
      <rPr>
        <b/>
        <sz val="11"/>
        <color theme="1"/>
        <rFont val="Calibri"/>
        <family val="2"/>
        <scheme val="minor"/>
      </rPr>
      <t>Paso 3.</t>
    </r>
    <r>
      <rPr>
        <sz val="11"/>
        <color theme="1"/>
        <rFont val="Calibri"/>
        <family val="2"/>
        <scheme val="minor"/>
      </rPr>
      <t xml:space="preserve"> Calculo del IIBPeces</t>
    </r>
  </si>
  <si>
    <t>Puntaje por tramo</t>
  </si>
  <si>
    <r>
      <t xml:space="preserve">Ecuación:
n= </t>
    </r>
    <r>
      <rPr>
        <sz val="11"/>
        <color theme="1"/>
        <rFont val="Calibri"/>
        <family val="2"/>
        <scheme val="minor"/>
      </rPr>
      <t>cantidad de puntajes incluidos en la ecuación</t>
    </r>
    <r>
      <rPr>
        <b/>
        <sz val="11"/>
        <color theme="1"/>
        <rFont val="Calibri"/>
        <family val="2"/>
        <scheme val="minor"/>
      </rPr>
      <t xml:space="preserve">
IIBPeces=</t>
    </r>
    <r>
      <rPr>
        <sz val="11"/>
        <color theme="1"/>
        <rFont val="Calibri"/>
        <family val="2"/>
        <scheme val="minor"/>
      </rPr>
      <t xml:space="preserve"> [Puntaje Ab + Puntaje Riq + Puntaje %Herb + Puntaje %Omn + Puntaje Cat + Puntaje %Cat + Puntaje Sens ]/n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</si>
</sst>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i/>
      <sz val="11"/>
      <color rgb="FF000000"/>
      <name val="Calibri"/>
      <family val="2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  <font>
      <b/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0000"/>
      <name val="Calibri"/>
      <scheme val="minor"/>
    </font>
    <font>
      <sz val="11"/>
      <color rgb="FF000000"/>
      <name val="Calibri"/>
      <scheme val="minor"/>
    </font>
    <font>
      <sz val="11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3"/>
      <name val="Calibri"/>
      <family val="2"/>
      <scheme val="minor"/>
    </font>
    <font>
      <b/>
      <sz val="11"/>
      <color theme="1"/>
      <name val="Aptos Narrow"/>
      <family val="2"/>
    </font>
    <font>
      <b/>
      <sz val="11"/>
      <color theme="6"/>
      <name val="Aptos Narrow"/>
      <family val="2"/>
    </font>
    <font>
      <b/>
      <sz val="11"/>
      <color theme="6"/>
      <name val="Calibri"/>
      <family val="2"/>
      <scheme val="minor"/>
    </font>
    <font>
      <sz val="11"/>
      <color theme="3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b/>
      <sz val="11"/>
      <color rgb="FF196B24"/>
      <name val="Aptos Narrow"/>
      <family val="2"/>
    </font>
    <font>
      <sz val="11"/>
      <color rgb="FF196B24"/>
      <name val="Calibri"/>
      <family val="2"/>
    </font>
  </fonts>
  <fills count="2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D8D8D8"/>
        <bgColor rgb="FFD8D8D8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rgb="FFD9D9D9"/>
        <bgColor rgb="FFD8D8D8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C611"/>
        <bgColor indexed="64"/>
      </patternFill>
    </fill>
    <fill>
      <patternFill patternType="solid">
        <fgColor rgb="FFFC8920"/>
        <bgColor indexed="64"/>
      </patternFill>
    </fill>
    <fill>
      <patternFill patternType="solid">
        <fgColor rgb="FF196B24"/>
        <bgColor indexed="64"/>
      </patternFill>
    </fill>
    <fill>
      <patternFill patternType="solid">
        <fgColor rgb="FF004EDA"/>
        <bgColor indexed="64"/>
      </patternFill>
    </fill>
    <fill>
      <patternFill patternType="solid">
        <fgColor rgb="FFB0DD7F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7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/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0" fillId="0" borderId="1" xfId="0" applyBorder="1" applyAlignment="1">
      <alignment horizontal="left"/>
    </xf>
    <xf numFmtId="14" fontId="0" fillId="0" borderId="0" xfId="0" applyNumberFormat="1"/>
    <xf numFmtId="0" fontId="0" fillId="0" borderId="1" xfId="0" applyBorder="1" applyAlignment="1">
      <alignment horizontal="center" vertical="center"/>
    </xf>
    <xf numFmtId="0" fontId="6" fillId="0" borderId="3" xfId="0" applyFont="1" applyBorder="1"/>
    <xf numFmtId="0" fontId="6" fillId="0" borderId="6" xfId="0" applyFont="1" applyBorder="1"/>
    <xf numFmtId="0" fontId="6" fillId="0" borderId="5" xfId="0" applyFont="1" applyBorder="1"/>
    <xf numFmtId="14" fontId="0" fillId="0" borderId="1" xfId="0" applyNumberFormat="1" applyBorder="1"/>
    <xf numFmtId="0" fontId="6" fillId="0" borderId="1" xfId="0" applyFont="1" applyBorder="1"/>
    <xf numFmtId="0" fontId="7" fillId="0" borderId="1" xfId="0" applyFont="1" applyBorder="1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2" fontId="0" fillId="0" borderId="0" xfId="0" applyNumberFormat="1"/>
    <xf numFmtId="0" fontId="0" fillId="4" borderId="1" xfId="0" applyFill="1" applyBorder="1"/>
    <xf numFmtId="0" fontId="0" fillId="0" borderId="7" xfId="0" applyBorder="1" applyAlignment="1">
      <alignment vertical="center"/>
    </xf>
    <xf numFmtId="0" fontId="8" fillId="5" borderId="2" xfId="0" applyFont="1" applyFill="1" applyBorder="1"/>
    <xf numFmtId="0" fontId="8" fillId="5" borderId="10" xfId="0" applyFont="1" applyFill="1" applyBorder="1"/>
    <xf numFmtId="0" fontId="9" fillId="0" borderId="1" xfId="0" applyFont="1" applyBorder="1"/>
    <xf numFmtId="0" fontId="9" fillId="0" borderId="5" xfId="0" applyFont="1" applyBorder="1"/>
    <xf numFmtId="0" fontId="9" fillId="0" borderId="3" xfId="0" applyFont="1" applyBorder="1"/>
    <xf numFmtId="0" fontId="9" fillId="0" borderId="6" xfId="0" applyFont="1" applyBorder="1"/>
    <xf numFmtId="0" fontId="0" fillId="0" borderId="0" xfId="0" applyAlignment="1">
      <alignment vertical="center"/>
    </xf>
    <xf numFmtId="0" fontId="1" fillId="0" borderId="0" xfId="0" applyFont="1" applyAlignment="1">
      <alignment horizontal="center"/>
    </xf>
    <xf numFmtId="49" fontId="0" fillId="0" borderId="0" xfId="0" applyNumberFormat="1"/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1" fillId="0" borderId="0" xfId="0" applyFont="1" applyAlignment="1">
      <alignment horizontal="left"/>
    </xf>
    <xf numFmtId="14" fontId="0" fillId="0" borderId="1" xfId="0" applyNumberFormat="1" applyBorder="1" applyAlignment="1">
      <alignment horizontal="left"/>
    </xf>
    <xf numFmtId="14" fontId="0" fillId="0" borderId="2" xfId="0" applyNumberFormat="1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0" xfId="0" applyFont="1" applyAlignment="1">
      <alignment vertical="center" wrapText="1"/>
    </xf>
    <xf numFmtId="0" fontId="1" fillId="2" borderId="1" xfId="0" applyFont="1" applyFill="1" applyBorder="1"/>
    <xf numFmtId="0" fontId="0" fillId="7" borderId="1" xfId="0" applyFill="1" applyBorder="1" applyAlignment="1">
      <alignment vertical="center"/>
    </xf>
    <xf numFmtId="0" fontId="0" fillId="8" borderId="1" xfId="0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0" fillId="10" borderId="1" xfId="0" applyFill="1" applyBorder="1" applyAlignment="1">
      <alignment vertical="center"/>
    </xf>
    <xf numFmtId="0" fontId="0" fillId="11" borderId="1" xfId="0" applyFill="1" applyBorder="1" applyAlignment="1">
      <alignment vertical="center"/>
    </xf>
    <xf numFmtId="0" fontId="1" fillId="12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vertical="center"/>
    </xf>
    <xf numFmtId="0" fontId="1" fillId="12" borderId="1" xfId="0" applyFont="1" applyFill="1" applyBorder="1" applyAlignment="1">
      <alignment horizontal="center" vertical="center" wrapText="1"/>
    </xf>
    <xf numFmtId="1" fontId="0" fillId="0" borderId="1" xfId="0" applyNumberFormat="1" applyBorder="1"/>
    <xf numFmtId="0" fontId="0" fillId="0" borderId="5" xfId="0" applyBorder="1"/>
    <xf numFmtId="0" fontId="0" fillId="4" borderId="1" xfId="0" applyFill="1" applyBorder="1" applyAlignment="1">
      <alignment vertical="center"/>
    </xf>
    <xf numFmtId="1" fontId="0" fillId="4" borderId="1" xfId="0" applyNumberFormat="1" applyFill="1" applyBorder="1"/>
    <xf numFmtId="0" fontId="0" fillId="4" borderId="1" xfId="0" applyFill="1" applyBorder="1" applyAlignment="1">
      <alignment horizontal="left" vertical="center" wrapText="1"/>
    </xf>
    <xf numFmtId="0" fontId="0" fillId="4" borderId="7" xfId="0" applyFill="1" applyBorder="1" applyAlignment="1">
      <alignment vertical="center"/>
    </xf>
    <xf numFmtId="0" fontId="0" fillId="4" borderId="1" xfId="0" applyFill="1" applyBorder="1" applyAlignment="1">
      <alignment vertical="center" wrapText="1"/>
    </xf>
    <xf numFmtId="0" fontId="10" fillId="0" borderId="0" xfId="0" applyFont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0" fontId="11" fillId="0" borderId="1" xfId="0" applyFont="1" applyBorder="1"/>
    <xf numFmtId="0" fontId="0" fillId="0" borderId="1" xfId="0" applyBorder="1" applyAlignment="1">
      <alignment horizontal="right"/>
    </xf>
    <xf numFmtId="164" fontId="0" fillId="0" borderId="1" xfId="0" applyNumberFormat="1" applyBorder="1"/>
    <xf numFmtId="0" fontId="0" fillId="0" borderId="0" xfId="0" applyAlignment="1">
      <alignment horizontal="left"/>
    </xf>
    <xf numFmtId="0" fontId="4" fillId="6" borderId="10" xfId="0" applyFont="1" applyFill="1" applyBorder="1"/>
    <xf numFmtId="0" fontId="5" fillId="5" borderId="10" xfId="0" applyFont="1" applyFill="1" applyBorder="1"/>
    <xf numFmtId="0" fontId="10" fillId="3" borderId="2" xfId="0" applyFont="1" applyFill="1" applyBorder="1" applyAlignment="1">
      <alignment vertical="center"/>
    </xf>
    <xf numFmtId="0" fontId="10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11" fillId="0" borderId="0" xfId="0" applyFont="1"/>
    <xf numFmtId="0" fontId="1" fillId="14" borderId="9" xfId="0" applyFont="1" applyFill="1" applyBorder="1"/>
    <xf numFmtId="0" fontId="1" fillId="14" borderId="1" xfId="0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/>
    </xf>
    <xf numFmtId="164" fontId="0" fillId="0" borderId="1" xfId="0" applyNumberFormat="1" applyBorder="1" applyAlignment="1">
      <alignment vertical="center"/>
    </xf>
    <xf numFmtId="0" fontId="1" fillId="14" borderId="16" xfId="0" applyFont="1" applyFill="1" applyBorder="1"/>
    <xf numFmtId="0" fontId="10" fillId="3" borderId="1" xfId="0" applyFont="1" applyFill="1" applyBorder="1" applyAlignment="1">
      <alignment horizontal="left" vertical="center"/>
    </xf>
    <xf numFmtId="0" fontId="15" fillId="0" borderId="1" xfId="0" applyFont="1" applyBorder="1" applyAlignment="1">
      <alignment horizontal="left" vertical="center"/>
    </xf>
    <xf numFmtId="0" fontId="1" fillId="14" borderId="17" xfId="0" applyFont="1" applyFill="1" applyBorder="1" applyAlignment="1">
      <alignment horizontal="left"/>
    </xf>
    <xf numFmtId="0" fontId="1" fillId="14" borderId="17" xfId="0" applyFont="1" applyFill="1" applyBorder="1"/>
    <xf numFmtId="0" fontId="0" fillId="9" borderId="1" xfId="0" applyFill="1" applyBorder="1" applyAlignment="1">
      <alignment vertical="center" wrapText="1"/>
    </xf>
    <xf numFmtId="14" fontId="6" fillId="0" borderId="1" xfId="0" applyNumberFormat="1" applyFont="1" applyBorder="1"/>
    <xf numFmtId="0" fontId="16" fillId="0" borderId="0" xfId="0" applyFont="1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4" fillId="3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vertical="center"/>
    </xf>
    <xf numFmtId="0" fontId="15" fillId="0" borderId="1" xfId="0" applyFont="1" applyBorder="1" applyAlignment="1">
      <alignment vertical="center"/>
    </xf>
    <xf numFmtId="0" fontId="0" fillId="0" borderId="0" xfId="0" applyAlignment="1">
      <alignment vertical="center" wrapText="1"/>
    </xf>
    <xf numFmtId="1" fontId="0" fillId="0" borderId="1" xfId="0" applyNumberFormat="1" applyBorder="1" applyAlignment="1">
      <alignment horizontal="center"/>
    </xf>
    <xf numFmtId="165" fontId="0" fillId="0" borderId="0" xfId="0" applyNumberFormat="1"/>
    <xf numFmtId="2" fontId="0" fillId="0" borderId="1" xfId="0" applyNumberFormat="1" applyBorder="1"/>
    <xf numFmtId="0" fontId="0" fillId="15" borderId="1" xfId="0" applyFill="1" applyBorder="1"/>
    <xf numFmtId="0" fontId="0" fillId="16" borderId="1" xfId="0" applyFill="1" applyBorder="1"/>
    <xf numFmtId="0" fontId="0" fillId="17" borderId="1" xfId="0" applyFill="1" applyBorder="1"/>
    <xf numFmtId="2" fontId="0" fillId="0" borderId="1" xfId="0" applyNumberFormat="1" applyBorder="1" applyAlignment="1">
      <alignment horizontal="center"/>
    </xf>
    <xf numFmtId="14" fontId="0" fillId="0" borderId="0" xfId="0" applyNumberFormat="1" applyAlignment="1">
      <alignment horizontal="right"/>
    </xf>
    <xf numFmtId="0" fontId="18" fillId="0" borderId="0" xfId="0" applyFont="1"/>
    <xf numFmtId="0" fontId="20" fillId="0" borderId="0" xfId="0" applyFont="1"/>
    <xf numFmtId="0" fontId="0" fillId="11" borderId="1" xfId="0" applyFill="1" applyBorder="1"/>
    <xf numFmtId="0" fontId="0" fillId="18" borderId="1" xfId="0" applyFill="1" applyBorder="1"/>
    <xf numFmtId="0" fontId="10" fillId="3" borderId="14" xfId="0" applyFont="1" applyFill="1" applyBorder="1" applyAlignment="1">
      <alignment horizontal="center" vertical="center"/>
    </xf>
    <xf numFmtId="0" fontId="21" fillId="0" borderId="0" xfId="0" applyFont="1" applyAlignment="1">
      <alignment wrapText="1"/>
    </xf>
    <xf numFmtId="0" fontId="22" fillId="2" borderId="1" xfId="0" applyFont="1" applyFill="1" applyBorder="1" applyAlignment="1">
      <alignment horizontal="center" vertical="center" wrapText="1"/>
    </xf>
    <xf numFmtId="0" fontId="23" fillId="2" borderId="1" xfId="0" applyFont="1" applyFill="1" applyBorder="1" applyAlignment="1">
      <alignment horizontal="center"/>
    </xf>
    <xf numFmtId="14" fontId="0" fillId="0" borderId="0" xfId="0" applyNumberFormat="1" applyAlignment="1">
      <alignment horizontal="left"/>
    </xf>
    <xf numFmtId="1" fontId="0" fillId="0" borderId="0" xfId="0" applyNumberFormat="1"/>
    <xf numFmtId="165" fontId="0" fillId="0" borderId="1" xfId="0" applyNumberFormat="1" applyBorder="1"/>
    <xf numFmtId="166" fontId="0" fillId="0" borderId="1" xfId="0" applyNumberFormat="1" applyBorder="1"/>
    <xf numFmtId="0" fontId="0" fillId="19" borderId="1" xfId="0" applyFill="1" applyBorder="1"/>
    <xf numFmtId="16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 vertical="top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/>
    </xf>
    <xf numFmtId="0" fontId="10" fillId="3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0" fillId="3" borderId="14" xfId="0" applyFont="1" applyFill="1" applyBorder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21" fillId="0" borderId="18" xfId="0" applyFont="1" applyBorder="1" applyAlignment="1">
      <alignment horizontal="left" wrapText="1"/>
    </xf>
    <xf numFmtId="0" fontId="21" fillId="0" borderId="19" xfId="0" applyFont="1" applyBorder="1" applyAlignment="1">
      <alignment horizontal="left" wrapText="1"/>
    </xf>
    <xf numFmtId="0" fontId="21" fillId="0" borderId="20" xfId="0" applyFont="1" applyBorder="1" applyAlignment="1">
      <alignment horizontal="left" wrapText="1"/>
    </xf>
    <xf numFmtId="0" fontId="21" fillId="0" borderId="21" xfId="0" applyFont="1" applyBorder="1" applyAlignment="1">
      <alignment horizontal="left" wrapText="1"/>
    </xf>
    <xf numFmtId="0" fontId="21" fillId="0" borderId="0" xfId="0" applyFont="1" applyAlignment="1">
      <alignment horizontal="left" wrapText="1"/>
    </xf>
    <xf numFmtId="0" fontId="21" fillId="0" borderId="22" xfId="0" applyFont="1" applyBorder="1" applyAlignment="1">
      <alignment horizontal="left" wrapText="1"/>
    </xf>
    <xf numFmtId="0" fontId="21" fillId="0" borderId="23" xfId="0" applyFont="1" applyBorder="1" applyAlignment="1">
      <alignment horizontal="left" wrapText="1"/>
    </xf>
    <xf numFmtId="0" fontId="21" fillId="0" borderId="24" xfId="0" applyFont="1" applyBorder="1" applyAlignment="1">
      <alignment horizontal="left" wrapText="1"/>
    </xf>
    <xf numFmtId="0" fontId="21" fillId="0" borderId="25" xfId="0" applyFont="1" applyBorder="1" applyAlignment="1">
      <alignment horizontal="left" wrapText="1"/>
    </xf>
    <xf numFmtId="0" fontId="1" fillId="2" borderId="2" xfId="0" applyFont="1" applyFill="1" applyBorder="1" applyAlignment="1">
      <alignment horizontal="center"/>
    </xf>
    <xf numFmtId="0" fontId="0" fillId="0" borderId="0" xfId="0" applyAlignment="1">
      <alignment horizontal="left" wrapText="1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164" fontId="0" fillId="0" borderId="2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1" fillId="0" borderId="0" xfId="0" applyFont="1" applyAlignment="1">
      <alignment horizontal="left" wrapText="1"/>
    </xf>
    <xf numFmtId="0" fontId="1" fillId="0" borderId="9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1" fontId="1" fillId="0" borderId="14" xfId="0" applyNumberFormat="1" applyFont="1" applyBorder="1" applyAlignment="1">
      <alignment horizontal="center" vertical="center"/>
    </xf>
    <xf numFmtId="1" fontId="1" fillId="0" borderId="0" xfId="0" applyNumberFormat="1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wrapText="1"/>
    </xf>
    <xf numFmtId="0" fontId="0" fillId="0" borderId="9" xfId="0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196B24"/>
      <color rgb="FFB0DD7F"/>
      <color rgb="FFFC8920"/>
      <color rgb="FFFFFF99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158125</xdr:colOff>
      <xdr:row>23</xdr:row>
      <xdr:rowOff>119708</xdr:rowOff>
    </xdr:from>
    <xdr:to>
      <xdr:col>4</xdr:col>
      <xdr:colOff>765678</xdr:colOff>
      <xdr:row>49</xdr:row>
      <xdr:rowOff>1949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C60CF40-2E0B-56AB-9A67-54E43B10A9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8125" y="4673779"/>
          <a:ext cx="4695459" cy="454388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AEDAE-6A87-428F-A9C2-3DA8AB98E1F3}">
  <sheetPr>
    <tabColor theme="0" tint="-4.9989318521683403E-2"/>
  </sheetPr>
  <dimension ref="A1:F6"/>
  <sheetViews>
    <sheetView workbookViewId="0">
      <selection activeCell="D3" sqref="D3:E3"/>
    </sheetView>
  </sheetViews>
  <sheetFormatPr baseColWidth="10" defaultColWidth="11.42578125" defaultRowHeight="15" x14ac:dyDescent="0.25"/>
  <cols>
    <col min="1" max="1" width="20.140625" bestFit="1" customWidth="1"/>
    <col min="2" max="2" width="20.140625" customWidth="1"/>
    <col min="4" max="4" width="13" bestFit="1" customWidth="1"/>
    <col min="5" max="5" width="14.7109375" customWidth="1"/>
    <col min="6" max="6" width="6.7109375" bestFit="1" customWidth="1"/>
  </cols>
  <sheetData>
    <row r="1" spans="1:6" x14ac:dyDescent="0.25">
      <c r="A1" s="23" t="s">
        <v>0</v>
      </c>
      <c r="B1" s="24" t="s">
        <v>1</v>
      </c>
      <c r="C1" s="24" t="s">
        <v>2</v>
      </c>
      <c r="D1" s="67" t="s">
        <v>3</v>
      </c>
      <c r="E1" s="67" t="s">
        <v>4</v>
      </c>
      <c r="F1" s="68" t="s">
        <v>5</v>
      </c>
    </row>
    <row r="2" spans="1:6" x14ac:dyDescent="0.25">
      <c r="A2" s="25" t="s">
        <v>6</v>
      </c>
      <c r="B2" s="26" t="s">
        <v>7</v>
      </c>
      <c r="C2" s="26" t="s">
        <v>8</v>
      </c>
      <c r="D2" s="12" t="s">
        <v>9</v>
      </c>
      <c r="E2" s="12" t="s">
        <v>10</v>
      </c>
      <c r="F2" s="26">
        <v>18</v>
      </c>
    </row>
    <row r="3" spans="1:6" x14ac:dyDescent="0.25">
      <c r="A3" s="27" t="s">
        <v>11</v>
      </c>
      <c r="B3" s="28" t="s">
        <v>7</v>
      </c>
      <c r="C3" s="28" t="s">
        <v>12</v>
      </c>
      <c r="D3" s="28" t="s">
        <v>13</v>
      </c>
      <c r="E3" s="28" t="s">
        <v>14</v>
      </c>
      <c r="F3" s="28">
        <v>54</v>
      </c>
    </row>
    <row r="4" spans="1:6" x14ac:dyDescent="0.25">
      <c r="A4" s="10" t="s">
        <v>15</v>
      </c>
      <c r="B4" s="11" t="s">
        <v>16</v>
      </c>
      <c r="C4" s="11" t="s">
        <v>17</v>
      </c>
      <c r="D4" s="11" t="s">
        <v>18</v>
      </c>
      <c r="E4" s="11" t="s">
        <v>19</v>
      </c>
      <c r="F4" s="28">
        <v>427</v>
      </c>
    </row>
    <row r="5" spans="1:6" x14ac:dyDescent="0.25">
      <c r="A5" s="10" t="s">
        <v>20</v>
      </c>
      <c r="B5" s="11" t="s">
        <v>16</v>
      </c>
      <c r="C5" s="11" t="s">
        <v>21</v>
      </c>
      <c r="D5" s="11" t="s">
        <v>22</v>
      </c>
      <c r="E5" s="11" t="s">
        <v>23</v>
      </c>
      <c r="F5" s="28">
        <v>564</v>
      </c>
    </row>
    <row r="6" spans="1:6" x14ac:dyDescent="0.25">
      <c r="A6" s="27" t="s">
        <v>24</v>
      </c>
      <c r="B6" s="28" t="s">
        <v>25</v>
      </c>
      <c r="C6" s="28" t="s">
        <v>26</v>
      </c>
      <c r="D6" s="28" t="s">
        <v>27</v>
      </c>
      <c r="E6" s="28" t="s">
        <v>28</v>
      </c>
      <c r="F6" s="28">
        <v>1000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82D7A-B1D2-4BB3-9AAD-D63282D80179}">
  <sheetPr>
    <tabColor rgb="FF92D050"/>
  </sheetPr>
  <dimension ref="A3:L93"/>
  <sheetViews>
    <sheetView workbookViewId="0">
      <selection activeCell="C23" sqref="C23"/>
    </sheetView>
  </sheetViews>
  <sheetFormatPr baseColWidth="10" defaultRowHeight="15" x14ac:dyDescent="0.25"/>
  <cols>
    <col min="1" max="1" width="25.5703125" customWidth="1"/>
    <col min="2" max="2" width="22" customWidth="1"/>
    <col min="3" max="3" width="34.28515625" customWidth="1"/>
  </cols>
  <sheetData>
    <row r="3" spans="1:12" x14ac:dyDescent="0.25">
      <c r="A3" s="103" t="s">
        <v>673</v>
      </c>
      <c r="B3" s="4"/>
    </row>
    <row r="5" spans="1:12" x14ac:dyDescent="0.25">
      <c r="A5" s="1" t="s">
        <v>674</v>
      </c>
      <c r="B5" s="124" t="s">
        <v>675</v>
      </c>
      <c r="C5" s="124"/>
      <c r="D5" s="124"/>
      <c r="E5" s="124"/>
      <c r="F5" s="124"/>
      <c r="G5" s="124"/>
    </row>
    <row r="6" spans="1:12" x14ac:dyDescent="0.25">
      <c r="A6" s="1" t="s">
        <v>676</v>
      </c>
      <c r="B6" s="124" t="s">
        <v>677</v>
      </c>
      <c r="C6" s="124"/>
      <c r="D6" s="124"/>
      <c r="E6" s="124"/>
      <c r="F6" s="124"/>
      <c r="G6" s="124"/>
    </row>
    <row r="7" spans="1:12" x14ac:dyDescent="0.25">
      <c r="A7" s="1" t="s">
        <v>505</v>
      </c>
      <c r="B7" s="124" t="s">
        <v>678</v>
      </c>
      <c r="C7" s="124"/>
      <c r="D7" s="124"/>
      <c r="E7" s="124"/>
      <c r="F7" s="124"/>
      <c r="G7" s="124"/>
    </row>
    <row r="8" spans="1:12" x14ac:dyDescent="0.25">
      <c r="A8" s="1" t="s">
        <v>527</v>
      </c>
      <c r="B8" s="124" t="s">
        <v>679</v>
      </c>
      <c r="C8" s="124"/>
      <c r="D8" s="124"/>
      <c r="E8" s="124"/>
      <c r="F8" s="124"/>
      <c r="G8" s="124"/>
    </row>
    <row r="11" spans="1:12" x14ac:dyDescent="0.25">
      <c r="A11" s="4" t="s">
        <v>680</v>
      </c>
    </row>
    <row r="12" spans="1:12" x14ac:dyDescent="0.25">
      <c r="A12" s="4"/>
    </row>
    <row r="13" spans="1:12" x14ac:dyDescent="0.25">
      <c r="A13" s="126" t="s">
        <v>681</v>
      </c>
      <c r="B13" s="126"/>
    </row>
    <row r="14" spans="1:12" x14ac:dyDescent="0.25">
      <c r="A14" s="4"/>
    </row>
    <row r="15" spans="1:12" x14ac:dyDescent="0.25">
      <c r="A15" s="61" t="s">
        <v>827</v>
      </c>
      <c r="B15" s="61" t="s">
        <v>682</v>
      </c>
      <c r="C15" s="61" t="s">
        <v>683</v>
      </c>
      <c r="D15" s="125" t="s">
        <v>684</v>
      </c>
      <c r="E15" s="125"/>
      <c r="F15" s="125"/>
      <c r="G15" s="125"/>
      <c r="H15" s="125"/>
      <c r="I15" s="125"/>
      <c r="J15" s="125"/>
      <c r="K15" s="125"/>
      <c r="L15" s="125"/>
    </row>
    <row r="16" spans="1:12" x14ac:dyDescent="0.25">
      <c r="A16" s="1" t="s">
        <v>685</v>
      </c>
      <c r="B16" s="1" t="s">
        <v>686</v>
      </c>
      <c r="C16" s="105"/>
      <c r="D16" s="124" t="s">
        <v>687</v>
      </c>
      <c r="E16" s="124"/>
      <c r="F16" s="124"/>
      <c r="G16" s="124"/>
      <c r="H16" s="124"/>
      <c r="I16" s="124"/>
      <c r="J16" s="124"/>
      <c r="K16" s="124"/>
      <c r="L16" s="124"/>
    </row>
    <row r="17" spans="1:12" x14ac:dyDescent="0.25">
      <c r="A17" s="1" t="s">
        <v>688</v>
      </c>
      <c r="B17" s="1" t="s">
        <v>282</v>
      </c>
      <c r="C17" s="99"/>
      <c r="D17" s="124" t="s">
        <v>689</v>
      </c>
      <c r="E17" s="124"/>
      <c r="F17" s="124"/>
      <c r="G17" s="124"/>
      <c r="H17" s="124"/>
      <c r="I17" s="124"/>
      <c r="J17" s="124"/>
      <c r="K17" s="124"/>
      <c r="L17" s="124"/>
    </row>
    <row r="18" spans="1:12" x14ac:dyDescent="0.25">
      <c r="A18" s="1" t="s">
        <v>690</v>
      </c>
      <c r="B18" s="1" t="s">
        <v>691</v>
      </c>
      <c r="C18" s="98"/>
      <c r="D18" s="124" t="s">
        <v>692</v>
      </c>
      <c r="E18" s="124"/>
      <c r="F18" s="124"/>
      <c r="G18" s="124"/>
      <c r="H18" s="124"/>
      <c r="I18" s="124"/>
      <c r="J18" s="124"/>
      <c r="K18" s="124"/>
      <c r="L18" s="124"/>
    </row>
    <row r="19" spans="1:12" x14ac:dyDescent="0.25">
      <c r="A19" s="1" t="s">
        <v>693</v>
      </c>
      <c r="B19" s="1" t="s">
        <v>542</v>
      </c>
      <c r="C19" s="100"/>
      <c r="D19" s="124" t="s">
        <v>694</v>
      </c>
      <c r="E19" s="124"/>
      <c r="F19" s="124"/>
      <c r="G19" s="124"/>
      <c r="H19" s="124"/>
      <c r="I19" s="124"/>
      <c r="J19" s="124"/>
      <c r="K19" s="124"/>
      <c r="L19" s="124"/>
    </row>
    <row r="20" spans="1:12" x14ac:dyDescent="0.25">
      <c r="A20" s="1" t="s">
        <v>695</v>
      </c>
      <c r="B20" s="1" t="s">
        <v>266</v>
      </c>
      <c r="C20" s="106"/>
      <c r="D20" s="124" t="s">
        <v>696</v>
      </c>
      <c r="E20" s="124"/>
      <c r="F20" s="124"/>
      <c r="G20" s="124"/>
      <c r="H20" s="124"/>
      <c r="I20" s="124"/>
      <c r="J20" s="124"/>
      <c r="K20" s="124"/>
      <c r="L20" s="124"/>
    </row>
    <row r="23" spans="1:12" x14ac:dyDescent="0.25">
      <c r="A23" s="104" t="s">
        <v>697</v>
      </c>
    </row>
    <row r="25" spans="1:12" x14ac:dyDescent="0.25">
      <c r="A25" s="34" t="s">
        <v>233</v>
      </c>
      <c r="B25" s="30"/>
      <c r="C25" s="30"/>
    </row>
    <row r="26" spans="1:12" x14ac:dyDescent="0.25">
      <c r="A26" s="34" t="s">
        <v>698</v>
      </c>
      <c r="B26" s="30"/>
      <c r="C26" s="30"/>
    </row>
    <row r="27" spans="1:12" x14ac:dyDescent="0.25">
      <c r="A27" s="34" t="s">
        <v>699</v>
      </c>
      <c r="B27" s="30"/>
      <c r="C27" s="30"/>
    </row>
    <row r="28" spans="1:12" x14ac:dyDescent="0.25">
      <c r="A28" s="34" t="s">
        <v>700</v>
      </c>
      <c r="B28" s="30"/>
      <c r="C28" s="30"/>
    </row>
    <row r="29" spans="1:12" x14ac:dyDescent="0.25">
      <c r="A29" s="34" t="s">
        <v>701</v>
      </c>
      <c r="B29" s="30"/>
      <c r="C29" s="30"/>
    </row>
    <row r="30" spans="1:12" x14ac:dyDescent="0.25">
      <c r="A30" s="34" t="s">
        <v>702</v>
      </c>
      <c r="B30" s="30"/>
      <c r="C30" s="30"/>
    </row>
    <row r="31" spans="1:12" x14ac:dyDescent="0.25">
      <c r="A31" s="34" t="s">
        <v>703</v>
      </c>
      <c r="B31" s="30"/>
      <c r="C31" s="30"/>
    </row>
    <row r="32" spans="1:12" x14ac:dyDescent="0.25">
      <c r="A32" s="34" t="s">
        <v>704</v>
      </c>
    </row>
    <row r="35" spans="1:12" x14ac:dyDescent="0.25">
      <c r="A35" s="104" t="s">
        <v>705</v>
      </c>
    </row>
    <row r="36" spans="1:12" ht="15.75" thickBot="1" x14ac:dyDescent="0.3">
      <c r="A36" s="104"/>
    </row>
    <row r="37" spans="1:12" ht="14.45" customHeight="1" x14ac:dyDescent="0.25">
      <c r="A37" s="129" t="s">
        <v>790</v>
      </c>
      <c r="B37" s="130"/>
      <c r="C37" s="131"/>
      <c r="D37" s="108"/>
      <c r="E37" s="108"/>
    </row>
    <row r="38" spans="1:12" x14ac:dyDescent="0.25">
      <c r="A38" s="132"/>
      <c r="B38" s="133"/>
      <c r="C38" s="134"/>
      <c r="D38" s="108"/>
      <c r="E38" s="108"/>
    </row>
    <row r="39" spans="1:12" x14ac:dyDescent="0.25">
      <c r="A39" s="132"/>
      <c r="B39" s="133"/>
      <c r="C39" s="134"/>
      <c r="D39" s="108"/>
      <c r="E39" s="108"/>
    </row>
    <row r="40" spans="1:12" x14ac:dyDescent="0.25">
      <c r="A40" s="132"/>
      <c r="B40" s="133"/>
      <c r="C40" s="134"/>
      <c r="D40" s="108"/>
      <c r="E40" s="108"/>
    </row>
    <row r="41" spans="1:12" x14ac:dyDescent="0.25">
      <c r="A41" s="132"/>
      <c r="B41" s="133"/>
      <c r="C41" s="134"/>
      <c r="D41" s="108"/>
      <c r="E41" s="108"/>
    </row>
    <row r="42" spans="1:12" x14ac:dyDescent="0.25">
      <c r="A42" s="132"/>
      <c r="B42" s="133"/>
      <c r="C42" s="134"/>
      <c r="D42" s="108"/>
      <c r="E42" s="108"/>
    </row>
    <row r="43" spans="1:12" ht="15.75" thickBot="1" x14ac:dyDescent="0.3">
      <c r="A43" s="135"/>
      <c r="B43" s="136"/>
      <c r="C43" s="137"/>
      <c r="D43" s="108"/>
      <c r="E43" s="108"/>
    </row>
    <row r="45" spans="1:12" x14ac:dyDescent="0.25">
      <c r="A45" s="70" t="s">
        <v>237</v>
      </c>
      <c r="B45" s="70" t="s">
        <v>615</v>
      </c>
      <c r="C45" s="107" t="s">
        <v>707</v>
      </c>
      <c r="D45" s="127" t="s">
        <v>706</v>
      </c>
      <c r="E45" s="128"/>
      <c r="F45" s="128"/>
      <c r="G45" s="128"/>
      <c r="H45" s="128"/>
      <c r="I45" s="128"/>
      <c r="J45" s="128"/>
      <c r="K45" s="128"/>
      <c r="L45" s="128"/>
    </row>
    <row r="46" spans="1:12" x14ac:dyDescent="0.25">
      <c r="A46" s="41" t="s">
        <v>743</v>
      </c>
      <c r="B46" s="41" t="s">
        <v>725</v>
      </c>
      <c r="C46" s="33" t="s">
        <v>786</v>
      </c>
      <c r="D46" s="117" t="s">
        <v>789</v>
      </c>
      <c r="E46" s="117"/>
      <c r="F46" s="117"/>
      <c r="G46" s="117"/>
      <c r="H46" s="117"/>
      <c r="I46" s="117"/>
      <c r="J46" s="117"/>
      <c r="K46" s="117"/>
      <c r="L46" s="117"/>
    </row>
    <row r="47" spans="1:12" x14ac:dyDescent="0.25">
      <c r="A47" s="41" t="s">
        <v>733</v>
      </c>
      <c r="B47" s="41" t="s">
        <v>725</v>
      </c>
      <c r="C47" s="33" t="s">
        <v>781</v>
      </c>
      <c r="D47" s="117" t="s">
        <v>734</v>
      </c>
      <c r="E47" s="117"/>
      <c r="F47" s="117"/>
      <c r="G47" s="117"/>
      <c r="H47" s="117"/>
      <c r="I47" s="117"/>
      <c r="J47" s="117"/>
      <c r="K47" s="117"/>
      <c r="L47" s="117"/>
    </row>
    <row r="48" spans="1:12" x14ac:dyDescent="0.25">
      <c r="A48" s="41" t="s">
        <v>735</v>
      </c>
      <c r="B48" s="41" t="s">
        <v>725</v>
      </c>
      <c r="C48" s="33" t="s">
        <v>782</v>
      </c>
      <c r="D48" s="117" t="s">
        <v>736</v>
      </c>
      <c r="E48" s="117"/>
      <c r="F48" s="117"/>
      <c r="G48" s="117"/>
      <c r="H48" s="117"/>
      <c r="I48" s="117"/>
      <c r="J48" s="117"/>
      <c r="K48" s="117"/>
      <c r="L48" s="117"/>
    </row>
    <row r="49" spans="1:12" x14ac:dyDescent="0.25">
      <c r="A49" s="41" t="s">
        <v>737</v>
      </c>
      <c r="B49" s="41" t="s">
        <v>725</v>
      </c>
      <c r="C49" s="33" t="s">
        <v>783</v>
      </c>
      <c r="D49" s="117" t="s">
        <v>738</v>
      </c>
      <c r="E49" s="117"/>
      <c r="F49" s="117"/>
      <c r="G49" s="117"/>
      <c r="H49" s="117"/>
      <c r="I49" s="117"/>
      <c r="J49" s="117"/>
      <c r="K49" s="117"/>
      <c r="L49" s="117"/>
    </row>
    <row r="50" spans="1:12" ht="30" x14ac:dyDescent="0.25">
      <c r="A50" s="41" t="s">
        <v>741</v>
      </c>
      <c r="B50" s="41" t="s">
        <v>725</v>
      </c>
      <c r="C50" s="33" t="s">
        <v>785</v>
      </c>
      <c r="D50" s="117" t="s">
        <v>742</v>
      </c>
      <c r="E50" s="117"/>
      <c r="F50" s="117"/>
      <c r="G50" s="117"/>
      <c r="H50" s="117"/>
      <c r="I50" s="117"/>
      <c r="J50" s="117"/>
      <c r="K50" s="117"/>
      <c r="L50" s="117"/>
    </row>
    <row r="51" spans="1:12" x14ac:dyDescent="0.25">
      <c r="A51" s="41" t="s">
        <v>739</v>
      </c>
      <c r="B51" s="41" t="s">
        <v>725</v>
      </c>
      <c r="C51" s="33" t="s">
        <v>784</v>
      </c>
      <c r="D51" s="117" t="s">
        <v>740</v>
      </c>
      <c r="E51" s="117"/>
      <c r="F51" s="117"/>
      <c r="G51" s="117"/>
      <c r="H51" s="117"/>
      <c r="I51" s="117"/>
      <c r="J51" s="117"/>
      <c r="K51" s="117"/>
      <c r="L51" s="117"/>
    </row>
    <row r="52" spans="1:12" x14ac:dyDescent="0.25">
      <c r="A52" s="41" t="s">
        <v>293</v>
      </c>
      <c r="B52" s="41" t="s">
        <v>725</v>
      </c>
      <c r="C52" s="41" t="s">
        <v>780</v>
      </c>
      <c r="D52" s="117" t="s">
        <v>728</v>
      </c>
      <c r="E52" s="117"/>
      <c r="F52" s="117"/>
      <c r="G52" s="117"/>
      <c r="H52" s="117"/>
      <c r="I52" s="117"/>
      <c r="J52" s="117"/>
      <c r="K52" s="117"/>
      <c r="L52" s="117"/>
    </row>
    <row r="53" spans="1:12" x14ac:dyDescent="0.25">
      <c r="A53" s="41" t="s">
        <v>616</v>
      </c>
      <c r="B53" s="41" t="s">
        <v>721</v>
      </c>
      <c r="C53" s="41" t="s">
        <v>713</v>
      </c>
      <c r="D53" s="117" t="s">
        <v>722</v>
      </c>
      <c r="E53" s="117"/>
      <c r="F53" s="117"/>
      <c r="G53" s="117"/>
      <c r="H53" s="117"/>
      <c r="I53" s="117"/>
      <c r="J53" s="117"/>
      <c r="K53" s="117"/>
      <c r="L53" s="117"/>
    </row>
    <row r="54" spans="1:12" x14ac:dyDescent="0.25">
      <c r="A54" s="41" t="s">
        <v>288</v>
      </c>
      <c r="B54" s="41" t="s">
        <v>721</v>
      </c>
      <c r="C54" s="41" t="s">
        <v>713</v>
      </c>
      <c r="D54" s="117" t="s">
        <v>723</v>
      </c>
      <c r="E54" s="117"/>
      <c r="F54" s="117"/>
      <c r="G54" s="117"/>
      <c r="H54" s="117"/>
      <c r="I54" s="117"/>
      <c r="J54" s="117"/>
      <c r="K54" s="117"/>
      <c r="L54" s="117"/>
    </row>
    <row r="55" spans="1:12" ht="37.15" customHeight="1" x14ac:dyDescent="0.25">
      <c r="A55" s="41" t="s">
        <v>649</v>
      </c>
      <c r="B55" s="41" t="s">
        <v>676</v>
      </c>
      <c r="C55" s="41" t="s">
        <v>713</v>
      </c>
      <c r="D55" s="117" t="s">
        <v>777</v>
      </c>
      <c r="E55" s="117"/>
      <c r="F55" s="117"/>
      <c r="G55" s="117"/>
      <c r="H55" s="117"/>
      <c r="I55" s="117"/>
      <c r="J55" s="117"/>
      <c r="K55" s="117"/>
      <c r="L55" s="117"/>
    </row>
    <row r="56" spans="1:12" x14ac:dyDescent="0.25">
      <c r="A56" s="41" t="s">
        <v>104</v>
      </c>
      <c r="B56" s="41" t="s">
        <v>708</v>
      </c>
      <c r="C56" s="41" t="s">
        <v>713</v>
      </c>
      <c r="D56" s="117" t="s">
        <v>772</v>
      </c>
      <c r="E56" s="117"/>
      <c r="F56" s="117"/>
      <c r="G56" s="117"/>
      <c r="H56" s="117"/>
      <c r="I56" s="117"/>
      <c r="J56" s="117"/>
      <c r="K56" s="117"/>
      <c r="L56" s="117"/>
    </row>
    <row r="57" spans="1:12" x14ac:dyDescent="0.25">
      <c r="A57" s="41" t="s">
        <v>775</v>
      </c>
      <c r="B57" s="41" t="s">
        <v>676</v>
      </c>
      <c r="C57" s="41" t="s">
        <v>713</v>
      </c>
      <c r="D57" s="117" t="s">
        <v>776</v>
      </c>
      <c r="E57" s="117"/>
      <c r="F57" s="117"/>
      <c r="G57" s="117"/>
      <c r="H57" s="117"/>
      <c r="I57" s="117"/>
      <c r="J57" s="117"/>
      <c r="K57" s="117"/>
      <c r="L57" s="117"/>
    </row>
    <row r="58" spans="1:12" x14ac:dyDescent="0.25">
      <c r="A58" s="41" t="s">
        <v>751</v>
      </c>
      <c r="B58" s="41" t="s">
        <v>505</v>
      </c>
      <c r="C58" s="41" t="s">
        <v>713</v>
      </c>
      <c r="D58" s="117" t="s">
        <v>752</v>
      </c>
      <c r="E58" s="117"/>
      <c r="F58" s="117"/>
      <c r="G58" s="117"/>
      <c r="H58" s="117"/>
      <c r="I58" s="117"/>
      <c r="J58" s="117"/>
      <c r="K58" s="117"/>
      <c r="L58" s="117"/>
    </row>
    <row r="59" spans="1:12" x14ac:dyDescent="0.25">
      <c r="A59" s="41" t="s">
        <v>317</v>
      </c>
      <c r="B59" s="41" t="s">
        <v>725</v>
      </c>
      <c r="C59" s="41" t="s">
        <v>713</v>
      </c>
      <c r="D59" s="117" t="s">
        <v>713</v>
      </c>
      <c r="E59" s="117"/>
      <c r="F59" s="117"/>
      <c r="G59" s="117"/>
      <c r="H59" s="117"/>
      <c r="I59" s="117"/>
      <c r="J59" s="117"/>
      <c r="K59" s="117"/>
      <c r="L59" s="117"/>
    </row>
    <row r="60" spans="1:12" x14ac:dyDescent="0.25">
      <c r="A60" s="41" t="s">
        <v>748</v>
      </c>
      <c r="B60" s="41" t="s">
        <v>505</v>
      </c>
      <c r="C60" s="41" t="s">
        <v>713</v>
      </c>
      <c r="D60" s="117" t="s">
        <v>749</v>
      </c>
      <c r="E60" s="117"/>
      <c r="F60" s="117"/>
      <c r="G60" s="117"/>
      <c r="H60" s="117"/>
      <c r="I60" s="117"/>
      <c r="J60" s="117"/>
      <c r="K60" s="117"/>
      <c r="L60" s="117"/>
    </row>
    <row r="61" spans="1:12" x14ac:dyDescent="0.25">
      <c r="A61" s="41" t="s">
        <v>516</v>
      </c>
      <c r="B61" s="41" t="s">
        <v>505</v>
      </c>
      <c r="C61" s="41" t="s">
        <v>713</v>
      </c>
      <c r="D61" s="117" t="s">
        <v>745</v>
      </c>
      <c r="E61" s="117"/>
      <c r="F61" s="117"/>
      <c r="G61" s="117"/>
      <c r="H61" s="117"/>
      <c r="I61" s="117"/>
      <c r="J61" s="117"/>
      <c r="K61" s="117"/>
      <c r="L61" s="117"/>
    </row>
    <row r="62" spans="1:12" x14ac:dyDescent="0.25">
      <c r="A62" s="41" t="s">
        <v>755</v>
      </c>
      <c r="B62" s="41" t="s">
        <v>725</v>
      </c>
      <c r="C62" s="41" t="s">
        <v>713</v>
      </c>
      <c r="D62" s="117" t="s">
        <v>756</v>
      </c>
      <c r="E62" s="117"/>
      <c r="F62" s="117"/>
      <c r="G62" s="117"/>
      <c r="H62" s="117"/>
      <c r="I62" s="117"/>
      <c r="J62" s="117"/>
      <c r="K62" s="117"/>
      <c r="L62" s="117"/>
    </row>
    <row r="63" spans="1:12" x14ac:dyDescent="0.25">
      <c r="A63" s="41" t="s">
        <v>753</v>
      </c>
      <c r="B63" s="41" t="s">
        <v>725</v>
      </c>
      <c r="C63" s="41" t="s">
        <v>713</v>
      </c>
      <c r="D63" s="117" t="s">
        <v>754</v>
      </c>
      <c r="E63" s="117"/>
      <c r="F63" s="117"/>
      <c r="G63" s="117"/>
      <c r="H63" s="117"/>
      <c r="I63" s="117"/>
      <c r="J63" s="117"/>
      <c r="K63" s="117"/>
      <c r="L63" s="117"/>
    </row>
    <row r="64" spans="1:12" x14ac:dyDescent="0.25">
      <c r="A64" s="41" t="s">
        <v>95</v>
      </c>
      <c r="B64" s="41" t="s">
        <v>712</v>
      </c>
      <c r="C64" s="41" t="s">
        <v>713</v>
      </c>
      <c r="D64" s="117" t="s">
        <v>713</v>
      </c>
      <c r="E64" s="117"/>
      <c r="F64" s="117"/>
      <c r="G64" s="117"/>
      <c r="H64" s="117"/>
      <c r="I64" s="117"/>
      <c r="J64" s="117"/>
      <c r="K64" s="117"/>
      <c r="L64" s="117"/>
    </row>
    <row r="65" spans="1:12" ht="14.45" customHeight="1" x14ac:dyDescent="0.25">
      <c r="A65" s="41" t="s">
        <v>759</v>
      </c>
      <c r="B65" s="41" t="s">
        <v>725</v>
      </c>
      <c r="C65" s="41" t="s">
        <v>713</v>
      </c>
      <c r="D65" s="117" t="s">
        <v>760</v>
      </c>
      <c r="E65" s="117"/>
      <c r="F65" s="117"/>
      <c r="G65" s="117"/>
      <c r="H65" s="117"/>
      <c r="I65" s="117"/>
      <c r="J65" s="117"/>
      <c r="K65" s="117"/>
      <c r="L65" s="117"/>
    </row>
    <row r="66" spans="1:12" ht="14.45" customHeight="1" x14ac:dyDescent="0.25">
      <c r="A66" s="41" t="s">
        <v>768</v>
      </c>
      <c r="B66" s="41" t="s">
        <v>725</v>
      </c>
      <c r="C66" s="41" t="s">
        <v>713</v>
      </c>
      <c r="D66" s="117" t="s">
        <v>769</v>
      </c>
      <c r="E66" s="117"/>
      <c r="F66" s="117"/>
      <c r="G66" s="117"/>
      <c r="H66" s="117"/>
      <c r="I66" s="117"/>
      <c r="J66" s="117"/>
      <c r="K66" s="117"/>
      <c r="L66" s="117"/>
    </row>
    <row r="67" spans="1:12" ht="14.45" customHeight="1" x14ac:dyDescent="0.25">
      <c r="A67" s="41" t="s">
        <v>255</v>
      </c>
      <c r="B67" s="41" t="s">
        <v>725</v>
      </c>
      <c r="C67" s="41" t="s">
        <v>713</v>
      </c>
      <c r="D67" s="117" t="s">
        <v>284</v>
      </c>
      <c r="E67" s="117"/>
      <c r="F67" s="117"/>
      <c r="G67" s="117"/>
      <c r="H67" s="117"/>
      <c r="I67" s="117"/>
      <c r="J67" s="117"/>
      <c r="K67" s="117"/>
      <c r="L67" s="117"/>
    </row>
    <row r="68" spans="1:12" ht="14.45" customHeight="1" x14ac:dyDescent="0.25">
      <c r="A68" s="41" t="s">
        <v>507</v>
      </c>
      <c r="B68" s="41" t="s">
        <v>505</v>
      </c>
      <c r="C68" s="41" t="s">
        <v>713</v>
      </c>
      <c r="D68" s="117" t="s">
        <v>717</v>
      </c>
      <c r="E68" s="117"/>
      <c r="F68" s="117"/>
      <c r="G68" s="117"/>
      <c r="H68" s="117"/>
      <c r="I68" s="117"/>
      <c r="J68" s="117"/>
      <c r="K68" s="117"/>
      <c r="L68" s="117"/>
    </row>
    <row r="69" spans="1:12" ht="14.45" customHeight="1" x14ac:dyDescent="0.25">
      <c r="A69" s="41" t="s">
        <v>624</v>
      </c>
      <c r="B69" s="41" t="s">
        <v>505</v>
      </c>
      <c r="C69" s="41" t="s">
        <v>713</v>
      </c>
      <c r="D69" s="117" t="s">
        <v>744</v>
      </c>
      <c r="E69" s="117"/>
      <c r="F69" s="117"/>
      <c r="G69" s="117"/>
      <c r="H69" s="117"/>
      <c r="I69" s="117"/>
      <c r="J69" s="117"/>
      <c r="K69" s="117"/>
      <c r="L69" s="117"/>
    </row>
    <row r="70" spans="1:12" ht="14.45" customHeight="1" x14ac:dyDescent="0.25">
      <c r="A70" s="41" t="s">
        <v>718</v>
      </c>
      <c r="B70" s="41" t="s">
        <v>712</v>
      </c>
      <c r="C70" s="41" t="s">
        <v>713</v>
      </c>
      <c r="D70" s="117" t="s">
        <v>717</v>
      </c>
      <c r="E70" s="117"/>
      <c r="F70" s="117"/>
      <c r="G70" s="117"/>
      <c r="H70" s="117"/>
      <c r="I70" s="117"/>
      <c r="J70" s="117"/>
      <c r="K70" s="117"/>
      <c r="L70" s="117"/>
    </row>
    <row r="71" spans="1:12" x14ac:dyDescent="0.25">
      <c r="A71" s="41" t="s">
        <v>96</v>
      </c>
      <c r="B71" s="41" t="s">
        <v>708</v>
      </c>
      <c r="C71" s="41" t="s">
        <v>713</v>
      </c>
      <c r="D71" s="117" t="s">
        <v>709</v>
      </c>
      <c r="E71" s="117"/>
      <c r="F71" s="117"/>
      <c r="G71" s="117"/>
      <c r="H71" s="117"/>
      <c r="I71" s="117"/>
      <c r="J71" s="117"/>
      <c r="K71" s="117"/>
      <c r="L71" s="117"/>
    </row>
    <row r="72" spans="1:12" x14ac:dyDescent="0.25">
      <c r="A72" s="41" t="s">
        <v>761</v>
      </c>
      <c r="B72" s="41" t="s">
        <v>725</v>
      </c>
      <c r="C72" s="41" t="s">
        <v>713</v>
      </c>
      <c r="D72" s="117" t="s">
        <v>754</v>
      </c>
      <c r="E72" s="117"/>
      <c r="F72" s="117"/>
      <c r="G72" s="117"/>
      <c r="H72" s="117"/>
      <c r="I72" s="117"/>
      <c r="J72" s="117"/>
      <c r="K72" s="117"/>
      <c r="L72" s="117"/>
    </row>
    <row r="73" spans="1:12" x14ac:dyDescent="0.25">
      <c r="A73" s="41" t="s">
        <v>757</v>
      </c>
      <c r="B73" s="41" t="s">
        <v>725</v>
      </c>
      <c r="C73" s="41" t="s">
        <v>713</v>
      </c>
      <c r="D73" s="117" t="s">
        <v>758</v>
      </c>
      <c r="E73" s="117"/>
      <c r="F73" s="117"/>
      <c r="G73" s="117"/>
      <c r="H73" s="117"/>
      <c r="I73" s="117"/>
      <c r="J73" s="117"/>
      <c r="K73" s="117"/>
      <c r="L73" s="117"/>
    </row>
    <row r="74" spans="1:12" x14ac:dyDescent="0.25">
      <c r="A74" s="41" t="s">
        <v>100</v>
      </c>
      <c r="B74" s="41" t="s">
        <v>712</v>
      </c>
      <c r="C74" s="41" t="s">
        <v>713</v>
      </c>
      <c r="D74" s="117" t="s">
        <v>717</v>
      </c>
      <c r="E74" s="117"/>
      <c r="F74" s="117"/>
      <c r="G74" s="117"/>
      <c r="H74" s="117"/>
      <c r="I74" s="117"/>
      <c r="J74" s="117"/>
      <c r="K74" s="117"/>
      <c r="L74" s="117"/>
    </row>
    <row r="75" spans="1:12" x14ac:dyDescent="0.25">
      <c r="A75" s="41" t="s">
        <v>726</v>
      </c>
      <c r="B75" s="41" t="s">
        <v>712</v>
      </c>
      <c r="C75" s="41" t="s">
        <v>713</v>
      </c>
      <c r="D75" s="117" t="s">
        <v>787</v>
      </c>
      <c r="E75" s="117"/>
      <c r="F75" s="117"/>
      <c r="G75" s="117"/>
      <c r="H75" s="117"/>
      <c r="I75" s="117"/>
      <c r="J75" s="117"/>
      <c r="K75" s="117"/>
      <c r="L75" s="117"/>
    </row>
    <row r="76" spans="1:12" x14ac:dyDescent="0.25">
      <c r="A76" s="41" t="s">
        <v>724</v>
      </c>
      <c r="B76" s="41" t="s">
        <v>725</v>
      </c>
      <c r="C76" s="41" t="s">
        <v>713</v>
      </c>
      <c r="D76" s="117" t="s">
        <v>788</v>
      </c>
      <c r="E76" s="117"/>
      <c r="F76" s="117"/>
      <c r="G76" s="117"/>
      <c r="H76" s="117"/>
      <c r="I76" s="117"/>
      <c r="J76" s="117"/>
      <c r="K76" s="117"/>
      <c r="L76" s="117"/>
    </row>
    <row r="77" spans="1:12" x14ac:dyDescent="0.25">
      <c r="A77" s="41" t="s">
        <v>637</v>
      </c>
      <c r="B77" s="41" t="s">
        <v>505</v>
      </c>
      <c r="C77" s="41" t="s">
        <v>713</v>
      </c>
      <c r="D77" s="117" t="s">
        <v>747</v>
      </c>
      <c r="E77" s="117"/>
      <c r="F77" s="117"/>
      <c r="G77" s="117"/>
      <c r="H77" s="117"/>
      <c r="I77" s="117"/>
      <c r="J77" s="117"/>
      <c r="K77" s="117"/>
      <c r="L77" s="117"/>
    </row>
    <row r="78" spans="1:12" x14ac:dyDescent="0.25">
      <c r="A78" s="41" t="s">
        <v>762</v>
      </c>
      <c r="B78" s="41" t="s">
        <v>725</v>
      </c>
      <c r="C78" s="41" t="s">
        <v>713</v>
      </c>
      <c r="D78" s="117" t="s">
        <v>763</v>
      </c>
      <c r="E78" s="117"/>
      <c r="F78" s="117"/>
      <c r="G78" s="117"/>
      <c r="H78" s="117"/>
      <c r="I78" s="117"/>
      <c r="J78" s="117"/>
      <c r="K78" s="117"/>
      <c r="L78" s="117"/>
    </row>
    <row r="79" spans="1:12" x14ac:dyDescent="0.25">
      <c r="A79" s="41" t="s">
        <v>719</v>
      </c>
      <c r="B79" s="41" t="s">
        <v>714</v>
      </c>
      <c r="C79" s="41" t="s">
        <v>713</v>
      </c>
      <c r="D79" s="117" t="s">
        <v>720</v>
      </c>
      <c r="E79" s="117"/>
      <c r="F79" s="117"/>
      <c r="G79" s="117"/>
      <c r="H79" s="117"/>
      <c r="I79" s="117"/>
      <c r="J79" s="117"/>
      <c r="K79" s="117"/>
      <c r="L79" s="117"/>
    </row>
    <row r="80" spans="1:12" ht="31.15" customHeight="1" x14ac:dyDescent="0.25">
      <c r="A80" s="41" t="s">
        <v>778</v>
      </c>
      <c r="B80" s="41" t="s">
        <v>676</v>
      </c>
      <c r="C80" s="41" t="s">
        <v>713</v>
      </c>
      <c r="D80" s="117" t="s">
        <v>779</v>
      </c>
      <c r="E80" s="117"/>
      <c r="F80" s="117"/>
      <c r="G80" s="117"/>
      <c r="H80" s="117"/>
      <c r="I80" s="117"/>
      <c r="J80" s="117"/>
      <c r="K80" s="117"/>
      <c r="L80" s="117"/>
    </row>
    <row r="81" spans="1:12" x14ac:dyDescent="0.25">
      <c r="A81" s="41" t="s">
        <v>506</v>
      </c>
      <c r="B81" s="41" t="s">
        <v>505</v>
      </c>
      <c r="C81" s="41" t="s">
        <v>713</v>
      </c>
      <c r="D81" s="117" t="s">
        <v>716</v>
      </c>
      <c r="E81" s="117"/>
      <c r="F81" s="117"/>
      <c r="G81" s="117"/>
      <c r="H81" s="117"/>
      <c r="I81" s="117"/>
      <c r="J81" s="117"/>
      <c r="K81" s="117"/>
      <c r="L81" s="117"/>
    </row>
    <row r="82" spans="1:12" x14ac:dyDescent="0.25">
      <c r="A82" s="41" t="s">
        <v>636</v>
      </c>
      <c r="B82" s="41" t="s">
        <v>505</v>
      </c>
      <c r="C82" s="41" t="s">
        <v>713</v>
      </c>
      <c r="D82" s="117" t="s">
        <v>746</v>
      </c>
      <c r="E82" s="117"/>
      <c r="F82" s="117"/>
      <c r="G82" s="117"/>
      <c r="H82" s="117"/>
      <c r="I82" s="117"/>
      <c r="J82" s="117"/>
      <c r="K82" s="117"/>
      <c r="L82" s="117"/>
    </row>
    <row r="83" spans="1:12" x14ac:dyDescent="0.25">
      <c r="A83" s="41" t="s">
        <v>30</v>
      </c>
      <c r="B83" s="41" t="s">
        <v>712</v>
      </c>
      <c r="C83" s="41" t="s">
        <v>713</v>
      </c>
      <c r="D83" s="117" t="s">
        <v>717</v>
      </c>
      <c r="E83" s="117"/>
      <c r="F83" s="117"/>
      <c r="G83" s="117"/>
      <c r="H83" s="117"/>
      <c r="I83" s="117"/>
      <c r="J83" s="117"/>
      <c r="K83" s="117"/>
      <c r="L83" s="117"/>
    </row>
    <row r="84" spans="1:12" x14ac:dyDescent="0.25">
      <c r="A84" s="41" t="s">
        <v>626</v>
      </c>
      <c r="B84" s="41" t="s">
        <v>505</v>
      </c>
      <c r="C84" s="41" t="s">
        <v>713</v>
      </c>
      <c r="D84" s="117" t="s">
        <v>750</v>
      </c>
      <c r="E84" s="117"/>
      <c r="F84" s="117"/>
      <c r="G84" s="117"/>
      <c r="H84" s="117"/>
      <c r="I84" s="117"/>
      <c r="J84" s="117"/>
      <c r="K84" s="117"/>
      <c r="L84" s="117"/>
    </row>
    <row r="85" spans="1:12" x14ac:dyDescent="0.25">
      <c r="A85" s="41" t="s">
        <v>770</v>
      </c>
      <c r="B85" s="41" t="s">
        <v>725</v>
      </c>
      <c r="C85" s="41" t="s">
        <v>713</v>
      </c>
      <c r="D85" s="117" t="s">
        <v>771</v>
      </c>
      <c r="E85" s="117"/>
      <c r="F85" s="117"/>
      <c r="G85" s="117"/>
      <c r="H85" s="117"/>
      <c r="I85" s="117"/>
      <c r="J85" s="117"/>
      <c r="K85" s="117"/>
      <c r="L85" s="117"/>
    </row>
    <row r="86" spans="1:12" x14ac:dyDescent="0.25">
      <c r="A86" s="41" t="s">
        <v>99</v>
      </c>
      <c r="B86" s="41" t="s">
        <v>714</v>
      </c>
      <c r="C86" s="41" t="s">
        <v>713</v>
      </c>
      <c r="D86" s="117" t="s">
        <v>715</v>
      </c>
      <c r="E86" s="117"/>
      <c r="F86" s="117"/>
      <c r="G86" s="117"/>
      <c r="H86" s="117"/>
      <c r="I86" s="117"/>
      <c r="J86" s="117"/>
      <c r="K86" s="117"/>
      <c r="L86" s="117"/>
    </row>
    <row r="87" spans="1:12" x14ac:dyDescent="0.25">
      <c r="A87" s="41" t="s">
        <v>456</v>
      </c>
      <c r="B87" s="41" t="s">
        <v>712</v>
      </c>
      <c r="C87" s="41" t="s">
        <v>713</v>
      </c>
      <c r="D87" s="117" t="s">
        <v>727</v>
      </c>
      <c r="E87" s="117"/>
      <c r="F87" s="117"/>
      <c r="G87" s="117"/>
      <c r="H87" s="117"/>
      <c r="I87" s="117"/>
      <c r="J87" s="117"/>
      <c r="K87" s="117"/>
      <c r="L87" s="117"/>
    </row>
    <row r="88" spans="1:12" x14ac:dyDescent="0.25">
      <c r="A88" s="41" t="s">
        <v>766</v>
      </c>
      <c r="B88" s="41" t="s">
        <v>725</v>
      </c>
      <c r="C88" s="41" t="s">
        <v>713</v>
      </c>
      <c r="D88" s="117" t="s">
        <v>767</v>
      </c>
      <c r="E88" s="117"/>
      <c r="F88" s="117"/>
      <c r="G88" s="117"/>
      <c r="H88" s="117"/>
      <c r="I88" s="117"/>
      <c r="J88" s="117"/>
      <c r="K88" s="117"/>
      <c r="L88" s="117"/>
    </row>
    <row r="89" spans="1:12" x14ac:dyDescent="0.25">
      <c r="A89" s="41" t="s">
        <v>729</v>
      </c>
      <c r="B89" s="41" t="s">
        <v>712</v>
      </c>
      <c r="C89" s="41" t="s">
        <v>713</v>
      </c>
      <c r="D89" s="117" t="s">
        <v>730</v>
      </c>
      <c r="E89" s="117"/>
      <c r="F89" s="117"/>
      <c r="G89" s="117"/>
      <c r="H89" s="117"/>
      <c r="I89" s="117"/>
      <c r="J89" s="117"/>
      <c r="K89" s="117"/>
      <c r="L89" s="117"/>
    </row>
    <row r="90" spans="1:12" x14ac:dyDescent="0.25">
      <c r="A90" s="41" t="s">
        <v>731</v>
      </c>
      <c r="B90" s="41" t="s">
        <v>712</v>
      </c>
      <c r="C90" s="41" t="s">
        <v>713</v>
      </c>
      <c r="D90" s="117" t="s">
        <v>732</v>
      </c>
      <c r="E90" s="117"/>
      <c r="F90" s="117"/>
      <c r="G90" s="117"/>
      <c r="H90" s="117"/>
      <c r="I90" s="117"/>
      <c r="J90" s="117"/>
      <c r="K90" s="117"/>
      <c r="L90" s="117"/>
    </row>
    <row r="91" spans="1:12" x14ac:dyDescent="0.25">
      <c r="A91" s="41" t="s">
        <v>318</v>
      </c>
      <c r="B91" s="41" t="s">
        <v>773</v>
      </c>
      <c r="C91" s="41" t="s">
        <v>713</v>
      </c>
      <c r="D91" s="117" t="s">
        <v>774</v>
      </c>
      <c r="E91" s="117"/>
      <c r="F91" s="117"/>
      <c r="G91" s="117"/>
      <c r="H91" s="117"/>
      <c r="I91" s="117"/>
      <c r="J91" s="117"/>
      <c r="K91" s="117"/>
      <c r="L91" s="117"/>
    </row>
    <row r="92" spans="1:12" x14ac:dyDescent="0.25">
      <c r="A92" s="41" t="s">
        <v>29</v>
      </c>
      <c r="B92" s="41" t="s">
        <v>710</v>
      </c>
      <c r="C92" s="41" t="s">
        <v>713</v>
      </c>
      <c r="D92" s="117" t="s">
        <v>711</v>
      </c>
      <c r="E92" s="117"/>
      <c r="F92" s="117"/>
      <c r="G92" s="117"/>
      <c r="H92" s="117"/>
      <c r="I92" s="117"/>
      <c r="J92" s="117"/>
      <c r="K92" s="117"/>
      <c r="L92" s="117"/>
    </row>
    <row r="93" spans="1:12" x14ac:dyDescent="0.25">
      <c r="A93" s="41" t="s">
        <v>764</v>
      </c>
      <c r="B93" s="41" t="s">
        <v>725</v>
      </c>
      <c r="C93" s="41" t="s">
        <v>713</v>
      </c>
      <c r="D93" s="117" t="s">
        <v>765</v>
      </c>
      <c r="E93" s="117"/>
      <c r="F93" s="117"/>
      <c r="G93" s="117"/>
      <c r="H93" s="117"/>
      <c r="I93" s="117"/>
      <c r="J93" s="117"/>
      <c r="K93" s="117"/>
      <c r="L93" s="117"/>
    </row>
  </sheetData>
  <sortState xmlns:xlrd2="http://schemas.microsoft.com/office/spreadsheetml/2017/richdata2" ref="A46:D93">
    <sortCondition ref="A46:A93"/>
  </sortState>
  <mergeCells count="61">
    <mergeCell ref="D82:L82"/>
    <mergeCell ref="D81:L81"/>
    <mergeCell ref="D80:L80"/>
    <mergeCell ref="D93:L93"/>
    <mergeCell ref="D92:L92"/>
    <mergeCell ref="D91:L91"/>
    <mergeCell ref="D90:L90"/>
    <mergeCell ref="D89:L89"/>
    <mergeCell ref="D88:L88"/>
    <mergeCell ref="D87:L87"/>
    <mergeCell ref="D86:L86"/>
    <mergeCell ref="D85:L85"/>
    <mergeCell ref="D84:L84"/>
    <mergeCell ref="D83:L83"/>
    <mergeCell ref="D73:L73"/>
    <mergeCell ref="D72:L72"/>
    <mergeCell ref="D71:L71"/>
    <mergeCell ref="D70:L70"/>
    <mergeCell ref="D79:L79"/>
    <mergeCell ref="D78:L78"/>
    <mergeCell ref="D76:L76"/>
    <mergeCell ref="D77:L77"/>
    <mergeCell ref="D75:L75"/>
    <mergeCell ref="D74:L74"/>
    <mergeCell ref="D64:L64"/>
    <mergeCell ref="D63:L63"/>
    <mergeCell ref="D62:L62"/>
    <mergeCell ref="D61:L61"/>
    <mergeCell ref="D60:L60"/>
    <mergeCell ref="D69:L69"/>
    <mergeCell ref="D68:L68"/>
    <mergeCell ref="D67:L67"/>
    <mergeCell ref="D66:L66"/>
    <mergeCell ref="D65:L65"/>
    <mergeCell ref="D53:L53"/>
    <mergeCell ref="D59:L59"/>
    <mergeCell ref="D58:L58"/>
    <mergeCell ref="D57:L57"/>
    <mergeCell ref="D56:L56"/>
    <mergeCell ref="D55:L55"/>
    <mergeCell ref="D54:L54"/>
    <mergeCell ref="D52:L52"/>
    <mergeCell ref="D15:L15"/>
    <mergeCell ref="A13:B13"/>
    <mergeCell ref="D45:L45"/>
    <mergeCell ref="D46:L46"/>
    <mergeCell ref="D18:L18"/>
    <mergeCell ref="D19:L19"/>
    <mergeCell ref="D20:L20"/>
    <mergeCell ref="D17:L17"/>
    <mergeCell ref="D49:L49"/>
    <mergeCell ref="D48:L48"/>
    <mergeCell ref="D47:L47"/>
    <mergeCell ref="D50:L50"/>
    <mergeCell ref="D51:L51"/>
    <mergeCell ref="A37:C43"/>
    <mergeCell ref="B5:G5"/>
    <mergeCell ref="B6:G6"/>
    <mergeCell ref="B7:G7"/>
    <mergeCell ref="B8:G8"/>
    <mergeCell ref="D16:L1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theme="8"/>
  </sheetPr>
  <dimension ref="A1:Q628"/>
  <sheetViews>
    <sheetView topLeftCell="H30" zoomScaleNormal="100" workbookViewId="0">
      <selection activeCell="Q16" sqref="Q16"/>
    </sheetView>
  </sheetViews>
  <sheetFormatPr baseColWidth="10" defaultColWidth="11.5703125" defaultRowHeight="15" customHeight="1" x14ac:dyDescent="0.25"/>
  <cols>
    <col min="1" max="1" width="13.42578125" customWidth="1"/>
    <col min="2" max="2" width="12.28515625" customWidth="1"/>
    <col min="3" max="4" width="13.7109375" customWidth="1"/>
    <col min="5" max="5" width="14.42578125" customWidth="1"/>
    <col min="6" max="6" width="13.85546875" customWidth="1"/>
    <col min="7" max="7" width="8.28515625" customWidth="1"/>
    <col min="8" max="8" width="14.7109375" bestFit="1" customWidth="1"/>
    <col min="9" max="9" width="21.7109375" bestFit="1" customWidth="1"/>
    <col min="10" max="10" width="15.5703125" customWidth="1"/>
    <col min="11" max="11" width="14.42578125" customWidth="1"/>
    <col min="12" max="12" width="17.85546875" bestFit="1" customWidth="1"/>
    <col min="13" max="13" width="17.85546875" customWidth="1"/>
    <col min="14" max="14" width="19.5703125" customWidth="1"/>
    <col min="16" max="16" width="15.42578125" bestFit="1" customWidth="1"/>
  </cols>
  <sheetData>
    <row r="1" spans="1:17" x14ac:dyDescent="0.25">
      <c r="A1" s="4" t="s">
        <v>647</v>
      </c>
      <c r="I1" s="72"/>
      <c r="J1" s="72"/>
      <c r="K1" s="72"/>
      <c r="L1" s="72"/>
      <c r="M1" s="72"/>
      <c r="N1" s="72"/>
      <c r="O1" s="72"/>
      <c r="P1" s="72"/>
      <c r="Q1" s="72"/>
    </row>
    <row r="2" spans="1:17" x14ac:dyDescent="0.25">
      <c r="A2" s="4"/>
      <c r="I2" s="72"/>
      <c r="J2" s="72"/>
      <c r="K2" s="72"/>
      <c r="L2" s="72"/>
      <c r="M2" s="72"/>
      <c r="N2" s="72"/>
      <c r="O2" s="72"/>
      <c r="P2" s="72"/>
      <c r="Q2" s="72"/>
    </row>
    <row r="3" spans="1:17" x14ac:dyDescent="0.25">
      <c r="A3" s="4" t="s">
        <v>93</v>
      </c>
      <c r="B3" t="s">
        <v>94</v>
      </c>
    </row>
    <row r="4" spans="1:17" x14ac:dyDescent="0.25">
      <c r="A4" s="4"/>
    </row>
    <row r="5" spans="1:17" ht="15" customHeight="1" x14ac:dyDescent="0.25">
      <c r="A5" s="60"/>
      <c r="B5" s="60"/>
      <c r="C5" s="60"/>
      <c r="D5" s="138" t="s">
        <v>95</v>
      </c>
      <c r="E5" s="138"/>
      <c r="F5" s="60"/>
      <c r="G5" s="60"/>
      <c r="H5" s="60"/>
      <c r="I5" s="60"/>
      <c r="J5" s="60"/>
      <c r="K5" s="60"/>
      <c r="L5" s="60"/>
      <c r="M5" s="60"/>
    </row>
    <row r="6" spans="1:17" ht="24.75" customHeight="1" x14ac:dyDescent="0.25">
      <c r="A6" s="61" t="s">
        <v>96</v>
      </c>
      <c r="B6" s="61" t="s">
        <v>29</v>
      </c>
      <c r="C6" s="61" t="s">
        <v>97</v>
      </c>
      <c r="D6" s="62" t="s">
        <v>3</v>
      </c>
      <c r="E6" s="62" t="s">
        <v>4</v>
      </c>
      <c r="F6" s="61" t="s">
        <v>98</v>
      </c>
      <c r="G6" s="61" t="s">
        <v>99</v>
      </c>
      <c r="H6" s="61" t="s">
        <v>30</v>
      </c>
      <c r="I6" s="61" t="s">
        <v>31</v>
      </c>
      <c r="J6" s="61" t="s">
        <v>100</v>
      </c>
      <c r="K6" s="61" t="s">
        <v>101</v>
      </c>
      <c r="L6" s="61" t="s">
        <v>102</v>
      </c>
      <c r="M6" s="61" t="s">
        <v>103</v>
      </c>
      <c r="N6" s="61" t="s">
        <v>104</v>
      </c>
      <c r="P6" s="92" t="s">
        <v>110</v>
      </c>
    </row>
    <row r="7" spans="1:17" x14ac:dyDescent="0.25">
      <c r="A7" s="13">
        <v>45625</v>
      </c>
      <c r="B7" s="1" t="s">
        <v>34</v>
      </c>
      <c r="C7" s="1" t="s">
        <v>15</v>
      </c>
      <c r="D7" s="1" t="s">
        <v>105</v>
      </c>
      <c r="E7" s="1" t="s">
        <v>106</v>
      </c>
      <c r="F7" s="1" t="s">
        <v>107</v>
      </c>
      <c r="G7" s="1">
        <v>2</v>
      </c>
      <c r="H7" s="1" t="s">
        <v>81</v>
      </c>
      <c r="I7" s="1" t="s">
        <v>85</v>
      </c>
      <c r="J7" s="1" t="s">
        <v>108</v>
      </c>
      <c r="K7" s="1">
        <v>1</v>
      </c>
      <c r="L7" s="65">
        <f t="shared" ref="L7:L70" si="0">(K7/$P$7)*100</f>
        <v>1.8975332068311195E-2</v>
      </c>
      <c r="M7" s="1" t="s">
        <v>109</v>
      </c>
      <c r="N7" s="1"/>
      <c r="P7" s="1">
        <f>+SUM(K7:K628)</f>
        <v>5270</v>
      </c>
    </row>
    <row r="8" spans="1:17" x14ac:dyDescent="0.25">
      <c r="A8" s="13">
        <v>45625</v>
      </c>
      <c r="B8" s="1" t="s">
        <v>34</v>
      </c>
      <c r="C8" s="1" t="s">
        <v>15</v>
      </c>
      <c r="D8" s="1" t="s">
        <v>105</v>
      </c>
      <c r="E8" s="1" t="s">
        <v>106</v>
      </c>
      <c r="F8" s="1" t="s">
        <v>107</v>
      </c>
      <c r="G8" s="1">
        <v>2</v>
      </c>
      <c r="H8" s="1" t="s">
        <v>60</v>
      </c>
      <c r="I8" s="1" t="s">
        <v>63</v>
      </c>
      <c r="J8" s="1" t="s">
        <v>112</v>
      </c>
      <c r="K8" s="1">
        <v>1</v>
      </c>
      <c r="L8" s="65">
        <f t="shared" si="0"/>
        <v>1.8975332068311195E-2</v>
      </c>
      <c r="M8" s="1" t="s">
        <v>113</v>
      </c>
      <c r="N8" s="1"/>
    </row>
    <row r="9" spans="1:17" x14ac:dyDescent="0.25">
      <c r="A9" s="13">
        <v>45625</v>
      </c>
      <c r="B9" s="1" t="s">
        <v>34</v>
      </c>
      <c r="C9" s="1" t="s">
        <v>15</v>
      </c>
      <c r="D9" s="1" t="s">
        <v>105</v>
      </c>
      <c r="E9" s="1" t="s">
        <v>106</v>
      </c>
      <c r="F9" s="1" t="s">
        <v>107</v>
      </c>
      <c r="G9" s="1">
        <v>2</v>
      </c>
      <c r="H9" s="1" t="s">
        <v>44</v>
      </c>
      <c r="I9" s="1" t="s">
        <v>47</v>
      </c>
      <c r="J9" s="63" t="s">
        <v>114</v>
      </c>
      <c r="K9" s="1">
        <v>6</v>
      </c>
      <c r="L9" s="65">
        <f t="shared" si="0"/>
        <v>0.11385199240986717</v>
      </c>
      <c r="M9" s="1" t="s">
        <v>109</v>
      </c>
      <c r="N9" s="1"/>
    </row>
    <row r="10" spans="1:17" x14ac:dyDescent="0.25">
      <c r="A10" s="13">
        <v>45625</v>
      </c>
      <c r="B10" s="1" t="s">
        <v>34</v>
      </c>
      <c r="C10" s="1" t="s">
        <v>15</v>
      </c>
      <c r="D10" s="1" t="s">
        <v>105</v>
      </c>
      <c r="E10" s="1" t="s">
        <v>106</v>
      </c>
      <c r="F10" s="1" t="s">
        <v>107</v>
      </c>
      <c r="G10" s="1">
        <v>2</v>
      </c>
      <c r="H10" s="1" t="s">
        <v>60</v>
      </c>
      <c r="I10" s="1" t="s">
        <v>64</v>
      </c>
      <c r="J10" s="1" t="s">
        <v>117</v>
      </c>
      <c r="K10" s="1">
        <v>34</v>
      </c>
      <c r="L10" s="65">
        <f t="shared" si="0"/>
        <v>0.64516129032258063</v>
      </c>
      <c r="M10" s="1" t="s">
        <v>113</v>
      </c>
      <c r="N10" s="1"/>
    </row>
    <row r="11" spans="1:17" x14ac:dyDescent="0.25">
      <c r="A11" s="13">
        <v>45625</v>
      </c>
      <c r="B11" s="1" t="s">
        <v>34</v>
      </c>
      <c r="C11" s="1" t="s">
        <v>15</v>
      </c>
      <c r="D11" s="1" t="s">
        <v>105</v>
      </c>
      <c r="E11" s="1" t="s">
        <v>106</v>
      </c>
      <c r="F11" s="1" t="s">
        <v>107</v>
      </c>
      <c r="G11" s="1">
        <v>2</v>
      </c>
      <c r="H11" s="1" t="s">
        <v>60</v>
      </c>
      <c r="I11" s="1" t="s">
        <v>64</v>
      </c>
      <c r="J11" s="1" t="s">
        <v>118</v>
      </c>
      <c r="K11" s="1">
        <v>1</v>
      </c>
      <c r="L11" s="65">
        <f t="shared" si="0"/>
        <v>1.8975332068311195E-2</v>
      </c>
      <c r="M11" s="1" t="s">
        <v>113</v>
      </c>
      <c r="N11" s="1"/>
    </row>
    <row r="12" spans="1:17" x14ac:dyDescent="0.25">
      <c r="A12" s="13">
        <v>45625</v>
      </c>
      <c r="B12" s="1" t="s">
        <v>34</v>
      </c>
      <c r="C12" s="1" t="s">
        <v>15</v>
      </c>
      <c r="D12" s="1" t="s">
        <v>105</v>
      </c>
      <c r="E12" s="1" t="s">
        <v>106</v>
      </c>
      <c r="F12" s="1" t="s">
        <v>107</v>
      </c>
      <c r="G12" s="1">
        <v>2</v>
      </c>
      <c r="H12" s="1" t="s">
        <v>54</v>
      </c>
      <c r="I12" s="1" t="s">
        <v>55</v>
      </c>
      <c r="J12" s="1" t="s">
        <v>120</v>
      </c>
      <c r="K12" s="1">
        <v>6</v>
      </c>
      <c r="L12" s="65">
        <f t="shared" si="0"/>
        <v>0.11385199240986717</v>
      </c>
      <c r="M12" s="1" t="s">
        <v>121</v>
      </c>
      <c r="N12" s="1"/>
    </row>
    <row r="13" spans="1:17" x14ac:dyDescent="0.25">
      <c r="A13" s="13">
        <v>45625</v>
      </c>
      <c r="B13" s="1" t="s">
        <v>34</v>
      </c>
      <c r="C13" s="1" t="s">
        <v>15</v>
      </c>
      <c r="D13" s="1" t="s">
        <v>105</v>
      </c>
      <c r="E13" s="1" t="s">
        <v>106</v>
      </c>
      <c r="F13" s="1" t="s">
        <v>107</v>
      </c>
      <c r="G13" s="1">
        <v>2</v>
      </c>
      <c r="H13" s="1" t="s">
        <v>54</v>
      </c>
      <c r="I13" s="1" t="s">
        <v>55</v>
      </c>
      <c r="J13" s="1" t="s">
        <v>122</v>
      </c>
      <c r="K13" s="1">
        <v>11</v>
      </c>
      <c r="L13" s="65">
        <f t="shared" si="0"/>
        <v>0.20872865275142313</v>
      </c>
      <c r="M13" s="1" t="s">
        <v>109</v>
      </c>
      <c r="N13" s="1"/>
    </row>
    <row r="14" spans="1:17" x14ac:dyDescent="0.25">
      <c r="A14" s="13">
        <v>45625</v>
      </c>
      <c r="B14" s="1" t="s">
        <v>34</v>
      </c>
      <c r="C14" s="1" t="s">
        <v>15</v>
      </c>
      <c r="D14" s="1" t="s">
        <v>105</v>
      </c>
      <c r="E14" s="1" t="s">
        <v>106</v>
      </c>
      <c r="F14" s="1" t="s">
        <v>107</v>
      </c>
      <c r="G14" s="1">
        <v>3</v>
      </c>
      <c r="H14" s="1" t="s">
        <v>60</v>
      </c>
      <c r="I14" s="1" t="s">
        <v>63</v>
      </c>
      <c r="J14" s="1" t="s">
        <v>112</v>
      </c>
      <c r="K14" s="1">
        <v>3</v>
      </c>
      <c r="L14" s="65">
        <f t="shared" si="0"/>
        <v>5.6925996204933584E-2</v>
      </c>
      <c r="M14" s="1" t="s">
        <v>113</v>
      </c>
      <c r="N14" s="1"/>
    </row>
    <row r="15" spans="1:17" x14ac:dyDescent="0.25">
      <c r="A15" s="13">
        <v>45625</v>
      </c>
      <c r="B15" s="1" t="s">
        <v>34</v>
      </c>
      <c r="C15" s="1" t="s">
        <v>15</v>
      </c>
      <c r="D15" s="1" t="s">
        <v>105</v>
      </c>
      <c r="E15" s="1" t="s">
        <v>106</v>
      </c>
      <c r="F15" s="1" t="s">
        <v>107</v>
      </c>
      <c r="G15" s="1">
        <v>3</v>
      </c>
      <c r="H15" s="1" t="s">
        <v>44</v>
      </c>
      <c r="I15" s="1" t="s">
        <v>47</v>
      </c>
      <c r="J15" s="63" t="s">
        <v>114</v>
      </c>
      <c r="K15" s="1">
        <v>5</v>
      </c>
      <c r="L15" s="65">
        <f t="shared" si="0"/>
        <v>9.4876660341555979E-2</v>
      </c>
      <c r="M15" s="1" t="s">
        <v>109</v>
      </c>
      <c r="N15" s="1"/>
    </row>
    <row r="16" spans="1:17" x14ac:dyDescent="0.25">
      <c r="A16" s="13">
        <v>45625</v>
      </c>
      <c r="B16" s="1" t="s">
        <v>34</v>
      </c>
      <c r="C16" s="1" t="s">
        <v>15</v>
      </c>
      <c r="D16" s="1" t="s">
        <v>105</v>
      </c>
      <c r="E16" s="1" t="s">
        <v>106</v>
      </c>
      <c r="F16" s="1" t="s">
        <v>107</v>
      </c>
      <c r="G16" s="1">
        <v>3</v>
      </c>
      <c r="H16" s="1" t="s">
        <v>44</v>
      </c>
      <c r="I16" s="1" t="s">
        <v>47</v>
      </c>
      <c r="J16" s="1" t="s">
        <v>124</v>
      </c>
      <c r="K16" s="1">
        <v>1</v>
      </c>
      <c r="L16" s="65">
        <f t="shared" si="0"/>
        <v>1.8975332068311195E-2</v>
      </c>
      <c r="M16" s="1" t="s">
        <v>113</v>
      </c>
      <c r="N16" s="1"/>
    </row>
    <row r="17" spans="1:14" x14ac:dyDescent="0.25">
      <c r="A17" s="13">
        <v>45625</v>
      </c>
      <c r="B17" s="1" t="s">
        <v>34</v>
      </c>
      <c r="C17" s="1" t="s">
        <v>15</v>
      </c>
      <c r="D17" s="1" t="s">
        <v>105</v>
      </c>
      <c r="E17" s="1" t="s">
        <v>106</v>
      </c>
      <c r="F17" s="1" t="s">
        <v>107</v>
      </c>
      <c r="G17" s="1">
        <v>3</v>
      </c>
      <c r="H17" s="1" t="s">
        <v>60</v>
      </c>
      <c r="I17" s="1" t="s">
        <v>64</v>
      </c>
      <c r="J17" s="1" t="s">
        <v>118</v>
      </c>
      <c r="K17" s="1">
        <v>1</v>
      </c>
      <c r="L17" s="65">
        <f t="shared" si="0"/>
        <v>1.8975332068311195E-2</v>
      </c>
      <c r="M17" s="1" t="s">
        <v>113</v>
      </c>
      <c r="N17" s="1"/>
    </row>
    <row r="18" spans="1:14" x14ac:dyDescent="0.25">
      <c r="A18" s="13">
        <v>45625</v>
      </c>
      <c r="B18" s="1" t="s">
        <v>34</v>
      </c>
      <c r="C18" s="1" t="s">
        <v>15</v>
      </c>
      <c r="D18" s="1" t="s">
        <v>105</v>
      </c>
      <c r="E18" s="1" t="s">
        <v>106</v>
      </c>
      <c r="F18" s="1" t="s">
        <v>107</v>
      </c>
      <c r="G18" s="1">
        <v>3</v>
      </c>
      <c r="H18" s="1" t="s">
        <v>73</v>
      </c>
      <c r="I18" s="1" t="s">
        <v>76</v>
      </c>
      <c r="J18" s="1" t="s">
        <v>126</v>
      </c>
      <c r="K18" s="1">
        <v>1</v>
      </c>
      <c r="L18" s="65">
        <f t="shared" si="0"/>
        <v>1.8975332068311195E-2</v>
      </c>
      <c r="M18" s="1" t="s">
        <v>113</v>
      </c>
      <c r="N18" s="1"/>
    </row>
    <row r="19" spans="1:14" x14ac:dyDescent="0.25">
      <c r="A19" s="13">
        <v>45625</v>
      </c>
      <c r="B19" s="1" t="s">
        <v>34</v>
      </c>
      <c r="C19" s="1" t="s">
        <v>15</v>
      </c>
      <c r="D19" s="1" t="s">
        <v>105</v>
      </c>
      <c r="E19" s="1" t="s">
        <v>106</v>
      </c>
      <c r="F19" s="1" t="s">
        <v>107</v>
      </c>
      <c r="G19" s="1">
        <v>3</v>
      </c>
      <c r="H19" s="1" t="s">
        <v>44</v>
      </c>
      <c r="I19" s="1" t="s">
        <v>50</v>
      </c>
      <c r="J19" s="1" t="s">
        <v>127</v>
      </c>
      <c r="K19" s="1">
        <v>1</v>
      </c>
      <c r="L19" s="65">
        <f t="shared" si="0"/>
        <v>1.8975332068311195E-2</v>
      </c>
      <c r="M19" s="1" t="s">
        <v>113</v>
      </c>
      <c r="N19" s="1"/>
    </row>
    <row r="20" spans="1:14" ht="14.45" customHeight="1" x14ac:dyDescent="0.25">
      <c r="A20" s="13">
        <v>45625</v>
      </c>
      <c r="B20" s="1" t="s">
        <v>34</v>
      </c>
      <c r="C20" s="1" t="s">
        <v>15</v>
      </c>
      <c r="D20" s="1" t="s">
        <v>105</v>
      </c>
      <c r="E20" s="1" t="s">
        <v>106</v>
      </c>
      <c r="F20" s="1" t="s">
        <v>107</v>
      </c>
      <c r="G20" s="1">
        <v>3</v>
      </c>
      <c r="H20" s="1" t="s">
        <v>36</v>
      </c>
      <c r="I20" s="1" t="s">
        <v>37</v>
      </c>
      <c r="J20" s="1" t="s">
        <v>128</v>
      </c>
      <c r="K20" s="1">
        <v>3</v>
      </c>
      <c r="L20" s="65">
        <f t="shared" si="0"/>
        <v>5.6925996204933584E-2</v>
      </c>
      <c r="M20" s="1" t="s">
        <v>109</v>
      </c>
      <c r="N20" s="1"/>
    </row>
    <row r="21" spans="1:14" ht="14.45" customHeight="1" x14ac:dyDescent="0.25">
      <c r="A21" s="13">
        <v>45625</v>
      </c>
      <c r="B21" s="1" t="s">
        <v>34</v>
      </c>
      <c r="C21" s="1" t="s">
        <v>15</v>
      </c>
      <c r="D21" s="1" t="s">
        <v>105</v>
      </c>
      <c r="E21" s="1" t="s">
        <v>106</v>
      </c>
      <c r="F21" s="1" t="s">
        <v>130</v>
      </c>
      <c r="G21" s="1">
        <v>1</v>
      </c>
      <c r="H21" s="1" t="s">
        <v>60</v>
      </c>
      <c r="I21" s="1" t="s">
        <v>63</v>
      </c>
      <c r="J21" s="1" t="s">
        <v>112</v>
      </c>
      <c r="K21" s="1">
        <v>1</v>
      </c>
      <c r="L21" s="65">
        <f t="shared" si="0"/>
        <v>1.8975332068311195E-2</v>
      </c>
      <c r="M21" s="1" t="s">
        <v>113</v>
      </c>
      <c r="N21" s="1"/>
    </row>
    <row r="22" spans="1:14" ht="14.45" customHeight="1" x14ac:dyDescent="0.25">
      <c r="A22" s="13">
        <v>45625</v>
      </c>
      <c r="B22" s="1" t="s">
        <v>34</v>
      </c>
      <c r="C22" s="1" t="s">
        <v>15</v>
      </c>
      <c r="D22" s="1" t="s">
        <v>105</v>
      </c>
      <c r="E22" s="1" t="s">
        <v>106</v>
      </c>
      <c r="F22" s="1" t="s">
        <v>130</v>
      </c>
      <c r="G22" s="1">
        <v>1</v>
      </c>
      <c r="H22" s="1" t="s">
        <v>36</v>
      </c>
      <c r="I22" s="1" t="s">
        <v>37</v>
      </c>
      <c r="J22" s="1" t="s">
        <v>128</v>
      </c>
      <c r="K22" s="1">
        <v>11</v>
      </c>
      <c r="L22" s="65">
        <f t="shared" si="0"/>
        <v>0.20872865275142313</v>
      </c>
      <c r="M22" s="1" t="s">
        <v>109</v>
      </c>
      <c r="N22" s="1"/>
    </row>
    <row r="23" spans="1:14" ht="15" customHeight="1" x14ac:dyDescent="0.25">
      <c r="A23" s="13">
        <v>45625</v>
      </c>
      <c r="B23" s="1" t="s">
        <v>34</v>
      </c>
      <c r="C23" s="1" t="s">
        <v>15</v>
      </c>
      <c r="D23" s="1" t="s">
        <v>105</v>
      </c>
      <c r="E23" s="1" t="s">
        <v>106</v>
      </c>
      <c r="F23" s="1" t="s">
        <v>130</v>
      </c>
      <c r="G23" s="1">
        <v>1</v>
      </c>
      <c r="H23" s="1" t="s">
        <v>54</v>
      </c>
      <c r="I23" s="1" t="s">
        <v>55</v>
      </c>
      <c r="J23" s="1" t="s">
        <v>122</v>
      </c>
      <c r="K23" s="1">
        <v>4</v>
      </c>
      <c r="L23" s="65">
        <f t="shared" si="0"/>
        <v>7.5901328273244778E-2</v>
      </c>
      <c r="M23" s="1" t="s">
        <v>109</v>
      </c>
      <c r="N23" s="1"/>
    </row>
    <row r="24" spans="1:14" x14ac:dyDescent="0.25">
      <c r="A24" s="13">
        <v>45625</v>
      </c>
      <c r="B24" s="1" t="s">
        <v>34</v>
      </c>
      <c r="C24" s="1" t="s">
        <v>15</v>
      </c>
      <c r="D24" s="1" t="s">
        <v>105</v>
      </c>
      <c r="E24" s="1" t="s">
        <v>106</v>
      </c>
      <c r="F24" s="1" t="s">
        <v>130</v>
      </c>
      <c r="G24" s="1">
        <v>1</v>
      </c>
      <c r="H24" s="1" t="s">
        <v>81</v>
      </c>
      <c r="I24" s="1" t="s">
        <v>83</v>
      </c>
      <c r="J24" s="1" t="s">
        <v>131</v>
      </c>
      <c r="K24" s="1">
        <v>3</v>
      </c>
      <c r="L24" s="65">
        <f t="shared" si="0"/>
        <v>5.6925996204933584E-2</v>
      </c>
      <c r="M24" s="1" t="s">
        <v>116</v>
      </c>
      <c r="N24" s="1"/>
    </row>
    <row r="25" spans="1:14" x14ac:dyDescent="0.25">
      <c r="A25" s="13">
        <v>45625</v>
      </c>
      <c r="B25" s="1" t="s">
        <v>34</v>
      </c>
      <c r="C25" s="1" t="s">
        <v>15</v>
      </c>
      <c r="D25" s="1" t="s">
        <v>105</v>
      </c>
      <c r="E25" s="1" t="s">
        <v>106</v>
      </c>
      <c r="F25" s="1" t="s">
        <v>130</v>
      </c>
      <c r="G25" s="1">
        <v>1</v>
      </c>
      <c r="H25" s="1" t="s">
        <v>54</v>
      </c>
      <c r="I25" s="1" t="s">
        <v>56</v>
      </c>
      <c r="J25" s="1" t="s">
        <v>132</v>
      </c>
      <c r="K25" s="1">
        <v>6</v>
      </c>
      <c r="L25" s="65">
        <f t="shared" si="0"/>
        <v>0.11385199240986717</v>
      </c>
      <c r="M25" s="1" t="s">
        <v>109</v>
      </c>
      <c r="N25" s="1"/>
    </row>
    <row r="26" spans="1:14" x14ac:dyDescent="0.25">
      <c r="A26" s="13">
        <v>45625</v>
      </c>
      <c r="B26" s="1" t="s">
        <v>34</v>
      </c>
      <c r="C26" s="1" t="s">
        <v>15</v>
      </c>
      <c r="D26" s="1" t="s">
        <v>105</v>
      </c>
      <c r="E26" s="1" t="s">
        <v>106</v>
      </c>
      <c r="F26" s="1" t="s">
        <v>130</v>
      </c>
      <c r="G26" s="1">
        <v>1</v>
      </c>
      <c r="H26" s="1" t="s">
        <v>44</v>
      </c>
      <c r="I26" s="1" t="s">
        <v>52</v>
      </c>
      <c r="J26" s="1" t="s">
        <v>133</v>
      </c>
      <c r="K26" s="1">
        <v>2</v>
      </c>
      <c r="L26" s="65">
        <f t="shared" si="0"/>
        <v>3.7950664136622389E-2</v>
      </c>
      <c r="M26" s="1" t="s">
        <v>119</v>
      </c>
      <c r="N26" s="1"/>
    </row>
    <row r="27" spans="1:14" x14ac:dyDescent="0.25">
      <c r="A27" s="13">
        <v>45625</v>
      </c>
      <c r="B27" s="1" t="s">
        <v>34</v>
      </c>
      <c r="C27" s="1" t="s">
        <v>15</v>
      </c>
      <c r="D27" s="1" t="s">
        <v>105</v>
      </c>
      <c r="E27" s="1" t="s">
        <v>106</v>
      </c>
      <c r="F27" s="1" t="s">
        <v>130</v>
      </c>
      <c r="G27" s="1">
        <v>1</v>
      </c>
      <c r="H27" s="1" t="s">
        <v>81</v>
      </c>
      <c r="I27" s="1" t="s">
        <v>85</v>
      </c>
      <c r="J27" s="1" t="s">
        <v>108</v>
      </c>
      <c r="K27" s="1">
        <v>1</v>
      </c>
      <c r="L27" s="65">
        <f t="shared" si="0"/>
        <v>1.8975332068311195E-2</v>
      </c>
      <c r="M27" s="1" t="s">
        <v>109</v>
      </c>
      <c r="N27" s="1"/>
    </row>
    <row r="28" spans="1:14" x14ac:dyDescent="0.25">
      <c r="A28" s="13">
        <v>45625</v>
      </c>
      <c r="B28" s="1" t="s">
        <v>34</v>
      </c>
      <c r="C28" s="1" t="s">
        <v>15</v>
      </c>
      <c r="D28" s="1" t="s">
        <v>105</v>
      </c>
      <c r="E28" s="1" t="s">
        <v>106</v>
      </c>
      <c r="F28" s="1" t="s">
        <v>130</v>
      </c>
      <c r="G28" s="1">
        <v>1</v>
      </c>
      <c r="H28" s="1" t="s">
        <v>88</v>
      </c>
      <c r="I28" s="1" t="s">
        <v>89</v>
      </c>
      <c r="J28" s="1" t="s">
        <v>134</v>
      </c>
      <c r="K28" s="1">
        <v>1</v>
      </c>
      <c r="L28" s="65">
        <f t="shared" si="0"/>
        <v>1.8975332068311195E-2</v>
      </c>
      <c r="M28" s="1" t="s">
        <v>113</v>
      </c>
      <c r="N28" s="1"/>
    </row>
    <row r="29" spans="1:14" x14ac:dyDescent="0.25">
      <c r="A29" s="13">
        <v>45625</v>
      </c>
      <c r="B29" s="1" t="s">
        <v>34</v>
      </c>
      <c r="C29" s="1" t="s">
        <v>15</v>
      </c>
      <c r="D29" s="1" t="s">
        <v>105</v>
      </c>
      <c r="E29" s="1" t="s">
        <v>106</v>
      </c>
      <c r="F29" s="1" t="s">
        <v>130</v>
      </c>
      <c r="G29" s="1">
        <v>1</v>
      </c>
      <c r="H29" s="1" t="s">
        <v>81</v>
      </c>
      <c r="I29" s="1" t="s">
        <v>83</v>
      </c>
      <c r="J29" s="1" t="s">
        <v>135</v>
      </c>
      <c r="K29" s="1">
        <v>1</v>
      </c>
      <c r="L29" s="65">
        <f t="shared" si="0"/>
        <v>1.8975332068311195E-2</v>
      </c>
      <c r="M29" s="1" t="s">
        <v>116</v>
      </c>
      <c r="N29" s="1"/>
    </row>
    <row r="30" spans="1:14" x14ac:dyDescent="0.25">
      <c r="A30" s="13">
        <v>45625</v>
      </c>
      <c r="B30" s="1" t="s">
        <v>34</v>
      </c>
      <c r="C30" s="1" t="s">
        <v>15</v>
      </c>
      <c r="D30" s="1" t="s">
        <v>105</v>
      </c>
      <c r="E30" s="1" t="s">
        <v>106</v>
      </c>
      <c r="F30" s="1" t="s">
        <v>130</v>
      </c>
      <c r="G30" s="1">
        <v>1</v>
      </c>
      <c r="H30" s="1" t="s">
        <v>60</v>
      </c>
      <c r="I30" s="1" t="s">
        <v>62</v>
      </c>
      <c r="J30" s="1" t="s">
        <v>136</v>
      </c>
      <c r="K30" s="1">
        <v>1</v>
      </c>
      <c r="L30" s="65">
        <f t="shared" si="0"/>
        <v>1.8975332068311195E-2</v>
      </c>
      <c r="M30" s="1" t="s">
        <v>113</v>
      </c>
      <c r="N30" s="1"/>
    </row>
    <row r="31" spans="1:14" x14ac:dyDescent="0.25">
      <c r="A31" s="13">
        <v>45625</v>
      </c>
      <c r="B31" s="1" t="s">
        <v>34</v>
      </c>
      <c r="C31" s="1" t="s">
        <v>15</v>
      </c>
      <c r="D31" s="1" t="s">
        <v>105</v>
      </c>
      <c r="E31" s="1" t="s">
        <v>106</v>
      </c>
      <c r="F31" s="1" t="s">
        <v>130</v>
      </c>
      <c r="G31" s="1">
        <v>2</v>
      </c>
      <c r="H31" s="1" t="s">
        <v>60</v>
      </c>
      <c r="I31" s="1" t="s">
        <v>63</v>
      </c>
      <c r="J31" s="1" t="s">
        <v>112</v>
      </c>
      <c r="K31" s="1">
        <v>11</v>
      </c>
      <c r="L31" s="65">
        <f t="shared" si="0"/>
        <v>0.20872865275142313</v>
      </c>
      <c r="M31" s="1" t="s">
        <v>113</v>
      </c>
      <c r="N31" s="1"/>
    </row>
    <row r="32" spans="1:14" x14ac:dyDescent="0.25">
      <c r="A32" s="13">
        <v>45625</v>
      </c>
      <c r="B32" s="1" t="s">
        <v>34</v>
      </c>
      <c r="C32" s="1" t="s">
        <v>15</v>
      </c>
      <c r="D32" s="1" t="s">
        <v>105</v>
      </c>
      <c r="E32" s="1" t="s">
        <v>106</v>
      </c>
      <c r="F32" s="1" t="s">
        <v>130</v>
      </c>
      <c r="G32" s="1">
        <v>2</v>
      </c>
      <c r="H32" s="1" t="s">
        <v>60</v>
      </c>
      <c r="I32" s="1" t="s">
        <v>63</v>
      </c>
      <c r="J32" s="1" t="s">
        <v>137</v>
      </c>
      <c r="K32" s="1">
        <v>1</v>
      </c>
      <c r="L32" s="65">
        <f t="shared" si="0"/>
        <v>1.8975332068311195E-2</v>
      </c>
      <c r="M32" s="1" t="s">
        <v>113</v>
      </c>
      <c r="N32" s="1"/>
    </row>
    <row r="33" spans="1:14" x14ac:dyDescent="0.25">
      <c r="A33" s="13">
        <v>45625</v>
      </c>
      <c r="B33" s="1" t="s">
        <v>34</v>
      </c>
      <c r="C33" s="1" t="s">
        <v>15</v>
      </c>
      <c r="D33" s="1" t="s">
        <v>105</v>
      </c>
      <c r="E33" s="1" t="s">
        <v>106</v>
      </c>
      <c r="F33" s="1" t="s">
        <v>130</v>
      </c>
      <c r="G33" s="1">
        <v>2</v>
      </c>
      <c r="H33" s="1" t="s">
        <v>81</v>
      </c>
      <c r="I33" s="1" t="s">
        <v>82</v>
      </c>
      <c r="J33" s="1" t="s">
        <v>138</v>
      </c>
      <c r="K33" s="1">
        <v>4</v>
      </c>
      <c r="L33" s="65">
        <f t="shared" si="0"/>
        <v>7.5901328273244778E-2</v>
      </c>
      <c r="M33" s="1" t="s">
        <v>116</v>
      </c>
      <c r="N33" s="1"/>
    </row>
    <row r="34" spans="1:14" x14ac:dyDescent="0.25">
      <c r="A34" s="13">
        <v>45625</v>
      </c>
      <c r="B34" s="1" t="s">
        <v>34</v>
      </c>
      <c r="C34" s="1" t="s">
        <v>15</v>
      </c>
      <c r="D34" s="1" t="s">
        <v>105</v>
      </c>
      <c r="E34" s="1" t="s">
        <v>106</v>
      </c>
      <c r="F34" s="1" t="s">
        <v>130</v>
      </c>
      <c r="G34" s="1">
        <v>2</v>
      </c>
      <c r="H34" s="1" t="s">
        <v>65</v>
      </c>
      <c r="I34" s="1" t="s">
        <v>66</v>
      </c>
      <c r="J34" s="1" t="s">
        <v>139</v>
      </c>
      <c r="K34" s="1">
        <v>3</v>
      </c>
      <c r="L34" s="65">
        <f t="shared" si="0"/>
        <v>5.6925996204933584E-2</v>
      </c>
      <c r="M34" s="1" t="s">
        <v>121</v>
      </c>
      <c r="N34" s="1"/>
    </row>
    <row r="35" spans="1:14" x14ac:dyDescent="0.25">
      <c r="A35" s="13">
        <v>45625</v>
      </c>
      <c r="B35" s="1" t="s">
        <v>34</v>
      </c>
      <c r="C35" s="1" t="s">
        <v>15</v>
      </c>
      <c r="D35" s="1" t="s">
        <v>105</v>
      </c>
      <c r="E35" s="1" t="s">
        <v>106</v>
      </c>
      <c r="F35" s="1" t="s">
        <v>130</v>
      </c>
      <c r="G35" s="1">
        <v>2</v>
      </c>
      <c r="H35" s="1" t="s">
        <v>36</v>
      </c>
      <c r="I35" s="1" t="s">
        <v>37</v>
      </c>
      <c r="J35" s="1" t="s">
        <v>128</v>
      </c>
      <c r="K35" s="1">
        <v>11</v>
      </c>
      <c r="L35" s="65">
        <f t="shared" si="0"/>
        <v>0.20872865275142313</v>
      </c>
      <c r="M35" s="1" t="s">
        <v>109</v>
      </c>
      <c r="N35" s="1"/>
    </row>
    <row r="36" spans="1:14" x14ac:dyDescent="0.25">
      <c r="A36" s="13">
        <v>45625</v>
      </c>
      <c r="B36" s="1" t="s">
        <v>34</v>
      </c>
      <c r="C36" s="1" t="s">
        <v>15</v>
      </c>
      <c r="D36" s="1" t="s">
        <v>105</v>
      </c>
      <c r="E36" s="1" t="s">
        <v>106</v>
      </c>
      <c r="F36" s="1" t="s">
        <v>130</v>
      </c>
      <c r="G36" s="1">
        <v>2</v>
      </c>
      <c r="H36" s="1" t="s">
        <v>88</v>
      </c>
      <c r="I36" s="1" t="s">
        <v>89</v>
      </c>
      <c r="J36" s="1" t="s">
        <v>134</v>
      </c>
      <c r="K36" s="1">
        <v>2</v>
      </c>
      <c r="L36" s="65">
        <f t="shared" si="0"/>
        <v>3.7950664136622389E-2</v>
      </c>
      <c r="M36" s="1" t="s">
        <v>113</v>
      </c>
      <c r="N36" s="1"/>
    </row>
    <row r="37" spans="1:14" x14ac:dyDescent="0.25">
      <c r="A37" s="13">
        <v>45625</v>
      </c>
      <c r="B37" s="1" t="s">
        <v>34</v>
      </c>
      <c r="C37" s="1" t="s">
        <v>15</v>
      </c>
      <c r="D37" s="1" t="s">
        <v>105</v>
      </c>
      <c r="E37" s="1" t="s">
        <v>106</v>
      </c>
      <c r="F37" s="1" t="s">
        <v>130</v>
      </c>
      <c r="G37" s="1">
        <v>2</v>
      </c>
      <c r="H37" s="1" t="s">
        <v>81</v>
      </c>
      <c r="I37" s="1" t="s">
        <v>85</v>
      </c>
      <c r="J37" s="1" t="s">
        <v>108</v>
      </c>
      <c r="K37" s="1">
        <v>1</v>
      </c>
      <c r="L37" s="65">
        <f t="shared" si="0"/>
        <v>1.8975332068311195E-2</v>
      </c>
      <c r="M37" s="1" t="s">
        <v>109</v>
      </c>
      <c r="N37" s="1"/>
    </row>
    <row r="38" spans="1:14" x14ac:dyDescent="0.25">
      <c r="A38" s="13">
        <v>45625</v>
      </c>
      <c r="B38" s="1" t="s">
        <v>34</v>
      </c>
      <c r="C38" s="1" t="s">
        <v>15</v>
      </c>
      <c r="D38" s="1" t="s">
        <v>105</v>
      </c>
      <c r="E38" s="1" t="s">
        <v>106</v>
      </c>
      <c r="F38" s="1" t="s">
        <v>130</v>
      </c>
      <c r="G38" s="1">
        <v>2</v>
      </c>
      <c r="H38" s="1" t="s">
        <v>73</v>
      </c>
      <c r="I38" s="1" t="s">
        <v>74</v>
      </c>
      <c r="J38" s="1" t="s">
        <v>140</v>
      </c>
      <c r="K38" s="1">
        <v>1</v>
      </c>
      <c r="L38" s="65">
        <f t="shared" si="0"/>
        <v>1.8975332068311195E-2</v>
      </c>
      <c r="M38" s="1" t="s">
        <v>113</v>
      </c>
      <c r="N38" s="1"/>
    </row>
    <row r="39" spans="1:14" x14ac:dyDescent="0.25">
      <c r="A39" s="13">
        <v>45625</v>
      </c>
      <c r="B39" s="1" t="s">
        <v>34</v>
      </c>
      <c r="C39" s="1" t="s">
        <v>15</v>
      </c>
      <c r="D39" s="1" t="s">
        <v>105</v>
      </c>
      <c r="E39" s="1" t="s">
        <v>106</v>
      </c>
      <c r="F39" s="1" t="s">
        <v>130</v>
      </c>
      <c r="G39" s="1">
        <v>2</v>
      </c>
      <c r="H39" s="1" t="s">
        <v>90</v>
      </c>
      <c r="I39" s="1" t="s">
        <v>91</v>
      </c>
      <c r="J39" s="1" t="s">
        <v>91</v>
      </c>
      <c r="K39" s="1">
        <v>1</v>
      </c>
      <c r="L39" s="65">
        <f t="shared" si="0"/>
        <v>1.8975332068311195E-2</v>
      </c>
      <c r="M39" s="1" t="s">
        <v>113</v>
      </c>
      <c r="N39" s="1"/>
    </row>
    <row r="40" spans="1:14" x14ac:dyDescent="0.25">
      <c r="A40" s="13">
        <v>45625</v>
      </c>
      <c r="B40" s="1" t="s">
        <v>34</v>
      </c>
      <c r="C40" s="1" t="s">
        <v>15</v>
      </c>
      <c r="D40" s="1" t="s">
        <v>105</v>
      </c>
      <c r="E40" s="1" t="s">
        <v>106</v>
      </c>
      <c r="F40" s="1" t="s">
        <v>130</v>
      </c>
      <c r="G40" s="1">
        <v>2</v>
      </c>
      <c r="H40" s="1" t="s">
        <v>44</v>
      </c>
      <c r="I40" s="1" t="s">
        <v>47</v>
      </c>
      <c r="J40" s="63" t="s">
        <v>114</v>
      </c>
      <c r="K40" s="1">
        <v>1</v>
      </c>
      <c r="L40" s="65">
        <f t="shared" si="0"/>
        <v>1.8975332068311195E-2</v>
      </c>
      <c r="M40" s="1" t="s">
        <v>109</v>
      </c>
      <c r="N40" s="1"/>
    </row>
    <row r="41" spans="1:14" x14ac:dyDescent="0.25">
      <c r="A41" s="13">
        <v>45625</v>
      </c>
      <c r="B41" s="1" t="s">
        <v>34</v>
      </c>
      <c r="C41" s="1" t="s">
        <v>15</v>
      </c>
      <c r="D41" s="1" t="s">
        <v>105</v>
      </c>
      <c r="E41" s="1" t="s">
        <v>106</v>
      </c>
      <c r="F41" s="1" t="s">
        <v>130</v>
      </c>
      <c r="G41" s="1">
        <v>2</v>
      </c>
      <c r="H41" s="1" t="s">
        <v>54</v>
      </c>
      <c r="I41" s="1" t="s">
        <v>57</v>
      </c>
      <c r="J41" s="1" t="s">
        <v>141</v>
      </c>
      <c r="K41" s="1">
        <v>3</v>
      </c>
      <c r="L41" s="65">
        <f t="shared" si="0"/>
        <v>5.6925996204933584E-2</v>
      </c>
      <c r="M41" s="1" t="s">
        <v>109</v>
      </c>
      <c r="N41" s="1"/>
    </row>
    <row r="42" spans="1:14" x14ac:dyDescent="0.25">
      <c r="A42" s="13">
        <v>45625</v>
      </c>
      <c r="B42" s="1" t="s">
        <v>34</v>
      </c>
      <c r="C42" s="1" t="s">
        <v>15</v>
      </c>
      <c r="D42" s="1" t="s">
        <v>105</v>
      </c>
      <c r="E42" s="1" t="s">
        <v>106</v>
      </c>
      <c r="F42" s="1" t="s">
        <v>130</v>
      </c>
      <c r="G42" s="1">
        <v>2</v>
      </c>
      <c r="H42" s="1" t="s">
        <v>54</v>
      </c>
      <c r="I42" s="1" t="s">
        <v>56</v>
      </c>
      <c r="J42" s="1" t="s">
        <v>132</v>
      </c>
      <c r="K42" s="1">
        <v>4</v>
      </c>
      <c r="L42" s="65">
        <f t="shared" si="0"/>
        <v>7.5901328273244778E-2</v>
      </c>
      <c r="M42" s="1" t="s">
        <v>109</v>
      </c>
      <c r="N42" s="1"/>
    </row>
    <row r="43" spans="1:14" x14ac:dyDescent="0.25">
      <c r="A43" s="13">
        <v>45625</v>
      </c>
      <c r="B43" s="1" t="s">
        <v>34</v>
      </c>
      <c r="C43" s="1" t="s">
        <v>15</v>
      </c>
      <c r="D43" s="1" t="s">
        <v>105</v>
      </c>
      <c r="E43" s="1" t="s">
        <v>106</v>
      </c>
      <c r="F43" s="1" t="s">
        <v>130</v>
      </c>
      <c r="G43" s="1">
        <v>2</v>
      </c>
      <c r="H43" s="1" t="s">
        <v>73</v>
      </c>
      <c r="I43" s="1" t="s">
        <v>76</v>
      </c>
      <c r="J43" s="1" t="s">
        <v>126</v>
      </c>
      <c r="K43" s="1">
        <v>1</v>
      </c>
      <c r="L43" s="65">
        <f t="shared" si="0"/>
        <v>1.8975332068311195E-2</v>
      </c>
      <c r="M43" s="1" t="s">
        <v>113</v>
      </c>
      <c r="N43" s="1"/>
    </row>
    <row r="44" spans="1:14" x14ac:dyDescent="0.25">
      <c r="A44" s="13">
        <v>45625</v>
      </c>
      <c r="B44" s="1" t="s">
        <v>34</v>
      </c>
      <c r="C44" s="1" t="s">
        <v>15</v>
      </c>
      <c r="D44" s="1" t="s">
        <v>105</v>
      </c>
      <c r="E44" s="1" t="s">
        <v>106</v>
      </c>
      <c r="F44" s="1" t="s">
        <v>130</v>
      </c>
      <c r="G44" s="1">
        <v>2</v>
      </c>
      <c r="H44" s="1" t="s">
        <v>79</v>
      </c>
      <c r="I44" s="1" t="s">
        <v>80</v>
      </c>
      <c r="J44" s="1" t="s">
        <v>142</v>
      </c>
      <c r="K44" s="1">
        <v>2</v>
      </c>
      <c r="L44" s="65">
        <f t="shared" si="0"/>
        <v>3.7950664136622389E-2</v>
      </c>
      <c r="M44" s="1" t="s">
        <v>113</v>
      </c>
      <c r="N44" s="1"/>
    </row>
    <row r="45" spans="1:14" x14ac:dyDescent="0.25">
      <c r="A45" s="13">
        <v>45625</v>
      </c>
      <c r="B45" s="1" t="s">
        <v>34</v>
      </c>
      <c r="C45" s="1" t="s">
        <v>15</v>
      </c>
      <c r="D45" s="1" t="s">
        <v>105</v>
      </c>
      <c r="E45" s="1" t="s">
        <v>106</v>
      </c>
      <c r="F45" s="1" t="s">
        <v>130</v>
      </c>
      <c r="G45" s="1">
        <v>2</v>
      </c>
      <c r="H45" s="1" t="s">
        <v>73</v>
      </c>
      <c r="I45" s="1" t="s">
        <v>77</v>
      </c>
      <c r="J45" s="1" t="s">
        <v>143</v>
      </c>
      <c r="K45" s="1">
        <v>2</v>
      </c>
      <c r="L45" s="65">
        <f t="shared" si="0"/>
        <v>3.7950664136622389E-2</v>
      </c>
      <c r="M45" s="1" t="s">
        <v>113</v>
      </c>
      <c r="N45" s="1"/>
    </row>
    <row r="46" spans="1:14" x14ac:dyDescent="0.25">
      <c r="A46" s="13">
        <v>45625</v>
      </c>
      <c r="B46" s="1" t="s">
        <v>34</v>
      </c>
      <c r="C46" s="1" t="s">
        <v>15</v>
      </c>
      <c r="D46" s="1" t="s">
        <v>105</v>
      </c>
      <c r="E46" s="1" t="s">
        <v>106</v>
      </c>
      <c r="F46" s="1" t="s">
        <v>130</v>
      </c>
      <c r="G46" s="1">
        <v>2</v>
      </c>
      <c r="H46" s="1" t="s">
        <v>60</v>
      </c>
      <c r="I46" s="1" t="s">
        <v>64</v>
      </c>
      <c r="J46" s="1" t="s">
        <v>117</v>
      </c>
      <c r="K46" s="1">
        <v>1</v>
      </c>
      <c r="L46" s="65">
        <f t="shared" si="0"/>
        <v>1.8975332068311195E-2</v>
      </c>
      <c r="M46" s="1" t="s">
        <v>113</v>
      </c>
      <c r="N46" s="1"/>
    </row>
    <row r="47" spans="1:14" x14ac:dyDescent="0.25">
      <c r="A47" s="13">
        <v>45625</v>
      </c>
      <c r="B47" s="1" t="s">
        <v>34</v>
      </c>
      <c r="C47" s="1" t="s">
        <v>15</v>
      </c>
      <c r="D47" s="1" t="s">
        <v>105</v>
      </c>
      <c r="E47" s="1" t="s">
        <v>106</v>
      </c>
      <c r="F47" s="1" t="s">
        <v>130</v>
      </c>
      <c r="G47" s="1">
        <v>2</v>
      </c>
      <c r="H47" s="1" t="s">
        <v>60</v>
      </c>
      <c r="I47" s="1" t="s">
        <v>63</v>
      </c>
      <c r="J47" s="1" t="s">
        <v>112</v>
      </c>
      <c r="K47" s="1">
        <v>2</v>
      </c>
      <c r="L47" s="65">
        <f t="shared" si="0"/>
        <v>3.7950664136622389E-2</v>
      </c>
      <c r="M47" s="1" t="s">
        <v>113</v>
      </c>
      <c r="N47" s="1"/>
    </row>
    <row r="48" spans="1:14" x14ac:dyDescent="0.25">
      <c r="A48" s="13">
        <v>45625</v>
      </c>
      <c r="B48" s="1" t="s">
        <v>34</v>
      </c>
      <c r="C48" s="1" t="s">
        <v>15</v>
      </c>
      <c r="D48" s="1" t="s">
        <v>105</v>
      </c>
      <c r="E48" s="1" t="s">
        <v>106</v>
      </c>
      <c r="F48" s="1" t="s">
        <v>130</v>
      </c>
      <c r="G48" s="1">
        <v>2</v>
      </c>
      <c r="H48" s="1" t="s">
        <v>60</v>
      </c>
      <c r="I48" s="1" t="s">
        <v>64</v>
      </c>
      <c r="J48" s="1" t="s">
        <v>118</v>
      </c>
      <c r="K48" s="1">
        <v>1</v>
      </c>
      <c r="L48" s="65">
        <f t="shared" si="0"/>
        <v>1.8975332068311195E-2</v>
      </c>
      <c r="M48" s="1" t="s">
        <v>113</v>
      </c>
      <c r="N48" s="1"/>
    </row>
    <row r="49" spans="1:14" x14ac:dyDescent="0.25">
      <c r="A49" s="13">
        <v>45625</v>
      </c>
      <c r="B49" s="1" t="s">
        <v>34</v>
      </c>
      <c r="C49" s="1" t="s">
        <v>15</v>
      </c>
      <c r="D49" s="1" t="s">
        <v>105</v>
      </c>
      <c r="E49" s="1" t="s">
        <v>106</v>
      </c>
      <c r="F49" s="1" t="s">
        <v>130</v>
      </c>
      <c r="G49" s="1">
        <v>2</v>
      </c>
      <c r="H49" s="1" t="s">
        <v>44</v>
      </c>
      <c r="I49" s="1" t="s">
        <v>47</v>
      </c>
      <c r="J49" s="63" t="s">
        <v>114</v>
      </c>
      <c r="K49" s="1">
        <v>1</v>
      </c>
      <c r="L49" s="65">
        <f t="shared" si="0"/>
        <v>1.8975332068311195E-2</v>
      </c>
      <c r="M49" s="1" t="s">
        <v>109</v>
      </c>
      <c r="N49" s="1"/>
    </row>
    <row r="50" spans="1:14" x14ac:dyDescent="0.25">
      <c r="A50" s="13">
        <v>45625</v>
      </c>
      <c r="B50" s="1" t="s">
        <v>34</v>
      </c>
      <c r="C50" s="1" t="s">
        <v>15</v>
      </c>
      <c r="D50" s="1" t="s">
        <v>105</v>
      </c>
      <c r="E50" s="1" t="s">
        <v>106</v>
      </c>
      <c r="F50" s="1" t="s">
        <v>130</v>
      </c>
      <c r="G50" s="1">
        <v>2</v>
      </c>
      <c r="H50" s="1" t="s">
        <v>81</v>
      </c>
      <c r="I50" s="1" t="s">
        <v>85</v>
      </c>
      <c r="J50" s="1" t="s">
        <v>108</v>
      </c>
      <c r="K50" s="1">
        <v>4</v>
      </c>
      <c r="L50" s="65">
        <f t="shared" si="0"/>
        <v>7.5901328273244778E-2</v>
      </c>
      <c r="M50" s="1" t="s">
        <v>109</v>
      </c>
      <c r="N50" s="1"/>
    </row>
    <row r="51" spans="1:14" x14ac:dyDescent="0.25">
      <c r="A51" s="13">
        <v>45625</v>
      </c>
      <c r="B51" s="1" t="s">
        <v>34</v>
      </c>
      <c r="C51" s="1" t="s">
        <v>15</v>
      </c>
      <c r="D51" s="1" t="s">
        <v>105</v>
      </c>
      <c r="E51" s="1" t="s">
        <v>106</v>
      </c>
      <c r="F51" s="1" t="s">
        <v>130</v>
      </c>
      <c r="G51" s="1">
        <v>2</v>
      </c>
      <c r="H51" s="1" t="s">
        <v>81</v>
      </c>
      <c r="I51" s="1" t="s">
        <v>85</v>
      </c>
      <c r="J51" s="1" t="s">
        <v>144</v>
      </c>
      <c r="K51" s="1">
        <v>1</v>
      </c>
      <c r="L51" s="65">
        <f t="shared" si="0"/>
        <v>1.8975332068311195E-2</v>
      </c>
      <c r="M51" s="1" t="s">
        <v>109</v>
      </c>
      <c r="N51" s="1"/>
    </row>
    <row r="52" spans="1:14" x14ac:dyDescent="0.25">
      <c r="A52" s="13">
        <v>45625</v>
      </c>
      <c r="B52" s="1" t="s">
        <v>34</v>
      </c>
      <c r="C52" s="1" t="s">
        <v>15</v>
      </c>
      <c r="D52" s="1" t="s">
        <v>105</v>
      </c>
      <c r="E52" s="1" t="s">
        <v>106</v>
      </c>
      <c r="F52" s="1" t="s">
        <v>145</v>
      </c>
      <c r="G52" s="1">
        <v>1</v>
      </c>
      <c r="H52" s="1" t="s">
        <v>60</v>
      </c>
      <c r="I52" s="1" t="s">
        <v>63</v>
      </c>
      <c r="J52" s="1" t="s">
        <v>112</v>
      </c>
      <c r="K52" s="1">
        <v>1</v>
      </c>
      <c r="L52" s="65">
        <f t="shared" si="0"/>
        <v>1.8975332068311195E-2</v>
      </c>
      <c r="M52" s="1" t="s">
        <v>113</v>
      </c>
      <c r="N52" s="1"/>
    </row>
    <row r="53" spans="1:14" x14ac:dyDescent="0.25">
      <c r="A53" s="13">
        <v>45625</v>
      </c>
      <c r="B53" s="1" t="s">
        <v>34</v>
      </c>
      <c r="C53" s="1" t="s">
        <v>15</v>
      </c>
      <c r="D53" s="1" t="s">
        <v>105</v>
      </c>
      <c r="E53" s="1" t="s">
        <v>106</v>
      </c>
      <c r="F53" s="1" t="s">
        <v>145</v>
      </c>
      <c r="G53" s="1">
        <v>1</v>
      </c>
      <c r="H53" s="1" t="s">
        <v>81</v>
      </c>
      <c r="I53" s="1" t="s">
        <v>86</v>
      </c>
      <c r="J53" s="1" t="s">
        <v>146</v>
      </c>
      <c r="K53" s="1">
        <v>1</v>
      </c>
      <c r="L53" s="65">
        <f t="shared" si="0"/>
        <v>1.8975332068311195E-2</v>
      </c>
      <c r="M53" s="1" t="s">
        <v>116</v>
      </c>
      <c r="N53" s="1"/>
    </row>
    <row r="54" spans="1:14" x14ac:dyDescent="0.25">
      <c r="A54" s="13">
        <v>45625</v>
      </c>
      <c r="B54" s="1" t="s">
        <v>34</v>
      </c>
      <c r="C54" s="1" t="s">
        <v>15</v>
      </c>
      <c r="D54" s="1" t="s">
        <v>105</v>
      </c>
      <c r="E54" s="1" t="s">
        <v>106</v>
      </c>
      <c r="F54" s="1" t="s">
        <v>145</v>
      </c>
      <c r="G54" s="1">
        <v>1</v>
      </c>
      <c r="H54" s="1" t="s">
        <v>81</v>
      </c>
      <c r="I54" s="1" t="s">
        <v>83</v>
      </c>
      <c r="J54" s="1" t="s">
        <v>131</v>
      </c>
      <c r="K54" s="1">
        <v>1</v>
      </c>
      <c r="L54" s="65">
        <f t="shared" si="0"/>
        <v>1.8975332068311195E-2</v>
      </c>
      <c r="M54" s="1" t="s">
        <v>116</v>
      </c>
      <c r="N54" s="1"/>
    </row>
    <row r="55" spans="1:14" x14ac:dyDescent="0.25">
      <c r="A55" s="13">
        <v>45625</v>
      </c>
      <c r="B55" s="1" t="s">
        <v>34</v>
      </c>
      <c r="C55" s="1" t="s">
        <v>15</v>
      </c>
      <c r="D55" s="1" t="s">
        <v>105</v>
      </c>
      <c r="E55" s="1" t="s">
        <v>106</v>
      </c>
      <c r="F55" s="1" t="s">
        <v>145</v>
      </c>
      <c r="G55" s="1">
        <v>1</v>
      </c>
      <c r="H55" s="1" t="s">
        <v>54</v>
      </c>
      <c r="I55" s="1" t="s">
        <v>55</v>
      </c>
      <c r="J55" s="1" t="s">
        <v>122</v>
      </c>
      <c r="K55" s="1">
        <v>5</v>
      </c>
      <c r="L55" s="65">
        <f t="shared" si="0"/>
        <v>9.4876660341555979E-2</v>
      </c>
      <c r="M55" s="1" t="s">
        <v>109</v>
      </c>
      <c r="N55" s="1"/>
    </row>
    <row r="56" spans="1:14" x14ac:dyDescent="0.25">
      <c r="A56" s="13">
        <v>45625</v>
      </c>
      <c r="B56" s="1" t="s">
        <v>34</v>
      </c>
      <c r="C56" s="1" t="s">
        <v>15</v>
      </c>
      <c r="D56" s="1" t="s">
        <v>105</v>
      </c>
      <c r="E56" s="1" t="s">
        <v>106</v>
      </c>
      <c r="F56" s="1" t="s">
        <v>145</v>
      </c>
      <c r="G56" s="1">
        <v>1</v>
      </c>
      <c r="H56" s="1" t="s">
        <v>54</v>
      </c>
      <c r="I56" s="1" t="s">
        <v>56</v>
      </c>
      <c r="J56" s="1" t="s">
        <v>132</v>
      </c>
      <c r="K56" s="1">
        <v>5</v>
      </c>
      <c r="L56" s="65">
        <f t="shared" si="0"/>
        <v>9.4876660341555979E-2</v>
      </c>
      <c r="M56" s="1" t="s">
        <v>109</v>
      </c>
      <c r="N56" s="1"/>
    </row>
    <row r="57" spans="1:14" x14ac:dyDescent="0.25">
      <c r="A57" s="13">
        <v>45625</v>
      </c>
      <c r="B57" s="1" t="s">
        <v>34</v>
      </c>
      <c r="C57" s="1" t="s">
        <v>15</v>
      </c>
      <c r="D57" s="1" t="s">
        <v>105</v>
      </c>
      <c r="E57" s="1" t="s">
        <v>106</v>
      </c>
      <c r="F57" s="1" t="s">
        <v>145</v>
      </c>
      <c r="G57" s="1">
        <v>1</v>
      </c>
      <c r="H57" s="1" t="s">
        <v>73</v>
      </c>
      <c r="I57" s="1" t="s">
        <v>78</v>
      </c>
      <c r="J57" s="1" t="s">
        <v>147</v>
      </c>
      <c r="K57" s="1">
        <v>1</v>
      </c>
      <c r="L57" s="65">
        <f t="shared" si="0"/>
        <v>1.8975332068311195E-2</v>
      </c>
      <c r="M57" s="1" t="s">
        <v>113</v>
      </c>
      <c r="N57" s="1"/>
    </row>
    <row r="58" spans="1:14" x14ac:dyDescent="0.25">
      <c r="A58" s="13">
        <v>45625</v>
      </c>
      <c r="B58" s="1" t="s">
        <v>34</v>
      </c>
      <c r="C58" s="1" t="s">
        <v>15</v>
      </c>
      <c r="D58" s="1" t="s">
        <v>105</v>
      </c>
      <c r="E58" s="1" t="s">
        <v>106</v>
      </c>
      <c r="F58" s="1" t="s">
        <v>145</v>
      </c>
      <c r="G58" s="1">
        <v>1</v>
      </c>
      <c r="H58" s="1" t="s">
        <v>44</v>
      </c>
      <c r="I58" s="1" t="s">
        <v>47</v>
      </c>
      <c r="J58" s="63" t="s">
        <v>114</v>
      </c>
      <c r="K58" s="1">
        <v>2</v>
      </c>
      <c r="L58" s="65">
        <f t="shared" si="0"/>
        <v>3.7950664136622389E-2</v>
      </c>
      <c r="M58" s="1" t="s">
        <v>109</v>
      </c>
      <c r="N58" s="1"/>
    </row>
    <row r="59" spans="1:14" x14ac:dyDescent="0.25">
      <c r="A59" s="13">
        <v>45625</v>
      </c>
      <c r="B59" s="1" t="s">
        <v>34</v>
      </c>
      <c r="C59" s="1" t="s">
        <v>15</v>
      </c>
      <c r="D59" s="1" t="s">
        <v>105</v>
      </c>
      <c r="E59" s="1" t="s">
        <v>106</v>
      </c>
      <c r="F59" s="1" t="s">
        <v>145</v>
      </c>
      <c r="G59" s="1">
        <v>1</v>
      </c>
      <c r="H59" s="1" t="s">
        <v>81</v>
      </c>
      <c r="I59" s="1" t="s">
        <v>83</v>
      </c>
      <c r="J59" s="1" t="s">
        <v>135</v>
      </c>
      <c r="K59" s="1">
        <v>1</v>
      </c>
      <c r="L59" s="65">
        <f t="shared" si="0"/>
        <v>1.8975332068311195E-2</v>
      </c>
      <c r="M59" s="1" t="s">
        <v>116</v>
      </c>
      <c r="N59" s="1"/>
    </row>
    <row r="60" spans="1:14" x14ac:dyDescent="0.25">
      <c r="A60" s="13">
        <v>45625</v>
      </c>
      <c r="B60" s="1" t="s">
        <v>34</v>
      </c>
      <c r="C60" s="1" t="s">
        <v>15</v>
      </c>
      <c r="D60" s="1" t="s">
        <v>105</v>
      </c>
      <c r="E60" s="1" t="s">
        <v>106</v>
      </c>
      <c r="F60" s="1" t="s">
        <v>145</v>
      </c>
      <c r="G60" s="1">
        <v>1</v>
      </c>
      <c r="H60" s="1" t="s">
        <v>73</v>
      </c>
      <c r="I60" s="1" t="s">
        <v>77</v>
      </c>
      <c r="J60" s="1" t="s">
        <v>143</v>
      </c>
      <c r="K60" s="1">
        <v>1</v>
      </c>
      <c r="L60" s="65">
        <f t="shared" si="0"/>
        <v>1.8975332068311195E-2</v>
      </c>
      <c r="M60" s="1" t="s">
        <v>113</v>
      </c>
      <c r="N60" s="1"/>
    </row>
    <row r="61" spans="1:14" x14ac:dyDescent="0.25">
      <c r="A61" s="13">
        <v>45625</v>
      </c>
      <c r="B61" s="1" t="s">
        <v>34</v>
      </c>
      <c r="C61" s="1" t="s">
        <v>15</v>
      </c>
      <c r="D61" s="1" t="s">
        <v>105</v>
      </c>
      <c r="E61" s="1" t="s">
        <v>106</v>
      </c>
      <c r="F61" s="1" t="s">
        <v>145</v>
      </c>
      <c r="G61" s="1">
        <v>1</v>
      </c>
      <c r="H61" s="1" t="s">
        <v>54</v>
      </c>
      <c r="I61" s="1" t="s">
        <v>57</v>
      </c>
      <c r="J61" s="1" t="s">
        <v>141</v>
      </c>
      <c r="K61" s="1">
        <v>1</v>
      </c>
      <c r="L61" s="65">
        <f t="shared" si="0"/>
        <v>1.8975332068311195E-2</v>
      </c>
      <c r="M61" s="1" t="s">
        <v>109</v>
      </c>
      <c r="N61" s="1"/>
    </row>
    <row r="62" spans="1:14" x14ac:dyDescent="0.25">
      <c r="A62" s="13">
        <v>45625</v>
      </c>
      <c r="B62" s="1" t="s">
        <v>34</v>
      </c>
      <c r="C62" s="1" t="s">
        <v>15</v>
      </c>
      <c r="D62" s="1" t="s">
        <v>105</v>
      </c>
      <c r="E62" s="1" t="s">
        <v>106</v>
      </c>
      <c r="F62" s="1" t="s">
        <v>145</v>
      </c>
      <c r="G62" s="1">
        <v>1</v>
      </c>
      <c r="H62" s="1" t="s">
        <v>54</v>
      </c>
      <c r="I62" s="1" t="s">
        <v>55</v>
      </c>
      <c r="J62" s="1" t="s">
        <v>120</v>
      </c>
      <c r="K62" s="1">
        <v>2</v>
      </c>
      <c r="L62" s="65">
        <f t="shared" si="0"/>
        <v>3.7950664136622389E-2</v>
      </c>
      <c r="M62" s="1" t="s">
        <v>121</v>
      </c>
      <c r="N62" s="1"/>
    </row>
    <row r="63" spans="1:14" x14ac:dyDescent="0.25">
      <c r="A63" s="13">
        <v>45625</v>
      </c>
      <c r="B63" s="1" t="s">
        <v>34</v>
      </c>
      <c r="C63" s="1" t="s">
        <v>15</v>
      </c>
      <c r="D63" s="1" t="s">
        <v>105</v>
      </c>
      <c r="E63" s="1" t="s">
        <v>106</v>
      </c>
      <c r="F63" s="1" t="s">
        <v>145</v>
      </c>
      <c r="G63" s="1">
        <v>2</v>
      </c>
      <c r="H63" s="1" t="s">
        <v>54</v>
      </c>
      <c r="I63" s="1" t="s">
        <v>55</v>
      </c>
      <c r="J63" s="1" t="s">
        <v>120</v>
      </c>
      <c r="K63" s="1">
        <v>8</v>
      </c>
      <c r="L63" s="65">
        <f t="shared" si="0"/>
        <v>0.15180265654648956</v>
      </c>
      <c r="M63" s="1" t="s">
        <v>121</v>
      </c>
      <c r="N63" s="1"/>
    </row>
    <row r="64" spans="1:14" x14ac:dyDescent="0.25">
      <c r="A64" s="13">
        <v>45625</v>
      </c>
      <c r="B64" s="1" t="s">
        <v>34</v>
      </c>
      <c r="C64" s="1" t="s">
        <v>15</v>
      </c>
      <c r="D64" s="1" t="s">
        <v>105</v>
      </c>
      <c r="E64" s="1" t="s">
        <v>106</v>
      </c>
      <c r="F64" s="1" t="s">
        <v>145</v>
      </c>
      <c r="G64" s="1">
        <v>2</v>
      </c>
      <c r="H64" s="1" t="s">
        <v>79</v>
      </c>
      <c r="I64" s="1" t="s">
        <v>80</v>
      </c>
      <c r="J64" s="1" t="s">
        <v>142</v>
      </c>
      <c r="K64" s="1">
        <v>2</v>
      </c>
      <c r="L64" s="65">
        <f t="shared" si="0"/>
        <v>3.7950664136622389E-2</v>
      </c>
      <c r="M64" s="1" t="s">
        <v>113</v>
      </c>
      <c r="N64" s="1"/>
    </row>
    <row r="65" spans="1:14" x14ac:dyDescent="0.25">
      <c r="A65" s="13">
        <v>45625</v>
      </c>
      <c r="B65" s="1" t="s">
        <v>34</v>
      </c>
      <c r="C65" s="1" t="s">
        <v>15</v>
      </c>
      <c r="D65" s="1" t="s">
        <v>105</v>
      </c>
      <c r="E65" s="1" t="s">
        <v>106</v>
      </c>
      <c r="F65" s="1" t="s">
        <v>145</v>
      </c>
      <c r="G65" s="1">
        <v>2</v>
      </c>
      <c r="H65" s="1" t="s">
        <v>44</v>
      </c>
      <c r="I65" s="1" t="s">
        <v>47</v>
      </c>
      <c r="J65" s="63" t="s">
        <v>114</v>
      </c>
      <c r="K65" s="1">
        <v>4</v>
      </c>
      <c r="L65" s="65">
        <f t="shared" si="0"/>
        <v>7.5901328273244778E-2</v>
      </c>
      <c r="M65" s="1" t="s">
        <v>109</v>
      </c>
      <c r="N65" s="1"/>
    </row>
    <row r="66" spans="1:14" x14ac:dyDescent="0.25">
      <c r="A66" s="13">
        <v>45625</v>
      </c>
      <c r="B66" s="1" t="s">
        <v>34</v>
      </c>
      <c r="C66" s="1" t="s">
        <v>15</v>
      </c>
      <c r="D66" s="1" t="s">
        <v>105</v>
      </c>
      <c r="E66" s="1" t="s">
        <v>106</v>
      </c>
      <c r="F66" s="1" t="s">
        <v>145</v>
      </c>
      <c r="G66" s="1">
        <v>2</v>
      </c>
      <c r="H66" s="1" t="s">
        <v>36</v>
      </c>
      <c r="I66" s="1" t="s">
        <v>39</v>
      </c>
      <c r="J66" s="1" t="s">
        <v>148</v>
      </c>
      <c r="K66" s="1">
        <v>1</v>
      </c>
      <c r="L66" s="65">
        <f t="shared" si="0"/>
        <v>1.8975332068311195E-2</v>
      </c>
      <c r="M66" s="1" t="s">
        <v>116</v>
      </c>
      <c r="N66" s="1"/>
    </row>
    <row r="67" spans="1:14" x14ac:dyDescent="0.25">
      <c r="A67" s="13">
        <v>45625</v>
      </c>
      <c r="B67" s="1" t="s">
        <v>34</v>
      </c>
      <c r="C67" s="1" t="s">
        <v>15</v>
      </c>
      <c r="D67" s="1" t="s">
        <v>105</v>
      </c>
      <c r="E67" s="1" t="s">
        <v>106</v>
      </c>
      <c r="F67" s="1" t="s">
        <v>145</v>
      </c>
      <c r="G67" s="1">
        <v>2</v>
      </c>
      <c r="H67" s="1" t="s">
        <v>73</v>
      </c>
      <c r="I67" s="1" t="s">
        <v>75</v>
      </c>
      <c r="J67" s="1" t="s">
        <v>149</v>
      </c>
      <c r="K67" s="1">
        <v>1</v>
      </c>
      <c r="L67" s="65">
        <f t="shared" si="0"/>
        <v>1.8975332068311195E-2</v>
      </c>
      <c r="M67" s="1" t="s">
        <v>113</v>
      </c>
      <c r="N67" s="1"/>
    </row>
    <row r="68" spans="1:14" x14ac:dyDescent="0.25">
      <c r="A68" s="13">
        <v>45625</v>
      </c>
      <c r="B68" s="1" t="s">
        <v>34</v>
      </c>
      <c r="C68" s="1" t="s">
        <v>15</v>
      </c>
      <c r="D68" s="1" t="s">
        <v>105</v>
      </c>
      <c r="E68" s="1" t="s">
        <v>106</v>
      </c>
      <c r="F68" s="1" t="s">
        <v>145</v>
      </c>
      <c r="G68" s="1">
        <v>2</v>
      </c>
      <c r="H68" s="1" t="s">
        <v>88</v>
      </c>
      <c r="I68" s="1" t="s">
        <v>89</v>
      </c>
      <c r="J68" s="1" t="s">
        <v>134</v>
      </c>
      <c r="K68" s="1">
        <v>2</v>
      </c>
      <c r="L68" s="65">
        <f t="shared" si="0"/>
        <v>3.7950664136622389E-2</v>
      </c>
      <c r="M68" s="1" t="s">
        <v>113</v>
      </c>
      <c r="N68" s="1"/>
    </row>
    <row r="69" spans="1:14" x14ac:dyDescent="0.25">
      <c r="A69" s="13">
        <v>45625</v>
      </c>
      <c r="B69" s="1" t="s">
        <v>34</v>
      </c>
      <c r="C69" s="1" t="s">
        <v>15</v>
      </c>
      <c r="D69" s="1" t="s">
        <v>105</v>
      </c>
      <c r="E69" s="1" t="s">
        <v>106</v>
      </c>
      <c r="F69" s="1" t="s">
        <v>145</v>
      </c>
      <c r="G69" s="1">
        <v>2</v>
      </c>
      <c r="H69" s="1" t="s">
        <v>44</v>
      </c>
      <c r="I69" s="1" t="s">
        <v>47</v>
      </c>
      <c r="J69" s="1" t="s">
        <v>150</v>
      </c>
      <c r="K69" s="1">
        <v>1</v>
      </c>
      <c r="L69" s="65">
        <f t="shared" si="0"/>
        <v>1.8975332068311195E-2</v>
      </c>
      <c r="M69" s="1" t="s">
        <v>109</v>
      </c>
      <c r="N69" s="1"/>
    </row>
    <row r="70" spans="1:14" x14ac:dyDescent="0.25">
      <c r="A70" s="13">
        <v>45625</v>
      </c>
      <c r="B70" s="1" t="s">
        <v>34</v>
      </c>
      <c r="C70" s="1" t="s">
        <v>15</v>
      </c>
      <c r="D70" s="1" t="s">
        <v>105</v>
      </c>
      <c r="E70" s="1" t="s">
        <v>106</v>
      </c>
      <c r="F70" s="1" t="s">
        <v>145</v>
      </c>
      <c r="G70" s="1">
        <v>2</v>
      </c>
      <c r="H70" s="1" t="s">
        <v>44</v>
      </c>
      <c r="I70" s="1" t="s">
        <v>47</v>
      </c>
      <c r="J70" s="1" t="s">
        <v>124</v>
      </c>
      <c r="K70" s="1">
        <v>2</v>
      </c>
      <c r="L70" s="65">
        <f t="shared" si="0"/>
        <v>3.7950664136622389E-2</v>
      </c>
      <c r="M70" s="1" t="s">
        <v>113</v>
      </c>
      <c r="N70" s="1"/>
    </row>
    <row r="71" spans="1:14" x14ac:dyDescent="0.25">
      <c r="A71" s="13">
        <v>45625</v>
      </c>
      <c r="B71" s="1" t="s">
        <v>34</v>
      </c>
      <c r="C71" s="1" t="s">
        <v>15</v>
      </c>
      <c r="D71" s="1" t="s">
        <v>105</v>
      </c>
      <c r="E71" s="1" t="s">
        <v>106</v>
      </c>
      <c r="F71" s="1" t="s">
        <v>145</v>
      </c>
      <c r="G71" s="1">
        <v>2</v>
      </c>
      <c r="H71" s="1" t="s">
        <v>54</v>
      </c>
      <c r="I71" s="1" t="s">
        <v>57</v>
      </c>
      <c r="J71" s="1" t="s">
        <v>141</v>
      </c>
      <c r="K71" s="1">
        <v>2</v>
      </c>
      <c r="L71" s="65">
        <f t="shared" ref="L71:L134" si="1">(K71/$P$7)*100</f>
        <v>3.7950664136622389E-2</v>
      </c>
      <c r="M71" s="1" t="s">
        <v>109</v>
      </c>
      <c r="N71" s="1"/>
    </row>
    <row r="72" spans="1:14" x14ac:dyDescent="0.25">
      <c r="A72" s="13">
        <v>45625</v>
      </c>
      <c r="B72" s="1" t="s">
        <v>34</v>
      </c>
      <c r="C72" s="1" t="s">
        <v>15</v>
      </c>
      <c r="D72" s="1" t="s">
        <v>105</v>
      </c>
      <c r="E72" s="1" t="s">
        <v>106</v>
      </c>
      <c r="F72" s="1" t="s">
        <v>145</v>
      </c>
      <c r="G72" s="1">
        <v>2</v>
      </c>
      <c r="H72" s="1" t="s">
        <v>81</v>
      </c>
      <c r="I72" s="1" t="s">
        <v>83</v>
      </c>
      <c r="J72" s="1" t="s">
        <v>131</v>
      </c>
      <c r="K72" s="1">
        <v>2</v>
      </c>
      <c r="L72" s="65">
        <f t="shared" si="1"/>
        <v>3.7950664136622389E-2</v>
      </c>
      <c r="M72" s="1" t="s">
        <v>116</v>
      </c>
      <c r="N72" s="1"/>
    </row>
    <row r="73" spans="1:14" x14ac:dyDescent="0.25">
      <c r="A73" s="13">
        <v>45625</v>
      </c>
      <c r="B73" s="1" t="s">
        <v>34</v>
      </c>
      <c r="C73" s="1" t="s">
        <v>15</v>
      </c>
      <c r="D73" s="1" t="s">
        <v>105</v>
      </c>
      <c r="E73" s="1" t="s">
        <v>106</v>
      </c>
      <c r="F73" s="1" t="s">
        <v>145</v>
      </c>
      <c r="G73" s="1">
        <v>2</v>
      </c>
      <c r="H73" s="1" t="s">
        <v>36</v>
      </c>
      <c r="I73" s="1" t="s">
        <v>38</v>
      </c>
      <c r="J73" s="1" t="s">
        <v>151</v>
      </c>
      <c r="K73" s="1">
        <v>1</v>
      </c>
      <c r="L73" s="65">
        <f t="shared" si="1"/>
        <v>1.8975332068311195E-2</v>
      </c>
      <c r="M73" s="1" t="s">
        <v>121</v>
      </c>
      <c r="N73" s="1"/>
    </row>
    <row r="74" spans="1:14" x14ac:dyDescent="0.25">
      <c r="A74" s="13">
        <v>45625</v>
      </c>
      <c r="B74" s="1" t="s">
        <v>34</v>
      </c>
      <c r="C74" s="1" t="s">
        <v>15</v>
      </c>
      <c r="D74" s="1" t="s">
        <v>105</v>
      </c>
      <c r="E74" s="1" t="s">
        <v>106</v>
      </c>
      <c r="F74" s="1" t="s">
        <v>145</v>
      </c>
      <c r="G74" s="1">
        <v>2</v>
      </c>
      <c r="H74" s="1" t="s">
        <v>73</v>
      </c>
      <c r="I74" s="1" t="s">
        <v>76</v>
      </c>
      <c r="J74" s="1" t="s">
        <v>126</v>
      </c>
      <c r="K74" s="1">
        <v>1</v>
      </c>
      <c r="L74" s="65">
        <f t="shared" si="1"/>
        <v>1.8975332068311195E-2</v>
      </c>
      <c r="M74" s="1" t="s">
        <v>113</v>
      </c>
      <c r="N74" s="1"/>
    </row>
    <row r="75" spans="1:14" x14ac:dyDescent="0.25">
      <c r="A75" s="13">
        <v>45625</v>
      </c>
      <c r="B75" s="1" t="s">
        <v>34</v>
      </c>
      <c r="C75" s="1" t="s">
        <v>15</v>
      </c>
      <c r="D75" s="1" t="s">
        <v>105</v>
      </c>
      <c r="E75" s="1" t="s">
        <v>106</v>
      </c>
      <c r="F75" s="1" t="s">
        <v>145</v>
      </c>
      <c r="G75" s="1">
        <v>2</v>
      </c>
      <c r="H75" s="1" t="s">
        <v>73</v>
      </c>
      <c r="I75" s="1" t="s">
        <v>77</v>
      </c>
      <c r="J75" s="1" t="s">
        <v>152</v>
      </c>
      <c r="K75" s="1">
        <v>1</v>
      </c>
      <c r="L75" s="65">
        <f t="shared" si="1"/>
        <v>1.8975332068311195E-2</v>
      </c>
      <c r="M75" s="1" t="s">
        <v>113</v>
      </c>
      <c r="N75" s="1"/>
    </row>
    <row r="76" spans="1:14" x14ac:dyDescent="0.25">
      <c r="A76" s="13">
        <v>45625</v>
      </c>
      <c r="B76" s="1" t="s">
        <v>34</v>
      </c>
      <c r="C76" s="1" t="s">
        <v>15</v>
      </c>
      <c r="D76" s="1" t="s">
        <v>105</v>
      </c>
      <c r="E76" s="1" t="s">
        <v>106</v>
      </c>
      <c r="F76" s="1" t="s">
        <v>145</v>
      </c>
      <c r="G76" s="1">
        <v>3</v>
      </c>
      <c r="H76" s="1" t="s">
        <v>60</v>
      </c>
      <c r="I76" s="1" t="s">
        <v>63</v>
      </c>
      <c r="J76" s="1" t="s">
        <v>112</v>
      </c>
      <c r="K76" s="1">
        <v>7</v>
      </c>
      <c r="L76" s="65">
        <f t="shared" si="1"/>
        <v>0.13282732447817835</v>
      </c>
      <c r="M76" s="1" t="s">
        <v>113</v>
      </c>
      <c r="N76" s="1"/>
    </row>
    <row r="77" spans="1:14" x14ac:dyDescent="0.25">
      <c r="A77" s="13">
        <v>45625</v>
      </c>
      <c r="B77" s="1" t="s">
        <v>34</v>
      </c>
      <c r="C77" s="1" t="s">
        <v>15</v>
      </c>
      <c r="D77" s="1" t="s">
        <v>105</v>
      </c>
      <c r="E77" s="1" t="s">
        <v>106</v>
      </c>
      <c r="F77" s="1" t="s">
        <v>145</v>
      </c>
      <c r="G77" s="1">
        <v>3</v>
      </c>
      <c r="H77" s="1" t="s">
        <v>36</v>
      </c>
      <c r="I77" s="1" t="s">
        <v>39</v>
      </c>
      <c r="J77" s="1" t="s">
        <v>148</v>
      </c>
      <c r="K77" s="1">
        <v>1</v>
      </c>
      <c r="L77" s="65">
        <f t="shared" si="1"/>
        <v>1.8975332068311195E-2</v>
      </c>
      <c r="M77" s="1" t="s">
        <v>116</v>
      </c>
      <c r="N77" s="1"/>
    </row>
    <row r="78" spans="1:14" x14ac:dyDescent="0.25">
      <c r="A78" s="13">
        <v>45625</v>
      </c>
      <c r="B78" s="1" t="s">
        <v>34</v>
      </c>
      <c r="C78" s="1" t="s">
        <v>15</v>
      </c>
      <c r="D78" s="1" t="s">
        <v>105</v>
      </c>
      <c r="E78" s="1" t="s">
        <v>106</v>
      </c>
      <c r="F78" s="1" t="s">
        <v>145</v>
      </c>
      <c r="G78" s="1">
        <v>3</v>
      </c>
      <c r="H78" s="1" t="s">
        <v>36</v>
      </c>
      <c r="I78" s="1" t="s">
        <v>37</v>
      </c>
      <c r="J78" s="1" t="s">
        <v>128</v>
      </c>
      <c r="K78" s="1">
        <v>5</v>
      </c>
      <c r="L78" s="65">
        <f t="shared" si="1"/>
        <v>9.4876660341555979E-2</v>
      </c>
      <c r="M78" s="1" t="s">
        <v>109</v>
      </c>
      <c r="N78" s="1"/>
    </row>
    <row r="79" spans="1:14" x14ac:dyDescent="0.25">
      <c r="A79" s="13">
        <v>45625</v>
      </c>
      <c r="B79" s="1" t="s">
        <v>34</v>
      </c>
      <c r="C79" s="1" t="s">
        <v>15</v>
      </c>
      <c r="D79" s="1" t="s">
        <v>105</v>
      </c>
      <c r="E79" s="1" t="s">
        <v>106</v>
      </c>
      <c r="F79" s="1" t="s">
        <v>145</v>
      </c>
      <c r="G79" s="1">
        <v>3</v>
      </c>
      <c r="H79" s="1" t="s">
        <v>54</v>
      </c>
      <c r="I79" s="1" t="s">
        <v>56</v>
      </c>
      <c r="J79" s="1" t="s">
        <v>132</v>
      </c>
      <c r="K79" s="1">
        <v>1</v>
      </c>
      <c r="L79" s="65">
        <f t="shared" si="1"/>
        <v>1.8975332068311195E-2</v>
      </c>
      <c r="M79" s="1" t="s">
        <v>109</v>
      </c>
      <c r="N79" s="1"/>
    </row>
    <row r="80" spans="1:14" x14ac:dyDescent="0.25">
      <c r="A80" s="13">
        <v>45625</v>
      </c>
      <c r="B80" s="1" t="s">
        <v>34</v>
      </c>
      <c r="C80" s="1" t="s">
        <v>15</v>
      </c>
      <c r="D80" s="1" t="s">
        <v>105</v>
      </c>
      <c r="E80" s="1" t="s">
        <v>106</v>
      </c>
      <c r="F80" s="1" t="s">
        <v>145</v>
      </c>
      <c r="G80" s="1">
        <v>3</v>
      </c>
      <c r="H80" s="1" t="s">
        <v>44</v>
      </c>
      <c r="I80" s="1" t="s">
        <v>47</v>
      </c>
      <c r="J80" s="63" t="s">
        <v>114</v>
      </c>
      <c r="K80" s="1">
        <v>1</v>
      </c>
      <c r="L80" s="65">
        <f t="shared" si="1"/>
        <v>1.8975332068311195E-2</v>
      </c>
      <c r="M80" s="1" t="s">
        <v>109</v>
      </c>
      <c r="N80" s="1"/>
    </row>
    <row r="81" spans="1:14" x14ac:dyDescent="0.25">
      <c r="A81" s="13">
        <v>45625</v>
      </c>
      <c r="B81" s="1" t="s">
        <v>34</v>
      </c>
      <c r="C81" s="1" t="s">
        <v>15</v>
      </c>
      <c r="D81" s="1" t="s">
        <v>105</v>
      </c>
      <c r="E81" s="1" t="s">
        <v>106</v>
      </c>
      <c r="F81" s="1" t="s">
        <v>145</v>
      </c>
      <c r="G81" s="1">
        <v>3</v>
      </c>
      <c r="H81" s="1" t="s">
        <v>79</v>
      </c>
      <c r="I81" s="1" t="s">
        <v>80</v>
      </c>
      <c r="J81" s="1" t="s">
        <v>142</v>
      </c>
      <c r="K81" s="1">
        <v>2</v>
      </c>
      <c r="L81" s="65">
        <f t="shared" si="1"/>
        <v>3.7950664136622389E-2</v>
      </c>
      <c r="M81" s="1" t="s">
        <v>113</v>
      </c>
      <c r="N81" s="1"/>
    </row>
    <row r="82" spans="1:14" x14ac:dyDescent="0.25">
      <c r="A82" s="13">
        <v>45625</v>
      </c>
      <c r="B82" s="1" t="s">
        <v>34</v>
      </c>
      <c r="C82" s="1" t="s">
        <v>15</v>
      </c>
      <c r="D82" s="1" t="s">
        <v>105</v>
      </c>
      <c r="E82" s="1" t="s">
        <v>106</v>
      </c>
      <c r="F82" s="1" t="s">
        <v>145</v>
      </c>
      <c r="G82" s="1">
        <v>3</v>
      </c>
      <c r="H82" s="1" t="s">
        <v>36</v>
      </c>
      <c r="I82" s="1" t="s">
        <v>37</v>
      </c>
      <c r="J82" s="1" t="s">
        <v>153</v>
      </c>
      <c r="K82" s="1">
        <v>3</v>
      </c>
      <c r="L82" s="65">
        <f t="shared" si="1"/>
        <v>5.6925996204933584E-2</v>
      </c>
      <c r="M82" s="1" t="s">
        <v>109</v>
      </c>
      <c r="N82" s="1"/>
    </row>
    <row r="83" spans="1:14" x14ac:dyDescent="0.25">
      <c r="A83" s="13">
        <v>45625</v>
      </c>
      <c r="B83" s="1" t="s">
        <v>34</v>
      </c>
      <c r="C83" s="1" t="s">
        <v>15</v>
      </c>
      <c r="D83" s="1" t="s">
        <v>105</v>
      </c>
      <c r="E83" s="1" t="s">
        <v>106</v>
      </c>
      <c r="F83" s="1" t="s">
        <v>145</v>
      </c>
      <c r="G83" s="1">
        <v>3</v>
      </c>
      <c r="H83" s="1" t="s">
        <v>54</v>
      </c>
      <c r="I83" s="1" t="s">
        <v>55</v>
      </c>
      <c r="J83" s="1" t="s">
        <v>122</v>
      </c>
      <c r="K83" s="1">
        <v>4</v>
      </c>
      <c r="L83" s="65">
        <f t="shared" si="1"/>
        <v>7.5901328273244778E-2</v>
      </c>
      <c r="M83" s="1" t="s">
        <v>109</v>
      </c>
      <c r="N83" s="1"/>
    </row>
    <row r="84" spans="1:14" x14ac:dyDescent="0.25">
      <c r="A84" s="13">
        <v>45625</v>
      </c>
      <c r="B84" s="1" t="s">
        <v>34</v>
      </c>
      <c r="C84" s="1" t="s">
        <v>15</v>
      </c>
      <c r="D84" s="1" t="s">
        <v>105</v>
      </c>
      <c r="E84" s="1" t="s">
        <v>106</v>
      </c>
      <c r="F84" s="1" t="s">
        <v>145</v>
      </c>
      <c r="G84" s="1">
        <v>3</v>
      </c>
      <c r="H84" s="1" t="s">
        <v>54</v>
      </c>
      <c r="I84" s="1" t="s">
        <v>56</v>
      </c>
      <c r="J84" s="1" t="s">
        <v>154</v>
      </c>
      <c r="K84" s="1">
        <v>1</v>
      </c>
      <c r="L84" s="65">
        <f t="shared" si="1"/>
        <v>1.8975332068311195E-2</v>
      </c>
      <c r="M84" s="1" t="s">
        <v>109</v>
      </c>
      <c r="N84" s="1"/>
    </row>
    <row r="85" spans="1:14" x14ac:dyDescent="0.25">
      <c r="A85" s="13">
        <v>45625</v>
      </c>
      <c r="B85" s="1" t="s">
        <v>34</v>
      </c>
      <c r="C85" s="1" t="s">
        <v>15</v>
      </c>
      <c r="D85" s="1" t="s">
        <v>105</v>
      </c>
      <c r="E85" s="1" t="s">
        <v>106</v>
      </c>
      <c r="F85" s="1" t="s">
        <v>145</v>
      </c>
      <c r="G85" s="1">
        <v>3</v>
      </c>
      <c r="H85" s="1" t="s">
        <v>54</v>
      </c>
      <c r="I85" s="1" t="s">
        <v>55</v>
      </c>
      <c r="J85" s="1" t="s">
        <v>120</v>
      </c>
      <c r="K85" s="1">
        <v>17</v>
      </c>
      <c r="L85" s="65">
        <f t="shared" si="1"/>
        <v>0.32258064516129031</v>
      </c>
      <c r="M85" s="1" t="s">
        <v>121</v>
      </c>
      <c r="N85" s="1"/>
    </row>
    <row r="86" spans="1:14" x14ac:dyDescent="0.25">
      <c r="A86" s="13">
        <v>45625</v>
      </c>
      <c r="B86" s="1" t="s">
        <v>34</v>
      </c>
      <c r="C86" s="1" t="s">
        <v>15</v>
      </c>
      <c r="D86" s="1" t="s">
        <v>105</v>
      </c>
      <c r="E86" s="1" t="s">
        <v>106</v>
      </c>
      <c r="F86" s="1" t="s">
        <v>145</v>
      </c>
      <c r="G86" s="1">
        <v>3</v>
      </c>
      <c r="H86" s="1" t="s">
        <v>54</v>
      </c>
      <c r="I86" s="1" t="s">
        <v>57</v>
      </c>
      <c r="J86" s="1" t="s">
        <v>141</v>
      </c>
      <c r="K86" s="1">
        <v>1</v>
      </c>
      <c r="L86" s="65">
        <f t="shared" si="1"/>
        <v>1.8975332068311195E-2</v>
      </c>
      <c r="M86" s="1" t="s">
        <v>109</v>
      </c>
      <c r="N86" s="1"/>
    </row>
    <row r="87" spans="1:14" x14ac:dyDescent="0.25">
      <c r="A87" s="13">
        <v>45625</v>
      </c>
      <c r="B87" s="1" t="s">
        <v>34</v>
      </c>
      <c r="C87" s="1" t="s">
        <v>15</v>
      </c>
      <c r="D87" s="1" t="s">
        <v>105</v>
      </c>
      <c r="E87" s="1" t="s">
        <v>106</v>
      </c>
      <c r="F87" s="1" t="s">
        <v>145</v>
      </c>
      <c r="G87" s="1">
        <v>3</v>
      </c>
      <c r="H87" s="1" t="s">
        <v>60</v>
      </c>
      <c r="I87" s="1" t="s">
        <v>64</v>
      </c>
      <c r="J87" s="1" t="s">
        <v>117</v>
      </c>
      <c r="K87" s="1">
        <v>2</v>
      </c>
      <c r="L87" s="65">
        <f t="shared" si="1"/>
        <v>3.7950664136622389E-2</v>
      </c>
      <c r="M87" s="1" t="s">
        <v>113</v>
      </c>
      <c r="N87" s="1"/>
    </row>
    <row r="88" spans="1:14" x14ac:dyDescent="0.25">
      <c r="A88" s="13">
        <v>45625</v>
      </c>
      <c r="B88" s="1" t="s">
        <v>34</v>
      </c>
      <c r="C88" s="1" t="s">
        <v>15</v>
      </c>
      <c r="D88" s="1" t="s">
        <v>105</v>
      </c>
      <c r="E88" s="1" t="s">
        <v>106</v>
      </c>
      <c r="F88" s="1" t="s">
        <v>145</v>
      </c>
      <c r="G88" s="1">
        <v>3</v>
      </c>
      <c r="H88" s="1" t="s">
        <v>36</v>
      </c>
      <c r="I88" s="1" t="s">
        <v>38</v>
      </c>
      <c r="J88" s="1" t="s">
        <v>151</v>
      </c>
      <c r="K88" s="1">
        <v>4</v>
      </c>
      <c r="L88" s="65">
        <f t="shared" si="1"/>
        <v>7.5901328273244778E-2</v>
      </c>
      <c r="M88" s="1" t="s">
        <v>121</v>
      </c>
      <c r="N88" s="1"/>
    </row>
    <row r="89" spans="1:14" x14ac:dyDescent="0.25">
      <c r="A89" s="13">
        <v>45625</v>
      </c>
      <c r="B89" s="1" t="s">
        <v>34</v>
      </c>
      <c r="C89" s="1" t="s">
        <v>15</v>
      </c>
      <c r="D89" s="1" t="s">
        <v>105</v>
      </c>
      <c r="E89" s="1" t="s">
        <v>106</v>
      </c>
      <c r="F89" s="1" t="s">
        <v>145</v>
      </c>
      <c r="G89" s="1">
        <v>3</v>
      </c>
      <c r="H89" s="1" t="s">
        <v>81</v>
      </c>
      <c r="I89" s="1" t="s">
        <v>87</v>
      </c>
      <c r="J89" s="1" t="s">
        <v>155</v>
      </c>
      <c r="K89" s="1">
        <v>2</v>
      </c>
      <c r="L89" s="65">
        <f t="shared" si="1"/>
        <v>3.7950664136622389E-2</v>
      </c>
      <c r="M89" s="1" t="s">
        <v>119</v>
      </c>
      <c r="N89" s="1"/>
    </row>
    <row r="90" spans="1:14" x14ac:dyDescent="0.25">
      <c r="A90" s="13">
        <v>45625</v>
      </c>
      <c r="B90" s="1" t="s">
        <v>34</v>
      </c>
      <c r="C90" s="1" t="s">
        <v>15</v>
      </c>
      <c r="D90" s="1" t="s">
        <v>105</v>
      </c>
      <c r="E90" s="1" t="s">
        <v>106</v>
      </c>
      <c r="F90" s="1" t="s">
        <v>145</v>
      </c>
      <c r="G90" s="1">
        <v>3</v>
      </c>
      <c r="H90" s="1" t="s">
        <v>73</v>
      </c>
      <c r="I90" s="1" t="s">
        <v>77</v>
      </c>
      <c r="J90" s="1" t="s">
        <v>77</v>
      </c>
      <c r="K90" s="1">
        <v>5</v>
      </c>
      <c r="L90" s="65">
        <f t="shared" si="1"/>
        <v>9.4876660341555979E-2</v>
      </c>
      <c r="M90" s="1" t="s">
        <v>113</v>
      </c>
      <c r="N90" s="1"/>
    </row>
    <row r="91" spans="1:14" x14ac:dyDescent="0.25">
      <c r="A91" s="13">
        <v>45625</v>
      </c>
      <c r="B91" s="1" t="s">
        <v>34</v>
      </c>
      <c r="C91" s="1" t="s">
        <v>15</v>
      </c>
      <c r="D91" s="1" t="s">
        <v>105</v>
      </c>
      <c r="E91" s="1" t="s">
        <v>106</v>
      </c>
      <c r="F91" s="1" t="s">
        <v>145</v>
      </c>
      <c r="G91" s="1">
        <v>3</v>
      </c>
      <c r="H91" s="1" t="s">
        <v>71</v>
      </c>
      <c r="I91" s="1" t="s">
        <v>72</v>
      </c>
      <c r="J91" s="1" t="s">
        <v>156</v>
      </c>
      <c r="K91" s="1">
        <v>3</v>
      </c>
      <c r="L91" s="65">
        <f t="shared" si="1"/>
        <v>5.6925996204933584E-2</v>
      </c>
      <c r="M91" s="1" t="s">
        <v>113</v>
      </c>
      <c r="N91" s="1"/>
    </row>
    <row r="92" spans="1:14" x14ac:dyDescent="0.25">
      <c r="A92" s="13">
        <v>45625</v>
      </c>
      <c r="B92" s="1" t="s">
        <v>34</v>
      </c>
      <c r="C92" s="1" t="s">
        <v>15</v>
      </c>
      <c r="D92" s="1" t="s">
        <v>105</v>
      </c>
      <c r="E92" s="1" t="s">
        <v>106</v>
      </c>
      <c r="F92" s="1" t="s">
        <v>145</v>
      </c>
      <c r="G92" s="1">
        <v>3</v>
      </c>
      <c r="H92" s="1" t="s">
        <v>54</v>
      </c>
      <c r="I92" s="1" t="s">
        <v>57</v>
      </c>
      <c r="J92" s="1" t="s">
        <v>157</v>
      </c>
      <c r="K92" s="1">
        <v>1</v>
      </c>
      <c r="L92" s="65">
        <f t="shared" si="1"/>
        <v>1.8975332068311195E-2</v>
      </c>
      <c r="M92" s="1" t="s">
        <v>109</v>
      </c>
      <c r="N92" s="1"/>
    </row>
    <row r="93" spans="1:14" x14ac:dyDescent="0.25">
      <c r="A93" s="13">
        <v>45625</v>
      </c>
      <c r="B93" s="1" t="s">
        <v>34</v>
      </c>
      <c r="C93" s="1" t="s">
        <v>15</v>
      </c>
      <c r="D93" s="1" t="s">
        <v>105</v>
      </c>
      <c r="E93" s="1" t="s">
        <v>106</v>
      </c>
      <c r="F93" s="1" t="s">
        <v>145</v>
      </c>
      <c r="G93" s="1">
        <v>3</v>
      </c>
      <c r="H93" s="1" t="s">
        <v>54</v>
      </c>
      <c r="I93" s="1" t="s">
        <v>55</v>
      </c>
      <c r="J93" s="1" t="s">
        <v>158</v>
      </c>
      <c r="K93" s="1">
        <v>2</v>
      </c>
      <c r="L93" s="65">
        <f t="shared" si="1"/>
        <v>3.7950664136622389E-2</v>
      </c>
      <c r="M93" s="1" t="s">
        <v>121</v>
      </c>
      <c r="N93" s="1"/>
    </row>
    <row r="94" spans="1:14" x14ac:dyDescent="0.25">
      <c r="A94" s="13">
        <v>45625</v>
      </c>
      <c r="B94" s="1" t="s">
        <v>34</v>
      </c>
      <c r="C94" s="1" t="s">
        <v>15</v>
      </c>
      <c r="D94" s="1" t="s">
        <v>105</v>
      </c>
      <c r="E94" s="1" t="s">
        <v>106</v>
      </c>
      <c r="F94" s="1" t="s">
        <v>145</v>
      </c>
      <c r="G94" s="1">
        <v>3</v>
      </c>
      <c r="H94" s="1" t="s">
        <v>44</v>
      </c>
      <c r="I94" s="1" t="s">
        <v>52</v>
      </c>
      <c r="J94" s="1" t="s">
        <v>133</v>
      </c>
      <c r="K94" s="1">
        <v>1</v>
      </c>
      <c r="L94" s="65">
        <f t="shared" si="1"/>
        <v>1.8975332068311195E-2</v>
      </c>
      <c r="M94" s="1" t="s">
        <v>119</v>
      </c>
      <c r="N94" s="1"/>
    </row>
    <row r="95" spans="1:14" x14ac:dyDescent="0.25">
      <c r="A95" s="13">
        <v>45625</v>
      </c>
      <c r="B95" s="1" t="s">
        <v>34</v>
      </c>
      <c r="C95" s="1" t="s">
        <v>15</v>
      </c>
      <c r="D95" s="1" t="s">
        <v>105</v>
      </c>
      <c r="E95" s="1" t="s">
        <v>106</v>
      </c>
      <c r="F95" s="1" t="s">
        <v>159</v>
      </c>
      <c r="G95" s="1">
        <v>1</v>
      </c>
      <c r="H95" s="1" t="s">
        <v>71</v>
      </c>
      <c r="I95" s="1" t="s">
        <v>72</v>
      </c>
      <c r="J95" s="1" t="s">
        <v>156</v>
      </c>
      <c r="K95" s="1">
        <v>2</v>
      </c>
      <c r="L95" s="65">
        <f t="shared" si="1"/>
        <v>3.7950664136622389E-2</v>
      </c>
      <c r="M95" s="1" t="s">
        <v>113</v>
      </c>
      <c r="N95" s="1"/>
    </row>
    <row r="96" spans="1:14" x14ac:dyDescent="0.25">
      <c r="A96" s="13">
        <v>45625</v>
      </c>
      <c r="B96" s="1" t="s">
        <v>34</v>
      </c>
      <c r="C96" s="1" t="s">
        <v>15</v>
      </c>
      <c r="D96" s="1" t="s">
        <v>105</v>
      </c>
      <c r="E96" s="1" t="s">
        <v>106</v>
      </c>
      <c r="F96" s="1" t="s">
        <v>159</v>
      </c>
      <c r="G96" s="1">
        <v>1</v>
      </c>
      <c r="H96" s="1" t="s">
        <v>44</v>
      </c>
      <c r="I96" s="1" t="s">
        <v>47</v>
      </c>
      <c r="J96" s="63" t="s">
        <v>114</v>
      </c>
      <c r="K96" s="1">
        <v>33</v>
      </c>
      <c r="L96" s="65">
        <f t="shared" si="1"/>
        <v>0.62618595825426948</v>
      </c>
      <c r="M96" s="1" t="s">
        <v>109</v>
      </c>
      <c r="N96" s="1"/>
    </row>
    <row r="97" spans="1:14" x14ac:dyDescent="0.25">
      <c r="A97" s="13">
        <v>45625</v>
      </c>
      <c r="B97" s="1" t="s">
        <v>34</v>
      </c>
      <c r="C97" s="1" t="s">
        <v>15</v>
      </c>
      <c r="D97" s="1" t="s">
        <v>105</v>
      </c>
      <c r="E97" s="1" t="s">
        <v>106</v>
      </c>
      <c r="F97" s="1" t="s">
        <v>159</v>
      </c>
      <c r="G97" s="1">
        <v>1</v>
      </c>
      <c r="H97" s="1" t="s">
        <v>36</v>
      </c>
      <c r="I97" s="1" t="s">
        <v>37</v>
      </c>
      <c r="J97" s="1" t="s">
        <v>128</v>
      </c>
      <c r="K97" s="1">
        <v>24</v>
      </c>
      <c r="L97" s="65">
        <f t="shared" si="1"/>
        <v>0.45540796963946867</v>
      </c>
      <c r="M97" s="1" t="s">
        <v>109</v>
      </c>
      <c r="N97" s="1"/>
    </row>
    <row r="98" spans="1:14" x14ac:dyDescent="0.25">
      <c r="A98" s="13">
        <v>45625</v>
      </c>
      <c r="B98" s="1" t="s">
        <v>34</v>
      </c>
      <c r="C98" s="1" t="s">
        <v>15</v>
      </c>
      <c r="D98" s="1" t="s">
        <v>105</v>
      </c>
      <c r="E98" s="1" t="s">
        <v>106</v>
      </c>
      <c r="F98" s="1" t="s">
        <v>159</v>
      </c>
      <c r="G98" s="1">
        <v>1</v>
      </c>
      <c r="H98" s="1" t="s">
        <v>44</v>
      </c>
      <c r="I98" s="1" t="s">
        <v>47</v>
      </c>
      <c r="J98" s="1" t="s">
        <v>124</v>
      </c>
      <c r="K98" s="1">
        <v>46</v>
      </c>
      <c r="L98" s="65">
        <f t="shared" si="1"/>
        <v>0.87286527514231493</v>
      </c>
      <c r="M98" s="1" t="s">
        <v>113</v>
      </c>
      <c r="N98" s="1"/>
    </row>
    <row r="99" spans="1:14" x14ac:dyDescent="0.25">
      <c r="A99" s="13">
        <v>45625</v>
      </c>
      <c r="B99" s="1" t="s">
        <v>34</v>
      </c>
      <c r="C99" s="1" t="s">
        <v>15</v>
      </c>
      <c r="D99" s="1" t="s">
        <v>105</v>
      </c>
      <c r="E99" s="1" t="s">
        <v>106</v>
      </c>
      <c r="F99" s="1" t="s">
        <v>159</v>
      </c>
      <c r="G99" s="1">
        <v>1</v>
      </c>
      <c r="H99" s="1" t="s">
        <v>54</v>
      </c>
      <c r="I99" s="1" t="s">
        <v>56</v>
      </c>
      <c r="J99" s="1" t="s">
        <v>132</v>
      </c>
      <c r="K99" s="1">
        <v>5</v>
      </c>
      <c r="L99" s="65">
        <f t="shared" si="1"/>
        <v>9.4876660341555979E-2</v>
      </c>
      <c r="M99" s="1" t="s">
        <v>109</v>
      </c>
      <c r="N99" s="1"/>
    </row>
    <row r="100" spans="1:14" x14ac:dyDescent="0.25">
      <c r="A100" s="13">
        <v>45625</v>
      </c>
      <c r="B100" s="1" t="s">
        <v>34</v>
      </c>
      <c r="C100" s="1" t="s">
        <v>15</v>
      </c>
      <c r="D100" s="1" t="s">
        <v>105</v>
      </c>
      <c r="E100" s="1" t="s">
        <v>106</v>
      </c>
      <c r="F100" s="1" t="s">
        <v>159</v>
      </c>
      <c r="G100" s="1">
        <v>1</v>
      </c>
      <c r="H100" s="1" t="s">
        <v>79</v>
      </c>
      <c r="I100" s="1" t="s">
        <v>80</v>
      </c>
      <c r="J100" s="1" t="s">
        <v>142</v>
      </c>
      <c r="K100" s="1">
        <v>1</v>
      </c>
      <c r="L100" s="65">
        <f t="shared" si="1"/>
        <v>1.8975332068311195E-2</v>
      </c>
      <c r="M100" s="1" t="s">
        <v>113</v>
      </c>
      <c r="N100" s="1"/>
    </row>
    <row r="101" spans="1:14" x14ac:dyDescent="0.25">
      <c r="A101" s="13">
        <v>45625</v>
      </c>
      <c r="B101" s="1" t="s">
        <v>34</v>
      </c>
      <c r="C101" s="1" t="s">
        <v>15</v>
      </c>
      <c r="D101" s="1" t="s">
        <v>105</v>
      </c>
      <c r="E101" s="1" t="s">
        <v>106</v>
      </c>
      <c r="F101" s="1" t="s">
        <v>159</v>
      </c>
      <c r="G101" s="1">
        <v>1</v>
      </c>
      <c r="H101" s="1" t="s">
        <v>54</v>
      </c>
      <c r="I101" s="1" t="s">
        <v>55</v>
      </c>
      <c r="J101" s="1" t="s">
        <v>120</v>
      </c>
      <c r="K101" s="1">
        <v>1</v>
      </c>
      <c r="L101" s="65">
        <f t="shared" si="1"/>
        <v>1.8975332068311195E-2</v>
      </c>
      <c r="M101" s="1" t="s">
        <v>121</v>
      </c>
      <c r="N101" s="1"/>
    </row>
    <row r="102" spans="1:14" x14ac:dyDescent="0.25">
      <c r="A102" s="13">
        <v>45625</v>
      </c>
      <c r="B102" s="1" t="s">
        <v>34</v>
      </c>
      <c r="C102" s="1" t="s">
        <v>15</v>
      </c>
      <c r="D102" s="1" t="s">
        <v>105</v>
      </c>
      <c r="E102" s="1" t="s">
        <v>106</v>
      </c>
      <c r="F102" s="1" t="s">
        <v>159</v>
      </c>
      <c r="G102" s="1">
        <v>1</v>
      </c>
      <c r="H102" s="1" t="s">
        <v>44</v>
      </c>
      <c r="I102" s="1" t="s">
        <v>52</v>
      </c>
      <c r="J102" s="1" t="s">
        <v>133</v>
      </c>
      <c r="K102" s="1">
        <v>6</v>
      </c>
      <c r="L102" s="65">
        <f t="shared" si="1"/>
        <v>0.11385199240986717</v>
      </c>
      <c r="M102" s="1" t="s">
        <v>119</v>
      </c>
      <c r="N102" s="1"/>
    </row>
    <row r="103" spans="1:14" x14ac:dyDescent="0.25">
      <c r="A103" s="13">
        <v>45625</v>
      </c>
      <c r="B103" s="1" t="s">
        <v>34</v>
      </c>
      <c r="C103" s="1" t="s">
        <v>15</v>
      </c>
      <c r="D103" s="1" t="s">
        <v>105</v>
      </c>
      <c r="E103" s="1" t="s">
        <v>106</v>
      </c>
      <c r="F103" s="1" t="s">
        <v>159</v>
      </c>
      <c r="G103" s="1">
        <v>1</v>
      </c>
      <c r="H103" s="1" t="s">
        <v>81</v>
      </c>
      <c r="I103" s="1" t="s">
        <v>83</v>
      </c>
      <c r="J103" s="1" t="s">
        <v>135</v>
      </c>
      <c r="K103" s="1">
        <v>2</v>
      </c>
      <c r="L103" s="65">
        <f t="shared" si="1"/>
        <v>3.7950664136622389E-2</v>
      </c>
      <c r="M103" s="1" t="s">
        <v>116</v>
      </c>
      <c r="N103" s="1"/>
    </row>
    <row r="104" spans="1:14" x14ac:dyDescent="0.25">
      <c r="A104" s="13">
        <v>45625</v>
      </c>
      <c r="B104" s="1" t="s">
        <v>34</v>
      </c>
      <c r="C104" s="1" t="s">
        <v>15</v>
      </c>
      <c r="D104" s="1" t="s">
        <v>105</v>
      </c>
      <c r="E104" s="1" t="s">
        <v>106</v>
      </c>
      <c r="F104" s="1" t="s">
        <v>159</v>
      </c>
      <c r="G104" s="1">
        <v>1</v>
      </c>
      <c r="H104" s="1" t="s">
        <v>36</v>
      </c>
      <c r="I104" s="1" t="s">
        <v>37</v>
      </c>
      <c r="J104" s="1" t="s">
        <v>160</v>
      </c>
      <c r="K104" s="1">
        <v>2</v>
      </c>
      <c r="L104" s="65">
        <f t="shared" si="1"/>
        <v>3.7950664136622389E-2</v>
      </c>
      <c r="M104" s="1" t="s">
        <v>109</v>
      </c>
      <c r="N104" s="1"/>
    </row>
    <row r="105" spans="1:14" x14ac:dyDescent="0.25">
      <c r="A105" s="13">
        <v>45625</v>
      </c>
      <c r="B105" s="1" t="s">
        <v>34</v>
      </c>
      <c r="C105" s="1" t="s">
        <v>15</v>
      </c>
      <c r="D105" s="1" t="s">
        <v>105</v>
      </c>
      <c r="E105" s="1" t="s">
        <v>106</v>
      </c>
      <c r="F105" s="1" t="s">
        <v>159</v>
      </c>
      <c r="G105" s="1">
        <v>1</v>
      </c>
      <c r="H105" s="1" t="s">
        <v>81</v>
      </c>
      <c r="I105" s="1" t="s">
        <v>82</v>
      </c>
      <c r="J105" s="1" t="s">
        <v>138</v>
      </c>
      <c r="K105" s="1">
        <v>1</v>
      </c>
      <c r="L105" s="65">
        <f t="shared" si="1"/>
        <v>1.8975332068311195E-2</v>
      </c>
      <c r="M105" s="1" t="s">
        <v>116</v>
      </c>
      <c r="N105" s="1"/>
    </row>
    <row r="106" spans="1:14" x14ac:dyDescent="0.25">
      <c r="A106" s="13">
        <v>45625</v>
      </c>
      <c r="B106" s="1" t="s">
        <v>34</v>
      </c>
      <c r="C106" s="1" t="s">
        <v>15</v>
      </c>
      <c r="D106" s="1" t="s">
        <v>105</v>
      </c>
      <c r="E106" s="1" t="s">
        <v>106</v>
      </c>
      <c r="F106" s="1" t="s">
        <v>159</v>
      </c>
      <c r="G106" s="1">
        <v>1</v>
      </c>
      <c r="H106" s="1" t="s">
        <v>36</v>
      </c>
      <c r="I106" s="1" t="s">
        <v>40</v>
      </c>
      <c r="J106" s="1" t="s">
        <v>40</v>
      </c>
      <c r="K106" s="1">
        <v>2</v>
      </c>
      <c r="L106" s="65">
        <f t="shared" si="1"/>
        <v>3.7950664136622389E-2</v>
      </c>
      <c r="M106" s="1" t="s">
        <v>113</v>
      </c>
      <c r="N106" s="1"/>
    </row>
    <row r="107" spans="1:14" x14ac:dyDescent="0.25">
      <c r="A107" s="13">
        <v>45625</v>
      </c>
      <c r="B107" s="1" t="s">
        <v>34</v>
      </c>
      <c r="C107" s="1" t="s">
        <v>15</v>
      </c>
      <c r="D107" s="1" t="s">
        <v>105</v>
      </c>
      <c r="E107" s="1" t="s">
        <v>106</v>
      </c>
      <c r="F107" s="1" t="s">
        <v>159</v>
      </c>
      <c r="G107" s="1">
        <v>1</v>
      </c>
      <c r="H107" s="1" t="s">
        <v>54</v>
      </c>
      <c r="I107" s="1" t="s">
        <v>55</v>
      </c>
      <c r="J107" s="1" t="s">
        <v>122</v>
      </c>
      <c r="K107" s="1">
        <v>7</v>
      </c>
      <c r="L107" s="65">
        <f t="shared" si="1"/>
        <v>0.13282732447817835</v>
      </c>
      <c r="M107" s="1" t="s">
        <v>109</v>
      </c>
      <c r="N107" s="1"/>
    </row>
    <row r="108" spans="1:14" x14ac:dyDescent="0.25">
      <c r="A108" s="13">
        <v>45625</v>
      </c>
      <c r="B108" s="1" t="s">
        <v>34</v>
      </c>
      <c r="C108" s="1" t="s">
        <v>15</v>
      </c>
      <c r="D108" s="1" t="s">
        <v>105</v>
      </c>
      <c r="E108" s="1" t="s">
        <v>106</v>
      </c>
      <c r="F108" s="1" t="s">
        <v>159</v>
      </c>
      <c r="G108" s="1">
        <v>1</v>
      </c>
      <c r="H108" s="1" t="s">
        <v>60</v>
      </c>
      <c r="I108" s="1" t="s">
        <v>63</v>
      </c>
      <c r="J108" s="1" t="s">
        <v>112</v>
      </c>
      <c r="K108" s="1">
        <v>3</v>
      </c>
      <c r="L108" s="65">
        <f t="shared" si="1"/>
        <v>5.6925996204933584E-2</v>
      </c>
      <c r="M108" s="1" t="s">
        <v>113</v>
      </c>
      <c r="N108" s="1"/>
    </row>
    <row r="109" spans="1:14" x14ac:dyDescent="0.25">
      <c r="A109" s="13">
        <v>45625</v>
      </c>
      <c r="B109" s="1" t="s">
        <v>34</v>
      </c>
      <c r="C109" s="1" t="s">
        <v>15</v>
      </c>
      <c r="D109" s="1" t="s">
        <v>105</v>
      </c>
      <c r="E109" s="1" t="s">
        <v>106</v>
      </c>
      <c r="F109" s="1" t="s">
        <v>159</v>
      </c>
      <c r="G109" s="1">
        <v>1</v>
      </c>
      <c r="H109" s="1" t="s">
        <v>71</v>
      </c>
      <c r="I109" s="1" t="s">
        <v>72</v>
      </c>
      <c r="J109" s="1" t="s">
        <v>156</v>
      </c>
      <c r="K109" s="1">
        <v>3</v>
      </c>
      <c r="L109" s="65">
        <f t="shared" si="1"/>
        <v>5.6925996204933584E-2</v>
      </c>
      <c r="M109" s="1" t="s">
        <v>113</v>
      </c>
      <c r="N109" s="1"/>
    </row>
    <row r="110" spans="1:14" x14ac:dyDescent="0.25">
      <c r="A110" s="13">
        <v>45625</v>
      </c>
      <c r="B110" s="1" t="s">
        <v>34</v>
      </c>
      <c r="C110" s="1" t="s">
        <v>15</v>
      </c>
      <c r="D110" s="1" t="s">
        <v>105</v>
      </c>
      <c r="E110" s="1" t="s">
        <v>106</v>
      </c>
      <c r="F110" s="1" t="s">
        <v>159</v>
      </c>
      <c r="G110" s="1">
        <v>1</v>
      </c>
      <c r="H110" s="1" t="s">
        <v>44</v>
      </c>
      <c r="I110" s="1" t="s">
        <v>47</v>
      </c>
      <c r="J110" s="63" t="s">
        <v>114</v>
      </c>
      <c r="K110" s="1">
        <v>4</v>
      </c>
      <c r="L110" s="65">
        <f t="shared" si="1"/>
        <v>7.5901328273244778E-2</v>
      </c>
      <c r="M110" s="1" t="s">
        <v>109</v>
      </c>
      <c r="N110" s="1"/>
    </row>
    <row r="111" spans="1:14" x14ac:dyDescent="0.25">
      <c r="A111" s="13">
        <v>45625</v>
      </c>
      <c r="B111" s="1" t="s">
        <v>34</v>
      </c>
      <c r="C111" s="1" t="s">
        <v>15</v>
      </c>
      <c r="D111" s="1" t="s">
        <v>105</v>
      </c>
      <c r="E111" s="1" t="s">
        <v>106</v>
      </c>
      <c r="F111" s="1" t="s">
        <v>159</v>
      </c>
      <c r="G111" s="1">
        <v>1</v>
      </c>
      <c r="H111" s="1" t="s">
        <v>41</v>
      </c>
      <c r="I111" s="1" t="s">
        <v>42</v>
      </c>
      <c r="J111" s="1" t="s">
        <v>161</v>
      </c>
      <c r="K111" s="1">
        <v>1</v>
      </c>
      <c r="L111" s="65">
        <f t="shared" si="1"/>
        <v>1.8975332068311195E-2</v>
      </c>
      <c r="M111" s="1" t="s">
        <v>109</v>
      </c>
      <c r="N111" s="1"/>
    </row>
    <row r="112" spans="1:14" x14ac:dyDescent="0.25">
      <c r="A112" s="13">
        <v>45625</v>
      </c>
      <c r="B112" s="1" t="s">
        <v>34</v>
      </c>
      <c r="C112" s="1" t="s">
        <v>15</v>
      </c>
      <c r="D112" s="1" t="s">
        <v>105</v>
      </c>
      <c r="E112" s="1" t="s">
        <v>106</v>
      </c>
      <c r="F112" s="1" t="s">
        <v>159</v>
      </c>
      <c r="G112" s="1">
        <v>2</v>
      </c>
      <c r="H112" s="1" t="s">
        <v>36</v>
      </c>
      <c r="I112" s="1" t="s">
        <v>37</v>
      </c>
      <c r="J112" s="1" t="s">
        <v>128</v>
      </c>
      <c r="K112" s="1">
        <v>36</v>
      </c>
      <c r="L112" s="65">
        <f t="shared" si="1"/>
        <v>0.68311195445920303</v>
      </c>
      <c r="M112" s="1" t="s">
        <v>109</v>
      </c>
      <c r="N112" s="1"/>
    </row>
    <row r="113" spans="1:14" x14ac:dyDescent="0.25">
      <c r="A113" s="13">
        <v>45625</v>
      </c>
      <c r="B113" s="1" t="s">
        <v>34</v>
      </c>
      <c r="C113" s="1" t="s">
        <v>15</v>
      </c>
      <c r="D113" s="1" t="s">
        <v>105</v>
      </c>
      <c r="E113" s="1" t="s">
        <v>106</v>
      </c>
      <c r="F113" s="1" t="s">
        <v>159</v>
      </c>
      <c r="G113" s="1">
        <v>2</v>
      </c>
      <c r="H113" s="1" t="s">
        <v>79</v>
      </c>
      <c r="I113" s="1" t="s">
        <v>80</v>
      </c>
      <c r="J113" s="1" t="s">
        <v>142</v>
      </c>
      <c r="K113" s="1">
        <v>5</v>
      </c>
      <c r="L113" s="65">
        <f t="shared" si="1"/>
        <v>9.4876660341555979E-2</v>
      </c>
      <c r="M113" s="1" t="s">
        <v>113</v>
      </c>
      <c r="N113" s="1"/>
    </row>
    <row r="114" spans="1:14" x14ac:dyDescent="0.25">
      <c r="A114" s="13">
        <v>45625</v>
      </c>
      <c r="B114" s="1" t="s">
        <v>34</v>
      </c>
      <c r="C114" s="1" t="s">
        <v>15</v>
      </c>
      <c r="D114" s="1" t="s">
        <v>105</v>
      </c>
      <c r="E114" s="1" t="s">
        <v>106</v>
      </c>
      <c r="F114" s="1" t="s">
        <v>159</v>
      </c>
      <c r="G114" s="1">
        <v>2</v>
      </c>
      <c r="H114" s="1" t="s">
        <v>44</v>
      </c>
      <c r="I114" s="1" t="s">
        <v>47</v>
      </c>
      <c r="J114" s="63" t="s">
        <v>114</v>
      </c>
      <c r="K114" s="1">
        <v>50</v>
      </c>
      <c r="L114" s="65">
        <f t="shared" si="1"/>
        <v>0.94876660341555974</v>
      </c>
      <c r="M114" s="1" t="s">
        <v>109</v>
      </c>
      <c r="N114" s="1"/>
    </row>
    <row r="115" spans="1:14" x14ac:dyDescent="0.25">
      <c r="A115" s="13">
        <v>45625</v>
      </c>
      <c r="B115" s="1" t="s">
        <v>34</v>
      </c>
      <c r="C115" s="1" t="s">
        <v>15</v>
      </c>
      <c r="D115" s="1" t="s">
        <v>105</v>
      </c>
      <c r="E115" s="1" t="s">
        <v>106</v>
      </c>
      <c r="F115" s="1" t="s">
        <v>159</v>
      </c>
      <c r="G115" s="1">
        <v>2</v>
      </c>
      <c r="H115" s="1" t="s">
        <v>44</v>
      </c>
      <c r="I115" s="1" t="s">
        <v>47</v>
      </c>
      <c r="J115" s="1" t="s">
        <v>124</v>
      </c>
      <c r="K115" s="1">
        <v>8</v>
      </c>
      <c r="L115" s="65">
        <f t="shared" si="1"/>
        <v>0.15180265654648956</v>
      </c>
      <c r="M115" s="1" t="s">
        <v>113</v>
      </c>
      <c r="N115" s="1"/>
    </row>
    <row r="116" spans="1:14" x14ac:dyDescent="0.25">
      <c r="A116" s="13">
        <v>45625</v>
      </c>
      <c r="B116" s="1" t="s">
        <v>34</v>
      </c>
      <c r="C116" s="1" t="s">
        <v>15</v>
      </c>
      <c r="D116" s="1" t="s">
        <v>105</v>
      </c>
      <c r="E116" s="1" t="s">
        <v>106</v>
      </c>
      <c r="F116" s="1" t="s">
        <v>159</v>
      </c>
      <c r="G116" s="1">
        <v>2</v>
      </c>
      <c r="H116" s="1" t="s">
        <v>44</v>
      </c>
      <c r="I116" s="1" t="s">
        <v>52</v>
      </c>
      <c r="J116" s="1" t="s">
        <v>133</v>
      </c>
      <c r="K116" s="1">
        <v>29</v>
      </c>
      <c r="L116" s="65">
        <f t="shared" si="1"/>
        <v>0.55028462998102468</v>
      </c>
      <c r="M116" s="1" t="s">
        <v>119</v>
      </c>
      <c r="N116" s="1"/>
    </row>
    <row r="117" spans="1:14" x14ac:dyDescent="0.25">
      <c r="A117" s="13">
        <v>45625</v>
      </c>
      <c r="B117" s="1" t="s">
        <v>34</v>
      </c>
      <c r="C117" s="1" t="s">
        <v>15</v>
      </c>
      <c r="D117" s="1" t="s">
        <v>105</v>
      </c>
      <c r="E117" s="1" t="s">
        <v>106</v>
      </c>
      <c r="F117" s="1" t="s">
        <v>159</v>
      </c>
      <c r="G117" s="1">
        <v>2</v>
      </c>
      <c r="H117" s="1" t="s">
        <v>81</v>
      </c>
      <c r="I117" s="1" t="s">
        <v>83</v>
      </c>
      <c r="J117" s="1" t="s">
        <v>131</v>
      </c>
      <c r="K117" s="1">
        <v>13</v>
      </c>
      <c r="L117" s="65">
        <f t="shared" si="1"/>
        <v>0.24667931688804554</v>
      </c>
      <c r="M117" s="1" t="s">
        <v>116</v>
      </c>
      <c r="N117" s="1"/>
    </row>
    <row r="118" spans="1:14" x14ac:dyDescent="0.25">
      <c r="A118" s="13">
        <v>45625</v>
      </c>
      <c r="B118" s="1" t="s">
        <v>34</v>
      </c>
      <c r="C118" s="1" t="s">
        <v>15</v>
      </c>
      <c r="D118" s="1" t="s">
        <v>105</v>
      </c>
      <c r="E118" s="1" t="s">
        <v>106</v>
      </c>
      <c r="F118" s="1" t="s">
        <v>159</v>
      </c>
      <c r="G118" s="1">
        <v>2</v>
      </c>
      <c r="H118" s="1" t="s">
        <v>36</v>
      </c>
      <c r="I118" s="1" t="s">
        <v>39</v>
      </c>
      <c r="J118" s="1" t="s">
        <v>148</v>
      </c>
      <c r="K118" s="1">
        <v>4</v>
      </c>
      <c r="L118" s="65">
        <f t="shared" si="1"/>
        <v>7.5901328273244778E-2</v>
      </c>
      <c r="M118" s="1" t="s">
        <v>116</v>
      </c>
      <c r="N118" s="1"/>
    </row>
    <row r="119" spans="1:14" x14ac:dyDescent="0.25">
      <c r="A119" s="13">
        <v>45625</v>
      </c>
      <c r="B119" s="1" t="s">
        <v>34</v>
      </c>
      <c r="C119" s="1" t="s">
        <v>15</v>
      </c>
      <c r="D119" s="1" t="s">
        <v>105</v>
      </c>
      <c r="E119" s="1" t="s">
        <v>106</v>
      </c>
      <c r="F119" s="1" t="s">
        <v>159</v>
      </c>
      <c r="G119" s="1">
        <v>2</v>
      </c>
      <c r="H119" s="1" t="s">
        <v>81</v>
      </c>
      <c r="I119" s="1" t="s">
        <v>82</v>
      </c>
      <c r="J119" s="1" t="s">
        <v>138</v>
      </c>
      <c r="K119" s="1">
        <v>2</v>
      </c>
      <c r="L119" s="65">
        <f t="shared" si="1"/>
        <v>3.7950664136622389E-2</v>
      </c>
      <c r="M119" s="1" t="s">
        <v>116</v>
      </c>
      <c r="N119" s="1"/>
    </row>
    <row r="120" spans="1:14" x14ac:dyDescent="0.25">
      <c r="A120" s="13">
        <v>45625</v>
      </c>
      <c r="B120" s="1" t="s">
        <v>34</v>
      </c>
      <c r="C120" s="1" t="s">
        <v>15</v>
      </c>
      <c r="D120" s="1" t="s">
        <v>105</v>
      </c>
      <c r="E120" s="1" t="s">
        <v>106</v>
      </c>
      <c r="F120" s="1" t="s">
        <v>159</v>
      </c>
      <c r="G120" s="1">
        <v>2</v>
      </c>
      <c r="H120" s="1" t="s">
        <v>54</v>
      </c>
      <c r="I120" s="1" t="s">
        <v>55</v>
      </c>
      <c r="J120" s="1" t="s">
        <v>120</v>
      </c>
      <c r="K120" s="1">
        <v>15</v>
      </c>
      <c r="L120" s="65">
        <f t="shared" si="1"/>
        <v>0.28462998102466791</v>
      </c>
      <c r="M120" s="1" t="s">
        <v>121</v>
      </c>
      <c r="N120" s="1"/>
    </row>
    <row r="121" spans="1:14" x14ac:dyDescent="0.25">
      <c r="A121" s="13">
        <v>45625</v>
      </c>
      <c r="B121" s="1" t="s">
        <v>34</v>
      </c>
      <c r="C121" s="1" t="s">
        <v>15</v>
      </c>
      <c r="D121" s="1" t="s">
        <v>105</v>
      </c>
      <c r="E121" s="1" t="s">
        <v>106</v>
      </c>
      <c r="F121" s="1" t="s">
        <v>159</v>
      </c>
      <c r="G121" s="1">
        <v>2</v>
      </c>
      <c r="H121" s="1" t="s">
        <v>71</v>
      </c>
      <c r="I121" s="1" t="s">
        <v>72</v>
      </c>
      <c r="J121" s="1" t="s">
        <v>156</v>
      </c>
      <c r="K121" s="1">
        <v>7</v>
      </c>
      <c r="L121" s="65">
        <f t="shared" si="1"/>
        <v>0.13282732447817835</v>
      </c>
      <c r="M121" s="1" t="s">
        <v>113</v>
      </c>
      <c r="N121" s="1"/>
    </row>
    <row r="122" spans="1:14" x14ac:dyDescent="0.25">
      <c r="A122" s="13">
        <v>45625</v>
      </c>
      <c r="B122" s="1" t="s">
        <v>34</v>
      </c>
      <c r="C122" s="1" t="s">
        <v>15</v>
      </c>
      <c r="D122" s="1" t="s">
        <v>105</v>
      </c>
      <c r="E122" s="1" t="s">
        <v>106</v>
      </c>
      <c r="F122" s="1" t="s">
        <v>159</v>
      </c>
      <c r="G122" s="1">
        <v>2</v>
      </c>
      <c r="H122" s="1" t="s">
        <v>54</v>
      </c>
      <c r="I122" s="1" t="s">
        <v>56</v>
      </c>
      <c r="J122" s="1" t="s">
        <v>132</v>
      </c>
      <c r="K122" s="1">
        <v>11</v>
      </c>
      <c r="L122" s="65">
        <f t="shared" si="1"/>
        <v>0.20872865275142313</v>
      </c>
      <c r="M122" s="1" t="s">
        <v>109</v>
      </c>
      <c r="N122" s="1"/>
    </row>
    <row r="123" spans="1:14" x14ac:dyDescent="0.25">
      <c r="A123" s="13">
        <v>45625</v>
      </c>
      <c r="B123" s="1" t="s">
        <v>34</v>
      </c>
      <c r="C123" s="1" t="s">
        <v>15</v>
      </c>
      <c r="D123" s="1" t="s">
        <v>105</v>
      </c>
      <c r="E123" s="1" t="s">
        <v>106</v>
      </c>
      <c r="F123" s="1" t="s">
        <v>159</v>
      </c>
      <c r="G123" s="1">
        <v>2</v>
      </c>
      <c r="H123" s="1" t="s">
        <v>54</v>
      </c>
      <c r="I123" s="1" t="s">
        <v>55</v>
      </c>
      <c r="J123" s="1" t="s">
        <v>122</v>
      </c>
      <c r="K123" s="1">
        <v>20</v>
      </c>
      <c r="L123" s="65">
        <f t="shared" si="1"/>
        <v>0.37950664136622392</v>
      </c>
      <c r="M123" s="1" t="s">
        <v>109</v>
      </c>
      <c r="N123" s="1"/>
    </row>
    <row r="124" spans="1:14" x14ac:dyDescent="0.25">
      <c r="A124" s="13">
        <v>45625</v>
      </c>
      <c r="B124" s="1" t="s">
        <v>34</v>
      </c>
      <c r="C124" s="1" t="s">
        <v>15</v>
      </c>
      <c r="D124" s="1" t="s">
        <v>105</v>
      </c>
      <c r="E124" s="1" t="s">
        <v>106</v>
      </c>
      <c r="F124" s="1" t="s">
        <v>159</v>
      </c>
      <c r="G124" s="1">
        <v>2</v>
      </c>
      <c r="H124" s="1" t="s">
        <v>54</v>
      </c>
      <c r="I124" s="1" t="s">
        <v>55</v>
      </c>
      <c r="J124" s="1" t="s">
        <v>158</v>
      </c>
      <c r="K124" s="1">
        <v>3</v>
      </c>
      <c r="L124" s="65">
        <f t="shared" si="1"/>
        <v>5.6925996204933584E-2</v>
      </c>
      <c r="M124" s="1" t="s">
        <v>121</v>
      </c>
      <c r="N124" s="1"/>
    </row>
    <row r="125" spans="1:14" x14ac:dyDescent="0.25">
      <c r="A125" s="13">
        <v>45625</v>
      </c>
      <c r="B125" s="1" t="s">
        <v>34</v>
      </c>
      <c r="C125" s="1" t="s">
        <v>15</v>
      </c>
      <c r="D125" s="1" t="s">
        <v>105</v>
      </c>
      <c r="E125" s="1" t="s">
        <v>106</v>
      </c>
      <c r="F125" s="1" t="s">
        <v>159</v>
      </c>
      <c r="G125" s="1">
        <v>3</v>
      </c>
      <c r="H125" s="1" t="s">
        <v>71</v>
      </c>
      <c r="I125" s="1" t="s">
        <v>72</v>
      </c>
      <c r="J125" s="1" t="s">
        <v>156</v>
      </c>
      <c r="K125" s="1">
        <v>11</v>
      </c>
      <c r="L125" s="65">
        <f t="shared" si="1"/>
        <v>0.20872865275142313</v>
      </c>
      <c r="M125" s="1" t="s">
        <v>113</v>
      </c>
      <c r="N125" s="1"/>
    </row>
    <row r="126" spans="1:14" x14ac:dyDescent="0.25">
      <c r="A126" s="13">
        <v>45625</v>
      </c>
      <c r="B126" s="1" t="s">
        <v>34</v>
      </c>
      <c r="C126" s="1" t="s">
        <v>15</v>
      </c>
      <c r="D126" s="1" t="s">
        <v>105</v>
      </c>
      <c r="E126" s="1" t="s">
        <v>106</v>
      </c>
      <c r="F126" s="1" t="s">
        <v>159</v>
      </c>
      <c r="G126" s="1">
        <v>3</v>
      </c>
      <c r="H126" s="1" t="s">
        <v>79</v>
      </c>
      <c r="I126" s="1" t="s">
        <v>80</v>
      </c>
      <c r="J126" s="1" t="s">
        <v>142</v>
      </c>
      <c r="K126" s="1">
        <v>11</v>
      </c>
      <c r="L126" s="65">
        <f t="shared" si="1"/>
        <v>0.20872865275142313</v>
      </c>
      <c r="M126" s="1" t="s">
        <v>113</v>
      </c>
      <c r="N126" s="1"/>
    </row>
    <row r="127" spans="1:14" x14ac:dyDescent="0.25">
      <c r="A127" s="13">
        <v>45625</v>
      </c>
      <c r="B127" s="1" t="s">
        <v>34</v>
      </c>
      <c r="C127" s="1" t="s">
        <v>15</v>
      </c>
      <c r="D127" s="1" t="s">
        <v>105</v>
      </c>
      <c r="E127" s="1" t="s">
        <v>106</v>
      </c>
      <c r="F127" s="1" t="s">
        <v>159</v>
      </c>
      <c r="G127" s="1">
        <v>3</v>
      </c>
      <c r="H127" s="1" t="s">
        <v>36</v>
      </c>
      <c r="I127" s="1" t="s">
        <v>37</v>
      </c>
      <c r="J127" s="1" t="s">
        <v>128</v>
      </c>
      <c r="K127" s="1">
        <v>30</v>
      </c>
      <c r="L127" s="65">
        <f t="shared" si="1"/>
        <v>0.56925996204933582</v>
      </c>
      <c r="M127" s="1" t="s">
        <v>109</v>
      </c>
      <c r="N127" s="1"/>
    </row>
    <row r="128" spans="1:14" x14ac:dyDescent="0.25">
      <c r="A128" s="13">
        <v>45625</v>
      </c>
      <c r="B128" s="1" t="s">
        <v>34</v>
      </c>
      <c r="C128" s="1" t="s">
        <v>15</v>
      </c>
      <c r="D128" s="1" t="s">
        <v>105</v>
      </c>
      <c r="E128" s="1" t="s">
        <v>106</v>
      </c>
      <c r="F128" s="1" t="s">
        <v>159</v>
      </c>
      <c r="G128" s="1">
        <v>3</v>
      </c>
      <c r="H128" s="1" t="s">
        <v>81</v>
      </c>
      <c r="I128" s="1" t="s">
        <v>82</v>
      </c>
      <c r="J128" s="1" t="s">
        <v>138</v>
      </c>
      <c r="K128" s="1">
        <v>1</v>
      </c>
      <c r="L128" s="65">
        <f t="shared" si="1"/>
        <v>1.8975332068311195E-2</v>
      </c>
      <c r="M128" s="1" t="s">
        <v>116</v>
      </c>
      <c r="N128" s="1"/>
    </row>
    <row r="129" spans="1:14" x14ac:dyDescent="0.25">
      <c r="A129" s="13">
        <v>45625</v>
      </c>
      <c r="B129" s="1" t="s">
        <v>34</v>
      </c>
      <c r="C129" s="1" t="s">
        <v>15</v>
      </c>
      <c r="D129" s="1" t="s">
        <v>105</v>
      </c>
      <c r="E129" s="1" t="s">
        <v>106</v>
      </c>
      <c r="F129" s="1" t="s">
        <v>159</v>
      </c>
      <c r="G129" s="1">
        <v>3</v>
      </c>
      <c r="H129" s="1" t="s">
        <v>60</v>
      </c>
      <c r="I129" s="1" t="s">
        <v>63</v>
      </c>
      <c r="J129" s="1" t="s">
        <v>112</v>
      </c>
      <c r="K129" s="1">
        <v>1</v>
      </c>
      <c r="L129" s="65">
        <f t="shared" si="1"/>
        <v>1.8975332068311195E-2</v>
      </c>
      <c r="M129" s="1" t="s">
        <v>113</v>
      </c>
      <c r="N129" s="1"/>
    </row>
    <row r="130" spans="1:14" x14ac:dyDescent="0.25">
      <c r="A130" s="13">
        <v>45625</v>
      </c>
      <c r="B130" s="1" t="s">
        <v>34</v>
      </c>
      <c r="C130" s="1" t="s">
        <v>15</v>
      </c>
      <c r="D130" s="1" t="s">
        <v>105</v>
      </c>
      <c r="E130" s="1" t="s">
        <v>106</v>
      </c>
      <c r="F130" s="1" t="s">
        <v>159</v>
      </c>
      <c r="G130" s="1">
        <v>3</v>
      </c>
      <c r="H130" s="1" t="s">
        <v>44</v>
      </c>
      <c r="I130" s="1" t="s">
        <v>47</v>
      </c>
      <c r="J130" s="63" t="s">
        <v>114</v>
      </c>
      <c r="K130" s="1">
        <v>39</v>
      </c>
      <c r="L130" s="65">
        <f t="shared" si="1"/>
        <v>0.74003795066413658</v>
      </c>
      <c r="M130" s="1" t="s">
        <v>109</v>
      </c>
      <c r="N130" s="1"/>
    </row>
    <row r="131" spans="1:14" x14ac:dyDescent="0.25">
      <c r="A131" s="13">
        <v>45625</v>
      </c>
      <c r="B131" s="1" t="s">
        <v>34</v>
      </c>
      <c r="C131" s="1" t="s">
        <v>15</v>
      </c>
      <c r="D131" s="1" t="s">
        <v>105</v>
      </c>
      <c r="E131" s="1" t="s">
        <v>106</v>
      </c>
      <c r="F131" s="1" t="s">
        <v>159</v>
      </c>
      <c r="G131" s="1">
        <v>3</v>
      </c>
      <c r="H131" s="1" t="s">
        <v>36</v>
      </c>
      <c r="I131" s="1" t="s">
        <v>37</v>
      </c>
      <c r="J131" s="1" t="s">
        <v>153</v>
      </c>
      <c r="K131" s="1">
        <v>1</v>
      </c>
      <c r="L131" s="65">
        <f t="shared" si="1"/>
        <v>1.8975332068311195E-2</v>
      </c>
      <c r="M131" s="1" t="s">
        <v>109</v>
      </c>
      <c r="N131" s="1"/>
    </row>
    <row r="132" spans="1:14" x14ac:dyDescent="0.25">
      <c r="A132" s="13">
        <v>45625</v>
      </c>
      <c r="B132" s="1" t="s">
        <v>34</v>
      </c>
      <c r="C132" s="1" t="s">
        <v>15</v>
      </c>
      <c r="D132" s="1" t="s">
        <v>105</v>
      </c>
      <c r="E132" s="1" t="s">
        <v>106</v>
      </c>
      <c r="F132" s="1" t="s">
        <v>159</v>
      </c>
      <c r="G132" s="1">
        <v>3</v>
      </c>
      <c r="H132" s="1" t="s">
        <v>36</v>
      </c>
      <c r="I132" s="1" t="s">
        <v>37</v>
      </c>
      <c r="J132" s="1" t="s">
        <v>160</v>
      </c>
      <c r="K132" s="1">
        <v>1</v>
      </c>
      <c r="L132" s="65">
        <f t="shared" si="1"/>
        <v>1.8975332068311195E-2</v>
      </c>
      <c r="M132" s="1" t="s">
        <v>109</v>
      </c>
      <c r="N132" s="1"/>
    </row>
    <row r="133" spans="1:14" x14ac:dyDescent="0.25">
      <c r="A133" s="13">
        <v>45625</v>
      </c>
      <c r="B133" s="1" t="s">
        <v>34</v>
      </c>
      <c r="C133" s="1" t="s">
        <v>15</v>
      </c>
      <c r="D133" s="1" t="s">
        <v>105</v>
      </c>
      <c r="E133" s="1" t="s">
        <v>106</v>
      </c>
      <c r="F133" s="1" t="s">
        <v>159</v>
      </c>
      <c r="G133" s="1">
        <v>3</v>
      </c>
      <c r="H133" s="1" t="s">
        <v>54</v>
      </c>
      <c r="I133" s="1" t="s">
        <v>56</v>
      </c>
      <c r="J133" s="1" t="s">
        <v>132</v>
      </c>
      <c r="K133" s="1">
        <v>7</v>
      </c>
      <c r="L133" s="65">
        <f t="shared" si="1"/>
        <v>0.13282732447817835</v>
      </c>
      <c r="M133" s="1" t="s">
        <v>109</v>
      </c>
      <c r="N133" s="1"/>
    </row>
    <row r="134" spans="1:14" x14ac:dyDescent="0.25">
      <c r="A134" s="13">
        <v>45625</v>
      </c>
      <c r="B134" s="1" t="s">
        <v>34</v>
      </c>
      <c r="C134" s="1" t="s">
        <v>15</v>
      </c>
      <c r="D134" s="1" t="s">
        <v>105</v>
      </c>
      <c r="E134" s="1" t="s">
        <v>106</v>
      </c>
      <c r="F134" s="1" t="s">
        <v>159</v>
      </c>
      <c r="G134" s="1">
        <v>3</v>
      </c>
      <c r="H134" s="1" t="s">
        <v>44</v>
      </c>
      <c r="I134" s="1" t="s">
        <v>52</v>
      </c>
      <c r="J134" s="1" t="s">
        <v>133</v>
      </c>
      <c r="K134" s="1">
        <v>5</v>
      </c>
      <c r="L134" s="65">
        <f t="shared" si="1"/>
        <v>9.4876660341555979E-2</v>
      </c>
      <c r="M134" s="1" t="s">
        <v>119</v>
      </c>
      <c r="N134" s="1"/>
    </row>
    <row r="135" spans="1:14" x14ac:dyDescent="0.25">
      <c r="A135" s="13">
        <v>45625</v>
      </c>
      <c r="B135" s="1" t="s">
        <v>34</v>
      </c>
      <c r="C135" s="1" t="s">
        <v>15</v>
      </c>
      <c r="D135" s="1" t="s">
        <v>105</v>
      </c>
      <c r="E135" s="1" t="s">
        <v>106</v>
      </c>
      <c r="F135" s="1" t="s">
        <v>159</v>
      </c>
      <c r="G135" s="1">
        <v>3</v>
      </c>
      <c r="H135" s="1" t="s">
        <v>54</v>
      </c>
      <c r="I135" s="1" t="s">
        <v>55</v>
      </c>
      <c r="J135" s="1" t="s">
        <v>122</v>
      </c>
      <c r="K135" s="1">
        <v>4</v>
      </c>
      <c r="L135" s="65">
        <f t="shared" ref="L135:L198" si="2">(K135/$P$7)*100</f>
        <v>7.5901328273244778E-2</v>
      </c>
      <c r="M135" s="1" t="s">
        <v>109</v>
      </c>
      <c r="N135" s="1"/>
    </row>
    <row r="136" spans="1:14" x14ac:dyDescent="0.25">
      <c r="A136" s="13">
        <v>45625</v>
      </c>
      <c r="B136" s="1" t="s">
        <v>34</v>
      </c>
      <c r="C136" s="1" t="s">
        <v>15</v>
      </c>
      <c r="D136" s="1" t="s">
        <v>105</v>
      </c>
      <c r="E136" s="1" t="s">
        <v>106</v>
      </c>
      <c r="F136" s="1" t="s">
        <v>159</v>
      </c>
      <c r="G136" s="1">
        <v>3</v>
      </c>
      <c r="H136" s="1" t="s">
        <v>54</v>
      </c>
      <c r="I136" s="1" t="s">
        <v>55</v>
      </c>
      <c r="J136" s="1" t="s">
        <v>120</v>
      </c>
      <c r="K136" s="1">
        <v>27</v>
      </c>
      <c r="L136" s="65">
        <f t="shared" si="2"/>
        <v>0.51233396584440227</v>
      </c>
      <c r="M136" s="1" t="s">
        <v>121</v>
      </c>
      <c r="N136" s="1"/>
    </row>
    <row r="137" spans="1:14" x14ac:dyDescent="0.25">
      <c r="A137" s="13">
        <v>45625</v>
      </c>
      <c r="B137" s="1" t="s">
        <v>34</v>
      </c>
      <c r="C137" s="1" t="s">
        <v>15</v>
      </c>
      <c r="D137" s="1" t="s">
        <v>105</v>
      </c>
      <c r="E137" s="1" t="s">
        <v>106</v>
      </c>
      <c r="F137" s="1" t="s">
        <v>159</v>
      </c>
      <c r="G137" s="1">
        <v>3</v>
      </c>
      <c r="H137" s="1" t="s">
        <v>44</v>
      </c>
      <c r="I137" s="1" t="s">
        <v>47</v>
      </c>
      <c r="J137" s="1" t="s">
        <v>124</v>
      </c>
      <c r="K137" s="1">
        <v>5</v>
      </c>
      <c r="L137" s="65">
        <f t="shared" si="2"/>
        <v>9.4876660341555979E-2</v>
      </c>
      <c r="M137" s="1" t="s">
        <v>113</v>
      </c>
      <c r="N137" s="1"/>
    </row>
    <row r="138" spans="1:14" x14ac:dyDescent="0.25">
      <c r="A138" s="13">
        <v>45625</v>
      </c>
      <c r="B138" s="1" t="s">
        <v>34</v>
      </c>
      <c r="C138" s="1" t="s">
        <v>15</v>
      </c>
      <c r="D138" s="1" t="s">
        <v>105</v>
      </c>
      <c r="E138" s="1" t="s">
        <v>106</v>
      </c>
      <c r="F138" s="1" t="s">
        <v>159</v>
      </c>
      <c r="G138" s="1">
        <v>3</v>
      </c>
      <c r="H138" s="1" t="s">
        <v>81</v>
      </c>
      <c r="I138" s="1" t="s">
        <v>83</v>
      </c>
      <c r="J138" s="1" t="s">
        <v>131</v>
      </c>
      <c r="K138" s="1">
        <v>2</v>
      </c>
      <c r="L138" s="65">
        <f t="shared" si="2"/>
        <v>3.7950664136622389E-2</v>
      </c>
      <c r="M138" s="1" t="s">
        <v>116</v>
      </c>
      <c r="N138" s="1"/>
    </row>
    <row r="139" spans="1:14" x14ac:dyDescent="0.25">
      <c r="A139" s="13">
        <v>45625</v>
      </c>
      <c r="B139" s="1" t="s">
        <v>34</v>
      </c>
      <c r="C139" s="1" t="s">
        <v>15</v>
      </c>
      <c r="D139" s="1" t="s">
        <v>105</v>
      </c>
      <c r="E139" s="1" t="s">
        <v>106</v>
      </c>
      <c r="F139" s="1" t="s">
        <v>159</v>
      </c>
      <c r="G139" s="1">
        <v>3</v>
      </c>
      <c r="H139" s="1" t="s">
        <v>81</v>
      </c>
      <c r="I139" s="1" t="s">
        <v>85</v>
      </c>
      <c r="J139" s="1" t="s">
        <v>108</v>
      </c>
      <c r="K139" s="1">
        <v>1</v>
      </c>
      <c r="L139" s="65">
        <f t="shared" si="2"/>
        <v>1.8975332068311195E-2</v>
      </c>
      <c r="M139" s="1" t="s">
        <v>109</v>
      </c>
      <c r="N139" s="1"/>
    </row>
    <row r="140" spans="1:14" x14ac:dyDescent="0.25">
      <c r="A140" s="13">
        <v>45625</v>
      </c>
      <c r="B140" s="25" t="s">
        <v>664</v>
      </c>
      <c r="C140" s="1" t="s">
        <v>20</v>
      </c>
      <c r="D140" s="1" t="s">
        <v>162</v>
      </c>
      <c r="E140" s="1" t="s">
        <v>163</v>
      </c>
      <c r="F140" s="1" t="s">
        <v>107</v>
      </c>
      <c r="G140" s="1">
        <v>1</v>
      </c>
      <c r="H140" s="1" t="s">
        <v>44</v>
      </c>
      <c r="I140" s="1" t="s">
        <v>47</v>
      </c>
      <c r="J140" s="63" t="s">
        <v>114</v>
      </c>
      <c r="K140" s="1">
        <v>10</v>
      </c>
      <c r="L140" s="65">
        <f t="shared" si="2"/>
        <v>0.18975332068311196</v>
      </c>
      <c r="M140" s="1" t="s">
        <v>109</v>
      </c>
      <c r="N140" s="1"/>
    </row>
    <row r="141" spans="1:14" x14ac:dyDescent="0.25">
      <c r="A141" s="13">
        <v>45625</v>
      </c>
      <c r="B141" s="25" t="s">
        <v>664</v>
      </c>
      <c r="C141" s="1" t="s">
        <v>20</v>
      </c>
      <c r="D141" s="1" t="s">
        <v>162</v>
      </c>
      <c r="E141" s="1" t="s">
        <v>163</v>
      </c>
      <c r="F141" s="1" t="s">
        <v>107</v>
      </c>
      <c r="G141" s="1">
        <v>1</v>
      </c>
      <c r="H141" s="1" t="s">
        <v>54</v>
      </c>
      <c r="I141" s="1" t="s">
        <v>55</v>
      </c>
      <c r="J141" s="1" t="s">
        <v>120</v>
      </c>
      <c r="K141" s="1">
        <v>3</v>
      </c>
      <c r="L141" s="65">
        <f t="shared" si="2"/>
        <v>5.6925996204933584E-2</v>
      </c>
      <c r="M141" s="1" t="s">
        <v>121</v>
      </c>
      <c r="N141" s="1"/>
    </row>
    <row r="142" spans="1:14" x14ac:dyDescent="0.25">
      <c r="A142" s="13">
        <v>45625</v>
      </c>
      <c r="B142" s="25" t="s">
        <v>664</v>
      </c>
      <c r="C142" s="1" t="s">
        <v>20</v>
      </c>
      <c r="D142" s="1" t="s">
        <v>162</v>
      </c>
      <c r="E142" s="1" t="s">
        <v>163</v>
      </c>
      <c r="F142" s="1" t="s">
        <v>107</v>
      </c>
      <c r="G142" s="1">
        <v>1</v>
      </c>
      <c r="H142" s="1" t="s">
        <v>54</v>
      </c>
      <c r="I142" s="1" t="s">
        <v>55</v>
      </c>
      <c r="J142" s="1" t="s">
        <v>122</v>
      </c>
      <c r="K142" s="1">
        <v>1</v>
      </c>
      <c r="L142" s="65">
        <f t="shared" si="2"/>
        <v>1.8975332068311195E-2</v>
      </c>
      <c r="M142" s="1" t="s">
        <v>109</v>
      </c>
      <c r="N142" s="1"/>
    </row>
    <row r="143" spans="1:14" x14ac:dyDescent="0.25">
      <c r="A143" s="13">
        <v>45625</v>
      </c>
      <c r="B143" s="25" t="s">
        <v>664</v>
      </c>
      <c r="C143" s="1" t="s">
        <v>20</v>
      </c>
      <c r="D143" s="1" t="s">
        <v>162</v>
      </c>
      <c r="E143" s="1" t="s">
        <v>163</v>
      </c>
      <c r="F143" s="1" t="s">
        <v>107</v>
      </c>
      <c r="G143" s="1">
        <v>1</v>
      </c>
      <c r="H143" s="1" t="s">
        <v>58</v>
      </c>
      <c r="I143" s="1" t="s">
        <v>59</v>
      </c>
      <c r="J143" s="1" t="s">
        <v>59</v>
      </c>
      <c r="K143" s="1">
        <v>1</v>
      </c>
      <c r="L143" s="65">
        <f t="shared" si="2"/>
        <v>1.8975332068311195E-2</v>
      </c>
      <c r="M143" s="1" t="s">
        <v>121</v>
      </c>
      <c r="N143" s="1"/>
    </row>
    <row r="144" spans="1:14" x14ac:dyDescent="0.25">
      <c r="A144" s="13">
        <v>45625</v>
      </c>
      <c r="B144" s="25" t="s">
        <v>664</v>
      </c>
      <c r="C144" s="1" t="s">
        <v>20</v>
      </c>
      <c r="D144" s="1" t="s">
        <v>162</v>
      </c>
      <c r="E144" s="1" t="s">
        <v>163</v>
      </c>
      <c r="F144" s="1" t="s">
        <v>107</v>
      </c>
      <c r="G144" s="1">
        <v>1</v>
      </c>
      <c r="H144" s="1" t="s">
        <v>44</v>
      </c>
      <c r="I144" s="1" t="s">
        <v>47</v>
      </c>
      <c r="J144" s="1" t="s">
        <v>150</v>
      </c>
      <c r="K144" s="1">
        <v>6</v>
      </c>
      <c r="L144" s="65">
        <f t="shared" si="2"/>
        <v>0.11385199240986717</v>
      </c>
      <c r="M144" s="1" t="s">
        <v>109</v>
      </c>
      <c r="N144" s="1"/>
    </row>
    <row r="145" spans="1:14" x14ac:dyDescent="0.25">
      <c r="A145" s="13">
        <v>45625</v>
      </c>
      <c r="B145" s="25" t="s">
        <v>664</v>
      </c>
      <c r="C145" s="1" t="s">
        <v>20</v>
      </c>
      <c r="D145" s="1" t="s">
        <v>162</v>
      </c>
      <c r="E145" s="1" t="s">
        <v>163</v>
      </c>
      <c r="F145" s="1" t="s">
        <v>107</v>
      </c>
      <c r="G145" s="1">
        <v>1</v>
      </c>
      <c r="H145" s="1" t="s">
        <v>36</v>
      </c>
      <c r="I145" s="1" t="s">
        <v>37</v>
      </c>
      <c r="J145" s="1" t="s">
        <v>128</v>
      </c>
      <c r="K145" s="1">
        <v>2</v>
      </c>
      <c r="L145" s="65">
        <f t="shared" si="2"/>
        <v>3.7950664136622389E-2</v>
      </c>
      <c r="M145" s="1" t="s">
        <v>109</v>
      </c>
      <c r="N145" s="1"/>
    </row>
    <row r="146" spans="1:14" x14ac:dyDescent="0.25">
      <c r="A146" s="13">
        <v>45625</v>
      </c>
      <c r="B146" s="25" t="s">
        <v>664</v>
      </c>
      <c r="C146" s="1" t="s">
        <v>20</v>
      </c>
      <c r="D146" s="1" t="s">
        <v>162</v>
      </c>
      <c r="E146" s="1" t="s">
        <v>163</v>
      </c>
      <c r="F146" s="1" t="s">
        <v>107</v>
      </c>
      <c r="G146" s="1">
        <v>1</v>
      </c>
      <c r="H146" s="1" t="s">
        <v>69</v>
      </c>
      <c r="I146" s="1" t="s">
        <v>70</v>
      </c>
      <c r="J146" s="1" t="s">
        <v>70</v>
      </c>
      <c r="K146" s="1">
        <v>1</v>
      </c>
      <c r="L146" s="65">
        <f t="shared" si="2"/>
        <v>1.8975332068311195E-2</v>
      </c>
      <c r="M146" s="1" t="s">
        <v>115</v>
      </c>
      <c r="N146" s="1"/>
    </row>
    <row r="147" spans="1:14" x14ac:dyDescent="0.25">
      <c r="A147" s="13">
        <v>45625</v>
      </c>
      <c r="B147" s="25" t="s">
        <v>664</v>
      </c>
      <c r="C147" s="1" t="s">
        <v>20</v>
      </c>
      <c r="D147" s="1" t="s">
        <v>162</v>
      </c>
      <c r="E147" s="1" t="s">
        <v>163</v>
      </c>
      <c r="F147" s="1" t="s">
        <v>107</v>
      </c>
      <c r="G147" s="1">
        <v>1</v>
      </c>
      <c r="H147" s="1" t="s">
        <v>81</v>
      </c>
      <c r="I147" s="1" t="s">
        <v>85</v>
      </c>
      <c r="J147" s="1" t="s">
        <v>108</v>
      </c>
      <c r="K147" s="1">
        <v>1</v>
      </c>
      <c r="L147" s="65">
        <f t="shared" si="2"/>
        <v>1.8975332068311195E-2</v>
      </c>
      <c r="M147" s="1" t="s">
        <v>109</v>
      </c>
      <c r="N147" s="1"/>
    </row>
    <row r="148" spans="1:14" x14ac:dyDescent="0.25">
      <c r="A148" s="13">
        <v>45625</v>
      </c>
      <c r="B148" s="25" t="s">
        <v>664</v>
      </c>
      <c r="C148" s="1" t="s">
        <v>20</v>
      </c>
      <c r="D148" s="1" t="s">
        <v>162</v>
      </c>
      <c r="E148" s="1" t="s">
        <v>163</v>
      </c>
      <c r="F148" s="1" t="s">
        <v>145</v>
      </c>
      <c r="G148" s="1">
        <v>2</v>
      </c>
      <c r="H148" s="1" t="s">
        <v>60</v>
      </c>
      <c r="I148" s="1" t="s">
        <v>63</v>
      </c>
      <c r="J148" s="1" t="s">
        <v>112</v>
      </c>
      <c r="K148" s="1">
        <v>3</v>
      </c>
      <c r="L148" s="65">
        <f t="shared" si="2"/>
        <v>5.6925996204933584E-2</v>
      </c>
      <c r="M148" s="1" t="s">
        <v>113</v>
      </c>
      <c r="N148" s="1"/>
    </row>
    <row r="149" spans="1:14" x14ac:dyDescent="0.25">
      <c r="A149" s="13">
        <v>45625</v>
      </c>
      <c r="B149" s="25" t="s">
        <v>664</v>
      </c>
      <c r="C149" s="1" t="s">
        <v>20</v>
      </c>
      <c r="D149" s="1" t="s">
        <v>162</v>
      </c>
      <c r="E149" s="1" t="s">
        <v>163</v>
      </c>
      <c r="F149" s="1" t="s">
        <v>145</v>
      </c>
      <c r="G149" s="1">
        <v>2</v>
      </c>
      <c r="H149" s="1" t="s">
        <v>36</v>
      </c>
      <c r="I149" s="1" t="s">
        <v>37</v>
      </c>
      <c r="J149" s="1" t="s">
        <v>128</v>
      </c>
      <c r="K149" s="1">
        <v>6</v>
      </c>
      <c r="L149" s="65">
        <f t="shared" si="2"/>
        <v>0.11385199240986717</v>
      </c>
      <c r="M149" s="1" t="s">
        <v>109</v>
      </c>
      <c r="N149" s="1"/>
    </row>
    <row r="150" spans="1:14" x14ac:dyDescent="0.25">
      <c r="A150" s="13">
        <v>45625</v>
      </c>
      <c r="B150" s="25" t="s">
        <v>664</v>
      </c>
      <c r="C150" s="1" t="s">
        <v>20</v>
      </c>
      <c r="D150" s="1" t="s">
        <v>162</v>
      </c>
      <c r="E150" s="1" t="s">
        <v>163</v>
      </c>
      <c r="F150" s="1" t="s">
        <v>145</v>
      </c>
      <c r="G150" s="1">
        <v>2</v>
      </c>
      <c r="H150" s="1" t="s">
        <v>44</v>
      </c>
      <c r="I150" s="1" t="s">
        <v>47</v>
      </c>
      <c r="J150" s="63" t="s">
        <v>114</v>
      </c>
      <c r="K150" s="1">
        <v>8</v>
      </c>
      <c r="L150" s="65">
        <f t="shared" si="2"/>
        <v>0.15180265654648956</v>
      </c>
      <c r="M150" s="1" t="s">
        <v>109</v>
      </c>
      <c r="N150" s="1"/>
    </row>
    <row r="151" spans="1:14" x14ac:dyDescent="0.25">
      <c r="A151" s="13">
        <v>45625</v>
      </c>
      <c r="B151" s="25" t="s">
        <v>664</v>
      </c>
      <c r="C151" s="1" t="s">
        <v>20</v>
      </c>
      <c r="D151" s="1" t="s">
        <v>162</v>
      </c>
      <c r="E151" s="1" t="s">
        <v>163</v>
      </c>
      <c r="F151" s="1" t="s">
        <v>145</v>
      </c>
      <c r="G151" s="1">
        <v>2</v>
      </c>
      <c r="H151" s="1" t="s">
        <v>71</v>
      </c>
      <c r="I151" s="1" t="s">
        <v>72</v>
      </c>
      <c r="J151" s="1" t="s">
        <v>156</v>
      </c>
      <c r="K151" s="1">
        <v>2</v>
      </c>
      <c r="L151" s="65">
        <f t="shared" si="2"/>
        <v>3.7950664136622389E-2</v>
      </c>
      <c r="M151" s="1" t="s">
        <v>113</v>
      </c>
      <c r="N151" s="1"/>
    </row>
    <row r="152" spans="1:14" x14ac:dyDescent="0.25">
      <c r="A152" s="13">
        <v>45625</v>
      </c>
      <c r="B152" s="25" t="s">
        <v>664</v>
      </c>
      <c r="C152" s="1" t="s">
        <v>20</v>
      </c>
      <c r="D152" s="1" t="s">
        <v>162</v>
      </c>
      <c r="E152" s="1" t="s">
        <v>163</v>
      </c>
      <c r="F152" s="1" t="s">
        <v>145</v>
      </c>
      <c r="G152" s="1">
        <v>2</v>
      </c>
      <c r="H152" s="1" t="s">
        <v>54</v>
      </c>
      <c r="I152" s="1" t="s">
        <v>55</v>
      </c>
      <c r="J152" s="1" t="s">
        <v>120</v>
      </c>
      <c r="K152" s="1">
        <v>10</v>
      </c>
      <c r="L152" s="65">
        <f t="shared" si="2"/>
        <v>0.18975332068311196</v>
      </c>
      <c r="M152" s="1" t="s">
        <v>121</v>
      </c>
      <c r="N152" s="1"/>
    </row>
    <row r="153" spans="1:14" x14ac:dyDescent="0.25">
      <c r="A153" s="13">
        <v>45625</v>
      </c>
      <c r="B153" s="25" t="s">
        <v>664</v>
      </c>
      <c r="C153" s="1" t="s">
        <v>20</v>
      </c>
      <c r="D153" s="1" t="s">
        <v>162</v>
      </c>
      <c r="E153" s="1" t="s">
        <v>163</v>
      </c>
      <c r="F153" s="1" t="s">
        <v>145</v>
      </c>
      <c r="G153" s="1">
        <v>2</v>
      </c>
      <c r="H153" s="1" t="s">
        <v>81</v>
      </c>
      <c r="I153" s="1" t="s">
        <v>87</v>
      </c>
      <c r="J153" s="1" t="s">
        <v>155</v>
      </c>
      <c r="K153" s="1">
        <v>1</v>
      </c>
      <c r="L153" s="65">
        <f t="shared" si="2"/>
        <v>1.8975332068311195E-2</v>
      </c>
      <c r="M153" s="1" t="s">
        <v>119</v>
      </c>
      <c r="N153" s="1"/>
    </row>
    <row r="154" spans="1:14" x14ac:dyDescent="0.25">
      <c r="A154" s="13">
        <v>45625</v>
      </c>
      <c r="B154" s="25" t="s">
        <v>664</v>
      </c>
      <c r="C154" s="1" t="s">
        <v>20</v>
      </c>
      <c r="D154" s="1" t="s">
        <v>162</v>
      </c>
      <c r="E154" s="1" t="s">
        <v>163</v>
      </c>
      <c r="F154" s="1" t="s">
        <v>145</v>
      </c>
      <c r="G154" s="1">
        <v>2</v>
      </c>
      <c r="H154" s="1" t="s">
        <v>69</v>
      </c>
      <c r="I154" s="1" t="s">
        <v>70</v>
      </c>
      <c r="J154" s="1" t="s">
        <v>70</v>
      </c>
      <c r="K154" s="1">
        <v>3</v>
      </c>
      <c r="L154" s="65">
        <f t="shared" si="2"/>
        <v>5.6925996204933584E-2</v>
      </c>
      <c r="M154" s="1" t="s">
        <v>115</v>
      </c>
      <c r="N154" s="1"/>
    </row>
    <row r="155" spans="1:14" x14ac:dyDescent="0.25">
      <c r="A155" s="13">
        <v>45625</v>
      </c>
      <c r="B155" s="25" t="s">
        <v>664</v>
      </c>
      <c r="C155" s="1" t="s">
        <v>20</v>
      </c>
      <c r="D155" s="1" t="s">
        <v>162</v>
      </c>
      <c r="E155" s="1" t="s">
        <v>163</v>
      </c>
      <c r="F155" s="1" t="s">
        <v>145</v>
      </c>
      <c r="G155" s="1">
        <v>2</v>
      </c>
      <c r="H155" s="1" t="s">
        <v>44</v>
      </c>
      <c r="I155" s="1" t="s">
        <v>45</v>
      </c>
      <c r="J155" s="1" t="s">
        <v>164</v>
      </c>
      <c r="K155" s="1">
        <v>1</v>
      </c>
      <c r="L155" s="65">
        <f t="shared" si="2"/>
        <v>1.8975332068311195E-2</v>
      </c>
      <c r="M155" s="1" t="s">
        <v>121</v>
      </c>
      <c r="N155" s="1"/>
    </row>
    <row r="156" spans="1:14" x14ac:dyDescent="0.25">
      <c r="A156" s="13">
        <v>45625</v>
      </c>
      <c r="B156" s="25" t="s">
        <v>664</v>
      </c>
      <c r="C156" s="1" t="s">
        <v>20</v>
      </c>
      <c r="D156" s="1" t="s">
        <v>162</v>
      </c>
      <c r="E156" s="1" t="s">
        <v>163</v>
      </c>
      <c r="F156" s="1" t="s">
        <v>145</v>
      </c>
      <c r="G156" s="1">
        <v>2</v>
      </c>
      <c r="H156" s="1" t="s">
        <v>81</v>
      </c>
      <c r="I156" s="1" t="s">
        <v>83</v>
      </c>
      <c r="J156" s="1" t="s">
        <v>135</v>
      </c>
      <c r="K156" s="1">
        <v>1</v>
      </c>
      <c r="L156" s="65">
        <f t="shared" si="2"/>
        <v>1.8975332068311195E-2</v>
      </c>
      <c r="M156" s="1" t="s">
        <v>116</v>
      </c>
      <c r="N156" s="1"/>
    </row>
    <row r="157" spans="1:14" x14ac:dyDescent="0.25">
      <c r="A157" s="13">
        <v>45625</v>
      </c>
      <c r="B157" s="25" t="s">
        <v>664</v>
      </c>
      <c r="C157" s="1" t="s">
        <v>20</v>
      </c>
      <c r="D157" s="1" t="s">
        <v>162</v>
      </c>
      <c r="E157" s="1" t="s">
        <v>163</v>
      </c>
      <c r="F157" s="1" t="s">
        <v>145</v>
      </c>
      <c r="G157" s="1">
        <v>2</v>
      </c>
      <c r="H157" s="1" t="s">
        <v>54</v>
      </c>
      <c r="I157" s="1" t="s">
        <v>55</v>
      </c>
      <c r="J157" s="1" t="s">
        <v>122</v>
      </c>
      <c r="K157" s="1">
        <v>13</v>
      </c>
      <c r="L157" s="65">
        <f t="shared" si="2"/>
        <v>0.24667931688804554</v>
      </c>
      <c r="M157" s="1" t="s">
        <v>109</v>
      </c>
      <c r="N157" s="1"/>
    </row>
    <row r="158" spans="1:14" x14ac:dyDescent="0.25">
      <c r="A158" s="13">
        <v>45625</v>
      </c>
      <c r="B158" s="25" t="s">
        <v>664</v>
      </c>
      <c r="C158" s="1" t="s">
        <v>20</v>
      </c>
      <c r="D158" s="1" t="s">
        <v>162</v>
      </c>
      <c r="E158" s="1" t="s">
        <v>163</v>
      </c>
      <c r="F158" s="1" t="s">
        <v>145</v>
      </c>
      <c r="G158" s="1">
        <v>2</v>
      </c>
      <c r="H158" s="1" t="s">
        <v>44</v>
      </c>
      <c r="I158" s="1" t="s">
        <v>47</v>
      </c>
      <c r="J158" s="1" t="s">
        <v>124</v>
      </c>
      <c r="K158" s="1">
        <v>1</v>
      </c>
      <c r="L158" s="65">
        <f t="shared" si="2"/>
        <v>1.8975332068311195E-2</v>
      </c>
      <c r="M158" s="1" t="s">
        <v>113</v>
      </c>
      <c r="N158" s="1"/>
    </row>
    <row r="159" spans="1:14" x14ac:dyDescent="0.25">
      <c r="A159" s="13">
        <v>45625</v>
      </c>
      <c r="B159" s="25" t="s">
        <v>664</v>
      </c>
      <c r="C159" s="1" t="s">
        <v>20</v>
      </c>
      <c r="D159" s="1" t="s">
        <v>162</v>
      </c>
      <c r="E159" s="1" t="s">
        <v>163</v>
      </c>
      <c r="F159" s="1" t="s">
        <v>145</v>
      </c>
      <c r="G159" s="1">
        <v>2</v>
      </c>
      <c r="H159" s="1" t="s">
        <v>79</v>
      </c>
      <c r="I159" s="1" t="s">
        <v>80</v>
      </c>
      <c r="J159" s="1" t="s">
        <v>142</v>
      </c>
      <c r="K159" s="1">
        <v>4</v>
      </c>
      <c r="L159" s="65">
        <f t="shared" si="2"/>
        <v>7.5901328273244778E-2</v>
      </c>
      <c r="M159" s="1" t="s">
        <v>113</v>
      </c>
      <c r="N159" s="1"/>
    </row>
    <row r="160" spans="1:14" x14ac:dyDescent="0.25">
      <c r="A160" s="13">
        <v>45625</v>
      </c>
      <c r="B160" s="25" t="s">
        <v>664</v>
      </c>
      <c r="C160" s="1" t="s">
        <v>20</v>
      </c>
      <c r="D160" s="1" t="s">
        <v>162</v>
      </c>
      <c r="E160" s="1" t="s">
        <v>163</v>
      </c>
      <c r="F160" s="1" t="s">
        <v>145</v>
      </c>
      <c r="G160" s="1">
        <v>2</v>
      </c>
      <c r="H160" s="1" t="s">
        <v>73</v>
      </c>
      <c r="I160" s="1" t="s">
        <v>77</v>
      </c>
      <c r="J160" s="1" t="s">
        <v>143</v>
      </c>
      <c r="K160" s="1">
        <v>3</v>
      </c>
      <c r="L160" s="65">
        <f t="shared" si="2"/>
        <v>5.6925996204933584E-2</v>
      </c>
      <c r="M160" s="1" t="s">
        <v>113</v>
      </c>
      <c r="N160" s="1"/>
    </row>
    <row r="161" spans="1:14" x14ac:dyDescent="0.25">
      <c r="A161" s="13">
        <v>45625</v>
      </c>
      <c r="B161" s="25" t="s">
        <v>664</v>
      </c>
      <c r="C161" s="1" t="s">
        <v>20</v>
      </c>
      <c r="D161" s="1" t="s">
        <v>162</v>
      </c>
      <c r="E161" s="1" t="s">
        <v>163</v>
      </c>
      <c r="F161" s="1" t="s">
        <v>145</v>
      </c>
      <c r="G161" s="1">
        <v>2</v>
      </c>
      <c r="H161" s="1" t="s">
        <v>44</v>
      </c>
      <c r="I161" s="1" t="s">
        <v>50</v>
      </c>
      <c r="J161" s="1" t="s">
        <v>127</v>
      </c>
      <c r="K161" s="1">
        <v>4</v>
      </c>
      <c r="L161" s="65">
        <f t="shared" si="2"/>
        <v>7.5901328273244778E-2</v>
      </c>
      <c r="M161" s="1" t="s">
        <v>113</v>
      </c>
      <c r="N161" s="1"/>
    </row>
    <row r="162" spans="1:14" x14ac:dyDescent="0.25">
      <c r="A162" s="13">
        <v>45625</v>
      </c>
      <c r="B162" s="25" t="s">
        <v>664</v>
      </c>
      <c r="C162" s="1" t="s">
        <v>20</v>
      </c>
      <c r="D162" s="1" t="s">
        <v>162</v>
      </c>
      <c r="E162" s="1" t="s">
        <v>163</v>
      </c>
      <c r="F162" s="1" t="s">
        <v>145</v>
      </c>
      <c r="G162" s="1">
        <v>2</v>
      </c>
      <c r="H162" s="1" t="s">
        <v>44</v>
      </c>
      <c r="I162" s="1" t="s">
        <v>53</v>
      </c>
      <c r="J162" s="1" t="s">
        <v>165</v>
      </c>
      <c r="K162" s="1">
        <v>1</v>
      </c>
      <c r="L162" s="65">
        <f t="shared" si="2"/>
        <v>1.8975332068311195E-2</v>
      </c>
      <c r="M162" s="1" t="s">
        <v>116</v>
      </c>
      <c r="N162" s="1"/>
    </row>
    <row r="163" spans="1:14" x14ac:dyDescent="0.25">
      <c r="A163" s="13">
        <v>45625</v>
      </c>
      <c r="B163" s="25" t="s">
        <v>664</v>
      </c>
      <c r="C163" s="1" t="s">
        <v>20</v>
      </c>
      <c r="D163" s="1" t="s">
        <v>162</v>
      </c>
      <c r="E163" s="1" t="s">
        <v>163</v>
      </c>
      <c r="F163" s="1" t="s">
        <v>145</v>
      </c>
      <c r="G163" s="1">
        <v>2</v>
      </c>
      <c r="H163" s="1" t="s">
        <v>81</v>
      </c>
      <c r="I163" s="1" t="s">
        <v>85</v>
      </c>
      <c r="J163" s="1" t="s">
        <v>166</v>
      </c>
      <c r="K163" s="1">
        <v>1</v>
      </c>
      <c r="L163" s="65">
        <f t="shared" si="2"/>
        <v>1.8975332068311195E-2</v>
      </c>
      <c r="M163" s="1" t="s">
        <v>113</v>
      </c>
      <c r="N163" s="1"/>
    </row>
    <row r="164" spans="1:14" x14ac:dyDescent="0.25">
      <c r="A164" s="13">
        <v>45625</v>
      </c>
      <c r="B164" s="25" t="s">
        <v>664</v>
      </c>
      <c r="C164" s="1" t="s">
        <v>20</v>
      </c>
      <c r="D164" s="1" t="s">
        <v>162</v>
      </c>
      <c r="E164" s="1" t="s">
        <v>163</v>
      </c>
      <c r="F164" s="1" t="s">
        <v>145</v>
      </c>
      <c r="G164" s="1">
        <v>2</v>
      </c>
      <c r="H164" s="1" t="s">
        <v>65</v>
      </c>
      <c r="I164" s="1" t="s">
        <v>66</v>
      </c>
      <c r="J164" s="1" t="s">
        <v>139</v>
      </c>
      <c r="K164" s="1">
        <v>1</v>
      </c>
      <c r="L164" s="65">
        <f t="shared" si="2"/>
        <v>1.8975332068311195E-2</v>
      </c>
      <c r="M164" s="1" t="s">
        <v>121</v>
      </c>
      <c r="N164" s="1"/>
    </row>
    <row r="165" spans="1:14" x14ac:dyDescent="0.25">
      <c r="A165" s="13">
        <v>45625</v>
      </c>
      <c r="B165" s="25" t="s">
        <v>664</v>
      </c>
      <c r="C165" s="1" t="s">
        <v>20</v>
      </c>
      <c r="D165" s="1" t="s">
        <v>162</v>
      </c>
      <c r="E165" s="1" t="s">
        <v>163</v>
      </c>
      <c r="F165" s="1" t="s">
        <v>145</v>
      </c>
      <c r="G165" s="1">
        <v>3</v>
      </c>
      <c r="H165" s="1" t="s">
        <v>60</v>
      </c>
      <c r="I165" s="1" t="s">
        <v>63</v>
      </c>
      <c r="J165" s="1" t="s">
        <v>112</v>
      </c>
      <c r="K165" s="1">
        <v>6</v>
      </c>
      <c r="L165" s="65">
        <f t="shared" si="2"/>
        <v>0.11385199240986717</v>
      </c>
      <c r="M165" s="1" t="s">
        <v>113</v>
      </c>
      <c r="N165" s="1"/>
    </row>
    <row r="166" spans="1:14" x14ac:dyDescent="0.25">
      <c r="A166" s="13">
        <v>45625</v>
      </c>
      <c r="B166" s="25" t="s">
        <v>664</v>
      </c>
      <c r="C166" s="1" t="s">
        <v>20</v>
      </c>
      <c r="D166" s="1" t="s">
        <v>162</v>
      </c>
      <c r="E166" s="1" t="s">
        <v>163</v>
      </c>
      <c r="F166" s="1" t="s">
        <v>145</v>
      </c>
      <c r="G166" s="1">
        <v>3</v>
      </c>
      <c r="H166" s="1" t="s">
        <v>36</v>
      </c>
      <c r="I166" s="1" t="s">
        <v>38</v>
      </c>
      <c r="J166" s="1" t="s">
        <v>151</v>
      </c>
      <c r="K166" s="1">
        <v>2</v>
      </c>
      <c r="L166" s="65">
        <f t="shared" si="2"/>
        <v>3.7950664136622389E-2</v>
      </c>
      <c r="M166" s="1" t="s">
        <v>121</v>
      </c>
      <c r="N166" s="1"/>
    </row>
    <row r="167" spans="1:14" x14ac:dyDescent="0.25">
      <c r="A167" s="13">
        <v>45625</v>
      </c>
      <c r="B167" s="25" t="s">
        <v>664</v>
      </c>
      <c r="C167" s="1" t="s">
        <v>20</v>
      </c>
      <c r="D167" s="1" t="s">
        <v>162</v>
      </c>
      <c r="E167" s="1" t="s">
        <v>163</v>
      </c>
      <c r="F167" s="1" t="s">
        <v>145</v>
      </c>
      <c r="G167" s="1">
        <v>3</v>
      </c>
      <c r="H167" s="1" t="s">
        <v>54</v>
      </c>
      <c r="I167" s="1" t="s">
        <v>55</v>
      </c>
      <c r="J167" s="1" t="s">
        <v>122</v>
      </c>
      <c r="K167" s="1">
        <v>14</v>
      </c>
      <c r="L167" s="65">
        <f t="shared" si="2"/>
        <v>0.26565464895635671</v>
      </c>
      <c r="M167" s="1" t="s">
        <v>109</v>
      </c>
      <c r="N167" s="1"/>
    </row>
    <row r="168" spans="1:14" x14ac:dyDescent="0.25">
      <c r="A168" s="13">
        <v>45625</v>
      </c>
      <c r="B168" s="25" t="s">
        <v>664</v>
      </c>
      <c r="C168" s="1" t="s">
        <v>20</v>
      </c>
      <c r="D168" s="1" t="s">
        <v>162</v>
      </c>
      <c r="E168" s="1" t="s">
        <v>163</v>
      </c>
      <c r="F168" s="1" t="s">
        <v>145</v>
      </c>
      <c r="G168" s="1">
        <v>3</v>
      </c>
      <c r="H168" s="1" t="s">
        <v>44</v>
      </c>
      <c r="I168" s="1" t="s">
        <v>47</v>
      </c>
      <c r="J168" s="63" t="s">
        <v>114</v>
      </c>
      <c r="K168" s="1">
        <v>5</v>
      </c>
      <c r="L168" s="65">
        <f t="shared" si="2"/>
        <v>9.4876660341555979E-2</v>
      </c>
      <c r="M168" s="1" t="s">
        <v>109</v>
      </c>
      <c r="N168" s="1"/>
    </row>
    <row r="169" spans="1:14" x14ac:dyDescent="0.25">
      <c r="A169" s="13">
        <v>45625</v>
      </c>
      <c r="B169" s="25" t="s">
        <v>664</v>
      </c>
      <c r="C169" s="1" t="s">
        <v>20</v>
      </c>
      <c r="D169" s="1" t="s">
        <v>162</v>
      </c>
      <c r="E169" s="1" t="s">
        <v>163</v>
      </c>
      <c r="F169" s="1" t="s">
        <v>145</v>
      </c>
      <c r="G169" s="1">
        <v>3</v>
      </c>
      <c r="H169" s="1" t="s">
        <v>54</v>
      </c>
      <c r="I169" s="1" t="s">
        <v>56</v>
      </c>
      <c r="J169" s="1" t="s">
        <v>132</v>
      </c>
      <c r="K169" s="1">
        <v>6</v>
      </c>
      <c r="L169" s="65">
        <f t="shared" si="2"/>
        <v>0.11385199240986717</v>
      </c>
      <c r="M169" s="1" t="s">
        <v>109</v>
      </c>
      <c r="N169" s="1"/>
    </row>
    <row r="170" spans="1:14" x14ac:dyDescent="0.25">
      <c r="A170" s="13">
        <v>45625</v>
      </c>
      <c r="B170" s="25" t="s">
        <v>664</v>
      </c>
      <c r="C170" s="1" t="s">
        <v>20</v>
      </c>
      <c r="D170" s="1" t="s">
        <v>162</v>
      </c>
      <c r="E170" s="1" t="s">
        <v>163</v>
      </c>
      <c r="F170" s="1" t="s">
        <v>145</v>
      </c>
      <c r="G170" s="1">
        <v>3</v>
      </c>
      <c r="H170" s="1" t="s">
        <v>88</v>
      </c>
      <c r="I170" s="1" t="s">
        <v>89</v>
      </c>
      <c r="J170" s="1" t="s">
        <v>134</v>
      </c>
      <c r="K170" s="1">
        <v>1</v>
      </c>
      <c r="L170" s="65">
        <f t="shared" si="2"/>
        <v>1.8975332068311195E-2</v>
      </c>
      <c r="M170" s="1" t="s">
        <v>113</v>
      </c>
      <c r="N170" s="1"/>
    </row>
    <row r="171" spans="1:14" x14ac:dyDescent="0.25">
      <c r="A171" s="13">
        <v>45625</v>
      </c>
      <c r="B171" s="25" t="s">
        <v>664</v>
      </c>
      <c r="C171" s="1" t="s">
        <v>20</v>
      </c>
      <c r="D171" s="1" t="s">
        <v>162</v>
      </c>
      <c r="E171" s="1" t="s">
        <v>163</v>
      </c>
      <c r="F171" s="1" t="s">
        <v>145</v>
      </c>
      <c r="G171" s="1">
        <v>3</v>
      </c>
      <c r="H171" s="1" t="s">
        <v>69</v>
      </c>
      <c r="I171" s="1" t="s">
        <v>70</v>
      </c>
      <c r="J171" s="1" t="s">
        <v>70</v>
      </c>
      <c r="K171" s="1">
        <v>1</v>
      </c>
      <c r="L171" s="65">
        <f t="shared" si="2"/>
        <v>1.8975332068311195E-2</v>
      </c>
      <c r="M171" s="1" t="s">
        <v>115</v>
      </c>
      <c r="N171" s="1"/>
    </row>
    <row r="172" spans="1:14" x14ac:dyDescent="0.25">
      <c r="A172" s="13">
        <v>45625</v>
      </c>
      <c r="B172" s="25" t="s">
        <v>664</v>
      </c>
      <c r="C172" s="1" t="s">
        <v>20</v>
      </c>
      <c r="D172" s="1" t="s">
        <v>162</v>
      </c>
      <c r="E172" s="1" t="s">
        <v>163</v>
      </c>
      <c r="F172" s="1" t="s">
        <v>145</v>
      </c>
      <c r="G172" s="1">
        <v>3</v>
      </c>
      <c r="H172" s="1" t="s">
        <v>71</v>
      </c>
      <c r="I172" s="1" t="s">
        <v>72</v>
      </c>
      <c r="J172" s="1" t="s">
        <v>156</v>
      </c>
      <c r="K172" s="1">
        <v>1</v>
      </c>
      <c r="L172" s="65">
        <f t="shared" si="2"/>
        <v>1.8975332068311195E-2</v>
      </c>
      <c r="M172" s="1" t="s">
        <v>113</v>
      </c>
      <c r="N172" s="1"/>
    </row>
    <row r="173" spans="1:14" x14ac:dyDescent="0.25">
      <c r="A173" s="13">
        <v>45625</v>
      </c>
      <c r="B173" s="25" t="s">
        <v>664</v>
      </c>
      <c r="C173" s="1" t="s">
        <v>20</v>
      </c>
      <c r="D173" s="1" t="s">
        <v>162</v>
      </c>
      <c r="E173" s="1" t="s">
        <v>163</v>
      </c>
      <c r="F173" s="1" t="s">
        <v>145</v>
      </c>
      <c r="G173" s="1">
        <v>3</v>
      </c>
      <c r="H173" s="1" t="s">
        <v>73</v>
      </c>
      <c r="I173" s="1" t="s">
        <v>77</v>
      </c>
      <c r="J173" s="1" t="s">
        <v>143</v>
      </c>
      <c r="K173" s="1">
        <v>2</v>
      </c>
      <c r="L173" s="65">
        <f t="shared" si="2"/>
        <v>3.7950664136622389E-2</v>
      </c>
      <c r="M173" s="1" t="s">
        <v>113</v>
      </c>
      <c r="N173" s="1"/>
    </row>
    <row r="174" spans="1:14" x14ac:dyDescent="0.25">
      <c r="A174" s="13">
        <v>45625</v>
      </c>
      <c r="B174" s="25" t="s">
        <v>664</v>
      </c>
      <c r="C174" s="1" t="s">
        <v>20</v>
      </c>
      <c r="D174" s="1" t="s">
        <v>162</v>
      </c>
      <c r="E174" s="1" t="s">
        <v>163</v>
      </c>
      <c r="F174" s="1" t="s">
        <v>145</v>
      </c>
      <c r="G174" s="1">
        <v>3</v>
      </c>
      <c r="H174" s="1" t="s">
        <v>81</v>
      </c>
      <c r="I174" s="1" t="s">
        <v>85</v>
      </c>
      <c r="J174" s="1" t="s">
        <v>108</v>
      </c>
      <c r="K174" s="1">
        <v>1</v>
      </c>
      <c r="L174" s="65">
        <f t="shared" si="2"/>
        <v>1.8975332068311195E-2</v>
      </c>
      <c r="M174" s="1" t="s">
        <v>109</v>
      </c>
      <c r="N174" s="1"/>
    </row>
    <row r="175" spans="1:14" x14ac:dyDescent="0.25">
      <c r="A175" s="13">
        <v>45625</v>
      </c>
      <c r="B175" s="25" t="s">
        <v>664</v>
      </c>
      <c r="C175" s="1" t="s">
        <v>20</v>
      </c>
      <c r="D175" s="1" t="s">
        <v>162</v>
      </c>
      <c r="E175" s="1" t="s">
        <v>163</v>
      </c>
      <c r="F175" s="1" t="s">
        <v>145</v>
      </c>
      <c r="G175" s="1">
        <v>3</v>
      </c>
      <c r="H175" s="1" t="s">
        <v>73</v>
      </c>
      <c r="I175" s="1" t="s">
        <v>77</v>
      </c>
      <c r="J175" s="1" t="s">
        <v>152</v>
      </c>
      <c r="K175" s="1">
        <v>1</v>
      </c>
      <c r="L175" s="65">
        <f t="shared" si="2"/>
        <v>1.8975332068311195E-2</v>
      </c>
      <c r="M175" s="1" t="s">
        <v>113</v>
      </c>
      <c r="N175" s="1"/>
    </row>
    <row r="176" spans="1:14" x14ac:dyDescent="0.25">
      <c r="A176" s="13">
        <v>45625</v>
      </c>
      <c r="B176" s="25" t="s">
        <v>664</v>
      </c>
      <c r="C176" s="1" t="s">
        <v>20</v>
      </c>
      <c r="D176" s="1" t="s">
        <v>162</v>
      </c>
      <c r="E176" s="1" t="s">
        <v>163</v>
      </c>
      <c r="F176" s="1" t="s">
        <v>130</v>
      </c>
      <c r="G176" s="1">
        <v>2</v>
      </c>
      <c r="H176" s="1" t="s">
        <v>81</v>
      </c>
      <c r="I176" s="1" t="s">
        <v>82</v>
      </c>
      <c r="J176" s="1" t="s">
        <v>138</v>
      </c>
      <c r="K176" s="1">
        <v>8</v>
      </c>
      <c r="L176" s="65">
        <f t="shared" si="2"/>
        <v>0.15180265654648956</v>
      </c>
      <c r="M176" s="1" t="s">
        <v>116</v>
      </c>
      <c r="N176" s="1"/>
    </row>
    <row r="177" spans="1:14" x14ac:dyDescent="0.25">
      <c r="A177" s="13">
        <v>45625</v>
      </c>
      <c r="B177" s="25" t="s">
        <v>664</v>
      </c>
      <c r="C177" s="1" t="s">
        <v>20</v>
      </c>
      <c r="D177" s="1" t="s">
        <v>162</v>
      </c>
      <c r="E177" s="1" t="s">
        <v>163</v>
      </c>
      <c r="F177" s="1" t="s">
        <v>130</v>
      </c>
      <c r="G177" s="1">
        <v>2</v>
      </c>
      <c r="H177" s="1" t="s">
        <v>60</v>
      </c>
      <c r="I177" s="1" t="s">
        <v>63</v>
      </c>
      <c r="J177" s="1" t="s">
        <v>112</v>
      </c>
      <c r="K177" s="1">
        <v>18</v>
      </c>
      <c r="L177" s="65">
        <f t="shared" si="2"/>
        <v>0.34155597722960152</v>
      </c>
      <c r="M177" s="1" t="s">
        <v>113</v>
      </c>
      <c r="N177" s="1"/>
    </row>
    <row r="178" spans="1:14" x14ac:dyDescent="0.25">
      <c r="A178" s="13">
        <v>45625</v>
      </c>
      <c r="B178" s="25" t="s">
        <v>664</v>
      </c>
      <c r="C178" s="1" t="s">
        <v>20</v>
      </c>
      <c r="D178" s="1" t="s">
        <v>162</v>
      </c>
      <c r="E178" s="1" t="s">
        <v>163</v>
      </c>
      <c r="F178" s="1" t="s">
        <v>130</v>
      </c>
      <c r="G178" s="1">
        <v>2</v>
      </c>
      <c r="H178" s="1" t="s">
        <v>44</v>
      </c>
      <c r="I178" s="1" t="s">
        <v>47</v>
      </c>
      <c r="J178" s="63" t="s">
        <v>114</v>
      </c>
      <c r="K178" s="1">
        <v>66</v>
      </c>
      <c r="L178" s="65">
        <f t="shared" si="2"/>
        <v>1.252371916508539</v>
      </c>
      <c r="M178" s="1" t="s">
        <v>109</v>
      </c>
      <c r="N178" s="1"/>
    </row>
    <row r="179" spans="1:14" x14ac:dyDescent="0.25">
      <c r="A179" s="13">
        <v>45625</v>
      </c>
      <c r="B179" s="25" t="s">
        <v>664</v>
      </c>
      <c r="C179" s="1" t="s">
        <v>20</v>
      </c>
      <c r="D179" s="1" t="s">
        <v>162</v>
      </c>
      <c r="E179" s="1" t="s">
        <v>163</v>
      </c>
      <c r="F179" s="1" t="s">
        <v>130</v>
      </c>
      <c r="G179" s="1">
        <v>2</v>
      </c>
      <c r="H179" s="1" t="s">
        <v>44</v>
      </c>
      <c r="I179" s="1" t="s">
        <v>47</v>
      </c>
      <c r="J179" s="1" t="s">
        <v>124</v>
      </c>
      <c r="K179" s="1">
        <v>8</v>
      </c>
      <c r="L179" s="65">
        <f t="shared" si="2"/>
        <v>0.15180265654648956</v>
      </c>
      <c r="M179" s="1" t="s">
        <v>113</v>
      </c>
      <c r="N179" s="1"/>
    </row>
    <row r="180" spans="1:14" x14ac:dyDescent="0.25">
      <c r="A180" s="13">
        <v>45625</v>
      </c>
      <c r="B180" s="25" t="s">
        <v>664</v>
      </c>
      <c r="C180" s="1" t="s">
        <v>20</v>
      </c>
      <c r="D180" s="1" t="s">
        <v>162</v>
      </c>
      <c r="E180" s="1" t="s">
        <v>163</v>
      </c>
      <c r="F180" s="1" t="s">
        <v>130</v>
      </c>
      <c r="G180" s="1">
        <v>2</v>
      </c>
      <c r="H180" s="1" t="s">
        <v>81</v>
      </c>
      <c r="I180" s="1" t="s">
        <v>85</v>
      </c>
      <c r="J180" s="1" t="s">
        <v>108</v>
      </c>
      <c r="K180" s="1">
        <v>51</v>
      </c>
      <c r="L180" s="65">
        <f t="shared" si="2"/>
        <v>0.967741935483871</v>
      </c>
      <c r="M180" s="1" t="s">
        <v>109</v>
      </c>
      <c r="N180" s="1"/>
    </row>
    <row r="181" spans="1:14" x14ac:dyDescent="0.25">
      <c r="A181" s="13">
        <v>45625</v>
      </c>
      <c r="B181" s="25" t="s">
        <v>664</v>
      </c>
      <c r="C181" s="1" t="s">
        <v>20</v>
      </c>
      <c r="D181" s="1" t="s">
        <v>162</v>
      </c>
      <c r="E181" s="1" t="s">
        <v>163</v>
      </c>
      <c r="F181" s="1" t="s">
        <v>130</v>
      </c>
      <c r="G181" s="1">
        <v>2</v>
      </c>
      <c r="H181" s="1" t="s">
        <v>36</v>
      </c>
      <c r="I181" s="1" t="s">
        <v>37</v>
      </c>
      <c r="J181" s="1" t="s">
        <v>128</v>
      </c>
      <c r="K181" s="1">
        <v>31</v>
      </c>
      <c r="L181" s="65">
        <f t="shared" si="2"/>
        <v>0.58823529411764708</v>
      </c>
      <c r="M181" s="1" t="s">
        <v>109</v>
      </c>
      <c r="N181" s="1"/>
    </row>
    <row r="182" spans="1:14" x14ac:dyDescent="0.25">
      <c r="A182" s="13">
        <v>45625</v>
      </c>
      <c r="B182" s="25" t="s">
        <v>664</v>
      </c>
      <c r="C182" s="1" t="s">
        <v>20</v>
      </c>
      <c r="D182" s="1" t="s">
        <v>162</v>
      </c>
      <c r="E182" s="1" t="s">
        <v>163</v>
      </c>
      <c r="F182" s="1" t="s">
        <v>130</v>
      </c>
      <c r="G182" s="1">
        <v>2</v>
      </c>
      <c r="H182" s="1" t="s">
        <v>36</v>
      </c>
      <c r="I182" s="1" t="s">
        <v>39</v>
      </c>
      <c r="J182" s="1" t="s">
        <v>148</v>
      </c>
      <c r="K182" s="1">
        <v>2</v>
      </c>
      <c r="L182" s="65">
        <f t="shared" si="2"/>
        <v>3.7950664136622389E-2</v>
      </c>
      <c r="M182" s="1" t="s">
        <v>116</v>
      </c>
      <c r="N182" s="1"/>
    </row>
    <row r="183" spans="1:14" x14ac:dyDescent="0.25">
      <c r="A183" s="13">
        <v>45625</v>
      </c>
      <c r="B183" s="25" t="s">
        <v>664</v>
      </c>
      <c r="C183" s="1" t="s">
        <v>20</v>
      </c>
      <c r="D183" s="1" t="s">
        <v>162</v>
      </c>
      <c r="E183" s="1" t="s">
        <v>163</v>
      </c>
      <c r="F183" s="1" t="s">
        <v>130</v>
      </c>
      <c r="G183" s="1">
        <v>2</v>
      </c>
      <c r="H183" s="1" t="s">
        <v>79</v>
      </c>
      <c r="I183" s="1" t="s">
        <v>80</v>
      </c>
      <c r="J183" s="1" t="s">
        <v>142</v>
      </c>
      <c r="K183" s="1">
        <v>8</v>
      </c>
      <c r="L183" s="65">
        <f t="shared" si="2"/>
        <v>0.15180265654648956</v>
      </c>
      <c r="M183" s="1" t="s">
        <v>113</v>
      </c>
      <c r="N183" s="1"/>
    </row>
    <row r="184" spans="1:14" x14ac:dyDescent="0.25">
      <c r="A184" s="13">
        <v>45625</v>
      </c>
      <c r="B184" s="25" t="s">
        <v>664</v>
      </c>
      <c r="C184" s="1" t="s">
        <v>20</v>
      </c>
      <c r="D184" s="1" t="s">
        <v>162</v>
      </c>
      <c r="E184" s="1" t="s">
        <v>163</v>
      </c>
      <c r="F184" s="1" t="s">
        <v>130</v>
      </c>
      <c r="G184" s="1">
        <v>2</v>
      </c>
      <c r="H184" s="1" t="s">
        <v>54</v>
      </c>
      <c r="I184" s="1" t="s">
        <v>56</v>
      </c>
      <c r="J184" s="1" t="s">
        <v>132</v>
      </c>
      <c r="K184" s="1">
        <v>28</v>
      </c>
      <c r="L184" s="65">
        <f t="shared" si="2"/>
        <v>0.53130929791271342</v>
      </c>
      <c r="M184" s="1" t="s">
        <v>109</v>
      </c>
      <c r="N184" s="1"/>
    </row>
    <row r="185" spans="1:14" x14ac:dyDescent="0.25">
      <c r="A185" s="13">
        <v>45625</v>
      </c>
      <c r="B185" s="25" t="s">
        <v>664</v>
      </c>
      <c r="C185" s="1" t="s">
        <v>20</v>
      </c>
      <c r="D185" s="1" t="s">
        <v>162</v>
      </c>
      <c r="E185" s="1" t="s">
        <v>163</v>
      </c>
      <c r="F185" s="1" t="s">
        <v>130</v>
      </c>
      <c r="G185" s="1">
        <v>2</v>
      </c>
      <c r="H185" s="1" t="s">
        <v>54</v>
      </c>
      <c r="I185" s="1" t="s">
        <v>55</v>
      </c>
      <c r="J185" s="1" t="s">
        <v>122</v>
      </c>
      <c r="K185" s="1">
        <v>8</v>
      </c>
      <c r="L185" s="65">
        <f t="shared" si="2"/>
        <v>0.15180265654648956</v>
      </c>
      <c r="M185" s="1" t="s">
        <v>109</v>
      </c>
      <c r="N185" s="1"/>
    </row>
    <row r="186" spans="1:14" x14ac:dyDescent="0.25">
      <c r="A186" s="13">
        <v>45625</v>
      </c>
      <c r="B186" s="25" t="s">
        <v>664</v>
      </c>
      <c r="C186" s="1" t="s">
        <v>20</v>
      </c>
      <c r="D186" s="1" t="s">
        <v>162</v>
      </c>
      <c r="E186" s="1" t="s">
        <v>163</v>
      </c>
      <c r="F186" s="1" t="s">
        <v>130</v>
      </c>
      <c r="G186" s="1">
        <v>2</v>
      </c>
      <c r="H186" s="1" t="s">
        <v>73</v>
      </c>
      <c r="I186" s="1" t="s">
        <v>77</v>
      </c>
      <c r="J186" s="1" t="s">
        <v>143</v>
      </c>
      <c r="K186" s="1">
        <v>5</v>
      </c>
      <c r="L186" s="65">
        <f t="shared" si="2"/>
        <v>9.4876660341555979E-2</v>
      </c>
      <c r="M186" s="1" t="s">
        <v>113</v>
      </c>
      <c r="N186" s="1"/>
    </row>
    <row r="187" spans="1:14" x14ac:dyDescent="0.25">
      <c r="A187" s="13">
        <v>45625</v>
      </c>
      <c r="B187" s="25" t="s">
        <v>664</v>
      </c>
      <c r="C187" s="1" t="s">
        <v>20</v>
      </c>
      <c r="D187" s="1" t="s">
        <v>162</v>
      </c>
      <c r="E187" s="1" t="s">
        <v>163</v>
      </c>
      <c r="F187" s="1" t="s">
        <v>130</v>
      </c>
      <c r="G187" s="1">
        <v>2</v>
      </c>
      <c r="H187" s="1" t="s">
        <v>81</v>
      </c>
      <c r="I187" s="1" t="s">
        <v>83</v>
      </c>
      <c r="J187" s="1" t="s">
        <v>131</v>
      </c>
      <c r="K187" s="1">
        <v>2</v>
      </c>
      <c r="L187" s="65">
        <f t="shared" si="2"/>
        <v>3.7950664136622389E-2</v>
      </c>
      <c r="M187" s="1" t="s">
        <v>116</v>
      </c>
      <c r="N187" s="1"/>
    </row>
    <row r="188" spans="1:14" x14ac:dyDescent="0.25">
      <c r="A188" s="13">
        <v>45625</v>
      </c>
      <c r="B188" s="25" t="s">
        <v>664</v>
      </c>
      <c r="C188" s="1" t="s">
        <v>20</v>
      </c>
      <c r="D188" s="1" t="s">
        <v>162</v>
      </c>
      <c r="E188" s="1" t="s">
        <v>163</v>
      </c>
      <c r="F188" s="1" t="s">
        <v>130</v>
      </c>
      <c r="G188" s="1">
        <v>2</v>
      </c>
      <c r="H188" s="1" t="s">
        <v>81</v>
      </c>
      <c r="I188" s="1" t="s">
        <v>85</v>
      </c>
      <c r="J188" s="1" t="s">
        <v>166</v>
      </c>
      <c r="K188" s="1">
        <v>1</v>
      </c>
      <c r="L188" s="65">
        <f t="shared" si="2"/>
        <v>1.8975332068311195E-2</v>
      </c>
      <c r="M188" s="1" t="s">
        <v>113</v>
      </c>
      <c r="N188" s="1"/>
    </row>
    <row r="189" spans="1:14" x14ac:dyDescent="0.25">
      <c r="A189" s="13">
        <v>45625</v>
      </c>
      <c r="B189" s="25" t="s">
        <v>664</v>
      </c>
      <c r="C189" s="1" t="s">
        <v>20</v>
      </c>
      <c r="D189" s="1" t="s">
        <v>162</v>
      </c>
      <c r="E189" s="1" t="s">
        <v>163</v>
      </c>
      <c r="F189" s="1" t="s">
        <v>130</v>
      </c>
      <c r="G189" s="1">
        <v>2</v>
      </c>
      <c r="H189" s="1" t="s">
        <v>54</v>
      </c>
      <c r="I189" s="1" t="s">
        <v>57</v>
      </c>
      <c r="J189" s="1" t="s">
        <v>141</v>
      </c>
      <c r="K189" s="1">
        <v>1</v>
      </c>
      <c r="L189" s="65">
        <f t="shared" si="2"/>
        <v>1.8975332068311195E-2</v>
      </c>
      <c r="M189" s="1" t="s">
        <v>109</v>
      </c>
      <c r="N189" s="1"/>
    </row>
    <row r="190" spans="1:14" x14ac:dyDescent="0.25">
      <c r="A190" s="13">
        <v>45625</v>
      </c>
      <c r="B190" s="25" t="s">
        <v>664</v>
      </c>
      <c r="C190" s="1" t="s">
        <v>20</v>
      </c>
      <c r="D190" s="1" t="s">
        <v>162</v>
      </c>
      <c r="E190" s="1" t="s">
        <v>163</v>
      </c>
      <c r="F190" s="1" t="s">
        <v>130</v>
      </c>
      <c r="G190" s="1">
        <v>2</v>
      </c>
      <c r="H190" s="1" t="s">
        <v>73</v>
      </c>
      <c r="I190" s="1" t="s">
        <v>74</v>
      </c>
      <c r="J190" s="1" t="s">
        <v>140</v>
      </c>
      <c r="K190" s="1">
        <v>1</v>
      </c>
      <c r="L190" s="65">
        <f t="shared" si="2"/>
        <v>1.8975332068311195E-2</v>
      </c>
      <c r="M190" s="1" t="s">
        <v>113</v>
      </c>
      <c r="N190" s="1"/>
    </row>
    <row r="191" spans="1:14" x14ac:dyDescent="0.25">
      <c r="A191" s="13">
        <v>45625</v>
      </c>
      <c r="B191" s="25" t="s">
        <v>664</v>
      </c>
      <c r="C191" s="1" t="s">
        <v>20</v>
      </c>
      <c r="D191" s="1" t="s">
        <v>162</v>
      </c>
      <c r="E191" s="1" t="s">
        <v>163</v>
      </c>
      <c r="F191" s="1" t="s">
        <v>130</v>
      </c>
      <c r="G191" s="1">
        <v>2</v>
      </c>
      <c r="H191" s="1" t="s">
        <v>65</v>
      </c>
      <c r="I191" s="1" t="s">
        <v>66</v>
      </c>
      <c r="J191" s="1" t="s">
        <v>139</v>
      </c>
      <c r="K191" s="1">
        <v>1</v>
      </c>
      <c r="L191" s="65">
        <f t="shared" si="2"/>
        <v>1.8975332068311195E-2</v>
      </c>
      <c r="M191" s="1" t="s">
        <v>121</v>
      </c>
      <c r="N191" s="1"/>
    </row>
    <row r="192" spans="1:14" x14ac:dyDescent="0.25">
      <c r="A192" s="13">
        <v>45625</v>
      </c>
      <c r="B192" s="25" t="s">
        <v>664</v>
      </c>
      <c r="C192" s="1" t="s">
        <v>20</v>
      </c>
      <c r="D192" s="1" t="s">
        <v>162</v>
      </c>
      <c r="E192" s="1" t="s">
        <v>163</v>
      </c>
      <c r="F192" s="1" t="s">
        <v>130</v>
      </c>
      <c r="G192" s="1">
        <v>2</v>
      </c>
      <c r="H192" s="1" t="s">
        <v>81</v>
      </c>
      <c r="I192" s="1" t="s">
        <v>85</v>
      </c>
      <c r="J192" s="1" t="s">
        <v>144</v>
      </c>
      <c r="K192" s="1">
        <v>4</v>
      </c>
      <c r="L192" s="65">
        <f t="shared" si="2"/>
        <v>7.5901328273244778E-2</v>
      </c>
      <c r="M192" s="1" t="s">
        <v>109</v>
      </c>
      <c r="N192" s="1"/>
    </row>
    <row r="193" spans="1:14" x14ac:dyDescent="0.25">
      <c r="A193" s="13">
        <v>45625</v>
      </c>
      <c r="B193" s="25" t="s">
        <v>664</v>
      </c>
      <c r="C193" s="1" t="s">
        <v>20</v>
      </c>
      <c r="D193" s="1" t="s">
        <v>162</v>
      </c>
      <c r="E193" s="1" t="s">
        <v>163</v>
      </c>
      <c r="F193" s="1" t="s">
        <v>130</v>
      </c>
      <c r="G193" s="1">
        <v>2</v>
      </c>
      <c r="H193" s="1" t="s">
        <v>36</v>
      </c>
      <c r="I193" s="1" t="s">
        <v>37</v>
      </c>
      <c r="J193" s="1" t="s">
        <v>153</v>
      </c>
      <c r="K193" s="1">
        <v>2</v>
      </c>
      <c r="L193" s="65">
        <f t="shared" si="2"/>
        <v>3.7950664136622389E-2</v>
      </c>
      <c r="M193" s="1" t="s">
        <v>109</v>
      </c>
      <c r="N193" s="1"/>
    </row>
    <row r="194" spans="1:14" x14ac:dyDescent="0.25">
      <c r="A194" s="13">
        <v>45625</v>
      </c>
      <c r="B194" s="25" t="s">
        <v>664</v>
      </c>
      <c r="C194" s="1" t="s">
        <v>20</v>
      </c>
      <c r="D194" s="1" t="s">
        <v>162</v>
      </c>
      <c r="E194" s="1" t="s">
        <v>163</v>
      </c>
      <c r="F194" s="1" t="s">
        <v>130</v>
      </c>
      <c r="G194" s="1">
        <v>2</v>
      </c>
      <c r="H194" s="1" t="s">
        <v>81</v>
      </c>
      <c r="I194" s="1" t="s">
        <v>86</v>
      </c>
      <c r="J194" s="1" t="s">
        <v>146</v>
      </c>
      <c r="K194" s="1">
        <v>1</v>
      </c>
      <c r="L194" s="65">
        <f t="shared" si="2"/>
        <v>1.8975332068311195E-2</v>
      </c>
      <c r="M194" s="1" t="s">
        <v>116</v>
      </c>
      <c r="N194" s="1"/>
    </row>
    <row r="195" spans="1:14" x14ac:dyDescent="0.25">
      <c r="A195" s="13">
        <v>45625</v>
      </c>
      <c r="B195" s="25" t="s">
        <v>664</v>
      </c>
      <c r="C195" s="1" t="s">
        <v>20</v>
      </c>
      <c r="D195" s="1" t="s">
        <v>162</v>
      </c>
      <c r="E195" s="1" t="s">
        <v>163</v>
      </c>
      <c r="F195" s="1" t="s">
        <v>130</v>
      </c>
      <c r="G195" s="1">
        <v>2</v>
      </c>
      <c r="H195" s="1" t="s">
        <v>54</v>
      </c>
      <c r="I195" s="1" t="s">
        <v>55</v>
      </c>
      <c r="J195" s="1" t="s">
        <v>120</v>
      </c>
      <c r="K195" s="1">
        <v>2</v>
      </c>
      <c r="L195" s="65">
        <f t="shared" si="2"/>
        <v>3.7950664136622389E-2</v>
      </c>
      <c r="M195" s="1" t="s">
        <v>121</v>
      </c>
      <c r="N195" s="1"/>
    </row>
    <row r="196" spans="1:14" x14ac:dyDescent="0.25">
      <c r="A196" s="13">
        <v>45625</v>
      </c>
      <c r="B196" s="25" t="s">
        <v>664</v>
      </c>
      <c r="C196" s="1" t="s">
        <v>20</v>
      </c>
      <c r="D196" s="1" t="s">
        <v>162</v>
      </c>
      <c r="E196" s="1" t="s">
        <v>163</v>
      </c>
      <c r="F196" s="1" t="s">
        <v>130</v>
      </c>
      <c r="G196" s="1">
        <v>2</v>
      </c>
      <c r="H196" s="1" t="s">
        <v>36</v>
      </c>
      <c r="I196" s="1" t="s">
        <v>37</v>
      </c>
      <c r="J196" s="1" t="s">
        <v>160</v>
      </c>
      <c r="K196" s="1">
        <v>3</v>
      </c>
      <c r="L196" s="65">
        <f t="shared" si="2"/>
        <v>5.6925996204933584E-2</v>
      </c>
      <c r="M196" s="1" t="s">
        <v>109</v>
      </c>
      <c r="N196" s="1"/>
    </row>
    <row r="197" spans="1:14" x14ac:dyDescent="0.25">
      <c r="A197" s="13">
        <v>45625</v>
      </c>
      <c r="B197" s="25" t="s">
        <v>664</v>
      </c>
      <c r="C197" s="1" t="s">
        <v>20</v>
      </c>
      <c r="D197" s="1" t="s">
        <v>162</v>
      </c>
      <c r="E197" s="1" t="s">
        <v>163</v>
      </c>
      <c r="F197" s="1" t="s">
        <v>130</v>
      </c>
      <c r="G197" s="64" t="s">
        <v>167</v>
      </c>
      <c r="H197" s="1" t="s">
        <v>81</v>
      </c>
      <c r="I197" s="1" t="s">
        <v>82</v>
      </c>
      <c r="J197" s="1" t="s">
        <v>138</v>
      </c>
      <c r="K197" s="1">
        <v>8</v>
      </c>
      <c r="L197" s="65">
        <f t="shared" si="2"/>
        <v>0.15180265654648956</v>
      </c>
      <c r="M197" s="1" t="s">
        <v>116</v>
      </c>
      <c r="N197" s="1"/>
    </row>
    <row r="198" spans="1:14" x14ac:dyDescent="0.25">
      <c r="A198" s="13">
        <v>45625</v>
      </c>
      <c r="B198" s="25" t="s">
        <v>664</v>
      </c>
      <c r="C198" s="1" t="s">
        <v>20</v>
      </c>
      <c r="D198" s="1" t="s">
        <v>162</v>
      </c>
      <c r="E198" s="1" t="s">
        <v>163</v>
      </c>
      <c r="F198" s="1" t="s">
        <v>130</v>
      </c>
      <c r="G198" s="64" t="s">
        <v>167</v>
      </c>
      <c r="H198" s="1" t="s">
        <v>60</v>
      </c>
      <c r="I198" s="1" t="s">
        <v>63</v>
      </c>
      <c r="J198" s="1" t="s">
        <v>112</v>
      </c>
      <c r="K198" s="1">
        <v>31</v>
      </c>
      <c r="L198" s="65">
        <f t="shared" si="2"/>
        <v>0.58823529411764708</v>
      </c>
      <c r="M198" s="1" t="s">
        <v>113</v>
      </c>
      <c r="N198" s="1"/>
    </row>
    <row r="199" spans="1:14" x14ac:dyDescent="0.25">
      <c r="A199" s="13">
        <v>45625</v>
      </c>
      <c r="B199" s="25" t="s">
        <v>664</v>
      </c>
      <c r="C199" s="1" t="s">
        <v>20</v>
      </c>
      <c r="D199" s="1" t="s">
        <v>162</v>
      </c>
      <c r="E199" s="1" t="s">
        <v>163</v>
      </c>
      <c r="F199" s="1" t="s">
        <v>130</v>
      </c>
      <c r="G199" s="64" t="s">
        <v>167</v>
      </c>
      <c r="H199" s="1" t="s">
        <v>81</v>
      </c>
      <c r="I199" s="1" t="s">
        <v>85</v>
      </c>
      <c r="J199" s="1" t="s">
        <v>108</v>
      </c>
      <c r="K199" s="1">
        <v>76</v>
      </c>
      <c r="L199" s="65">
        <f t="shared" ref="L199:L262" si="3">(K199/$P$7)*100</f>
        <v>1.4421252371916509</v>
      </c>
      <c r="M199" s="1" t="s">
        <v>109</v>
      </c>
      <c r="N199" s="1"/>
    </row>
    <row r="200" spans="1:14" x14ac:dyDescent="0.25">
      <c r="A200" s="13">
        <v>45625</v>
      </c>
      <c r="B200" s="25" t="s">
        <v>664</v>
      </c>
      <c r="C200" s="1" t="s">
        <v>20</v>
      </c>
      <c r="D200" s="1" t="s">
        <v>162</v>
      </c>
      <c r="E200" s="1" t="s">
        <v>163</v>
      </c>
      <c r="F200" s="1" t="s">
        <v>130</v>
      </c>
      <c r="G200" s="64" t="s">
        <v>167</v>
      </c>
      <c r="H200" s="1" t="s">
        <v>44</v>
      </c>
      <c r="I200" s="1" t="s">
        <v>47</v>
      </c>
      <c r="J200" s="63" t="s">
        <v>114</v>
      </c>
      <c r="K200" s="1">
        <v>56</v>
      </c>
      <c r="L200" s="65">
        <f t="shared" si="3"/>
        <v>1.0626185958254268</v>
      </c>
      <c r="M200" s="1" t="s">
        <v>109</v>
      </c>
      <c r="N200" s="1"/>
    </row>
    <row r="201" spans="1:14" x14ac:dyDescent="0.25">
      <c r="A201" s="13">
        <v>45625</v>
      </c>
      <c r="B201" s="25" t="s">
        <v>664</v>
      </c>
      <c r="C201" s="1" t="s">
        <v>20</v>
      </c>
      <c r="D201" s="1" t="s">
        <v>162</v>
      </c>
      <c r="E201" s="1" t="s">
        <v>163</v>
      </c>
      <c r="F201" s="1" t="s">
        <v>130</v>
      </c>
      <c r="G201" s="64" t="s">
        <v>167</v>
      </c>
      <c r="H201" s="1" t="s">
        <v>79</v>
      </c>
      <c r="I201" s="1" t="s">
        <v>80</v>
      </c>
      <c r="J201" s="1" t="s">
        <v>142</v>
      </c>
      <c r="K201" s="1">
        <v>8</v>
      </c>
      <c r="L201" s="65">
        <f t="shared" si="3"/>
        <v>0.15180265654648956</v>
      </c>
      <c r="M201" s="1" t="s">
        <v>113</v>
      </c>
      <c r="N201" s="1"/>
    </row>
    <row r="202" spans="1:14" x14ac:dyDescent="0.25">
      <c r="A202" s="13">
        <v>45625</v>
      </c>
      <c r="B202" s="25" t="s">
        <v>664</v>
      </c>
      <c r="C202" s="1" t="s">
        <v>20</v>
      </c>
      <c r="D202" s="1" t="s">
        <v>162</v>
      </c>
      <c r="E202" s="1" t="s">
        <v>163</v>
      </c>
      <c r="F202" s="1" t="s">
        <v>130</v>
      </c>
      <c r="G202" s="64" t="s">
        <v>167</v>
      </c>
      <c r="H202" s="1" t="s">
        <v>36</v>
      </c>
      <c r="I202" s="1" t="s">
        <v>39</v>
      </c>
      <c r="J202" s="1" t="s">
        <v>148</v>
      </c>
      <c r="K202" s="1">
        <v>5</v>
      </c>
      <c r="L202" s="65">
        <f t="shared" si="3"/>
        <v>9.4876660341555979E-2</v>
      </c>
      <c r="M202" s="1" t="s">
        <v>116</v>
      </c>
      <c r="N202" s="1"/>
    </row>
    <row r="203" spans="1:14" x14ac:dyDescent="0.25">
      <c r="A203" s="13">
        <v>45625</v>
      </c>
      <c r="B203" s="25" t="s">
        <v>664</v>
      </c>
      <c r="C203" s="1" t="s">
        <v>20</v>
      </c>
      <c r="D203" s="1" t="s">
        <v>162</v>
      </c>
      <c r="E203" s="1" t="s">
        <v>163</v>
      </c>
      <c r="F203" s="1" t="s">
        <v>130</v>
      </c>
      <c r="G203" s="64" t="s">
        <v>167</v>
      </c>
      <c r="H203" s="1" t="s">
        <v>44</v>
      </c>
      <c r="I203" s="1" t="s">
        <v>47</v>
      </c>
      <c r="J203" s="1" t="s">
        <v>124</v>
      </c>
      <c r="K203" s="1">
        <v>18</v>
      </c>
      <c r="L203" s="65">
        <f t="shared" si="3"/>
        <v>0.34155597722960152</v>
      </c>
      <c r="M203" s="1" t="s">
        <v>113</v>
      </c>
      <c r="N203" s="1"/>
    </row>
    <row r="204" spans="1:14" x14ac:dyDescent="0.25">
      <c r="A204" s="13">
        <v>45625</v>
      </c>
      <c r="B204" s="25" t="s">
        <v>664</v>
      </c>
      <c r="C204" s="1" t="s">
        <v>20</v>
      </c>
      <c r="D204" s="1" t="s">
        <v>162</v>
      </c>
      <c r="E204" s="1" t="s">
        <v>163</v>
      </c>
      <c r="F204" s="1" t="s">
        <v>130</v>
      </c>
      <c r="G204" s="64" t="s">
        <v>167</v>
      </c>
      <c r="H204" s="1" t="s">
        <v>36</v>
      </c>
      <c r="I204" s="1" t="s">
        <v>37</v>
      </c>
      <c r="J204" s="1" t="s">
        <v>128</v>
      </c>
      <c r="K204" s="1">
        <v>39</v>
      </c>
      <c r="L204" s="65">
        <f t="shared" si="3"/>
        <v>0.74003795066413658</v>
      </c>
      <c r="M204" s="1" t="s">
        <v>109</v>
      </c>
      <c r="N204" s="1"/>
    </row>
    <row r="205" spans="1:14" x14ac:dyDescent="0.25">
      <c r="A205" s="13">
        <v>45625</v>
      </c>
      <c r="B205" s="25" t="s">
        <v>664</v>
      </c>
      <c r="C205" s="1" t="s">
        <v>20</v>
      </c>
      <c r="D205" s="1" t="s">
        <v>162</v>
      </c>
      <c r="E205" s="1" t="s">
        <v>163</v>
      </c>
      <c r="F205" s="1" t="s">
        <v>130</v>
      </c>
      <c r="G205" s="64" t="s">
        <v>167</v>
      </c>
      <c r="H205" s="1" t="s">
        <v>54</v>
      </c>
      <c r="I205" s="1" t="s">
        <v>55</v>
      </c>
      <c r="J205" s="1" t="s">
        <v>122</v>
      </c>
      <c r="K205" s="1">
        <v>9</v>
      </c>
      <c r="L205" s="65">
        <f t="shared" si="3"/>
        <v>0.17077798861480076</v>
      </c>
      <c r="M205" s="1" t="s">
        <v>109</v>
      </c>
      <c r="N205" s="1"/>
    </row>
    <row r="206" spans="1:14" x14ac:dyDescent="0.25">
      <c r="A206" s="13">
        <v>45625</v>
      </c>
      <c r="B206" s="25" t="s">
        <v>664</v>
      </c>
      <c r="C206" s="1" t="s">
        <v>20</v>
      </c>
      <c r="D206" s="1" t="s">
        <v>162</v>
      </c>
      <c r="E206" s="1" t="s">
        <v>163</v>
      </c>
      <c r="F206" s="1" t="s">
        <v>130</v>
      </c>
      <c r="G206" s="64" t="s">
        <v>167</v>
      </c>
      <c r="H206" s="1" t="s">
        <v>54</v>
      </c>
      <c r="I206" s="1" t="s">
        <v>56</v>
      </c>
      <c r="J206" s="1" t="s">
        <v>168</v>
      </c>
      <c r="K206" s="1">
        <v>6</v>
      </c>
      <c r="L206" s="65">
        <f t="shared" si="3"/>
        <v>0.11385199240986717</v>
      </c>
      <c r="M206" s="1" t="s">
        <v>109</v>
      </c>
      <c r="N206" s="1"/>
    </row>
    <row r="207" spans="1:14" x14ac:dyDescent="0.25">
      <c r="A207" s="13">
        <v>45625</v>
      </c>
      <c r="B207" s="25" t="s">
        <v>664</v>
      </c>
      <c r="C207" s="1" t="s">
        <v>20</v>
      </c>
      <c r="D207" s="1" t="s">
        <v>162</v>
      </c>
      <c r="E207" s="1" t="s">
        <v>163</v>
      </c>
      <c r="F207" s="1" t="s">
        <v>130</v>
      </c>
      <c r="G207" s="64" t="s">
        <v>167</v>
      </c>
      <c r="H207" s="1" t="s">
        <v>54</v>
      </c>
      <c r="I207" s="1" t="s">
        <v>56</v>
      </c>
      <c r="J207" s="1" t="s">
        <v>132</v>
      </c>
      <c r="K207" s="1">
        <v>10</v>
      </c>
      <c r="L207" s="65">
        <f t="shared" si="3"/>
        <v>0.18975332068311196</v>
      </c>
      <c r="M207" s="1" t="s">
        <v>109</v>
      </c>
      <c r="N207" s="1"/>
    </row>
    <row r="208" spans="1:14" x14ac:dyDescent="0.25">
      <c r="A208" s="13">
        <v>45625</v>
      </c>
      <c r="B208" s="25" t="s">
        <v>664</v>
      </c>
      <c r="C208" s="1" t="s">
        <v>20</v>
      </c>
      <c r="D208" s="1" t="s">
        <v>162</v>
      </c>
      <c r="E208" s="1" t="s">
        <v>163</v>
      </c>
      <c r="F208" s="1" t="s">
        <v>130</v>
      </c>
      <c r="G208" s="64" t="s">
        <v>167</v>
      </c>
      <c r="H208" s="1" t="s">
        <v>73</v>
      </c>
      <c r="I208" s="1" t="s">
        <v>74</v>
      </c>
      <c r="J208" s="1" t="s">
        <v>140</v>
      </c>
      <c r="K208" s="1">
        <v>1</v>
      </c>
      <c r="L208" s="65">
        <f t="shared" si="3"/>
        <v>1.8975332068311195E-2</v>
      </c>
      <c r="M208" s="1" t="s">
        <v>113</v>
      </c>
      <c r="N208" s="1"/>
    </row>
    <row r="209" spans="1:14" x14ac:dyDescent="0.25">
      <c r="A209" s="13">
        <v>45625</v>
      </c>
      <c r="B209" s="25" t="s">
        <v>664</v>
      </c>
      <c r="C209" s="1" t="s">
        <v>20</v>
      </c>
      <c r="D209" s="1" t="s">
        <v>162</v>
      </c>
      <c r="E209" s="1" t="s">
        <v>163</v>
      </c>
      <c r="F209" s="1" t="s">
        <v>130</v>
      </c>
      <c r="G209" s="64" t="s">
        <v>167</v>
      </c>
      <c r="H209" s="1" t="s">
        <v>54</v>
      </c>
      <c r="I209" s="1" t="s">
        <v>55</v>
      </c>
      <c r="J209" s="1" t="s">
        <v>120</v>
      </c>
      <c r="K209" s="1">
        <v>3</v>
      </c>
      <c r="L209" s="65">
        <f t="shared" si="3"/>
        <v>5.6925996204933584E-2</v>
      </c>
      <c r="M209" s="1" t="s">
        <v>121</v>
      </c>
      <c r="N209" s="1"/>
    </row>
    <row r="210" spans="1:14" x14ac:dyDescent="0.25">
      <c r="A210" s="13">
        <v>45625</v>
      </c>
      <c r="B210" s="25" t="s">
        <v>664</v>
      </c>
      <c r="C210" s="1" t="s">
        <v>20</v>
      </c>
      <c r="D210" s="1" t="s">
        <v>162</v>
      </c>
      <c r="E210" s="1" t="s">
        <v>163</v>
      </c>
      <c r="F210" s="1" t="s">
        <v>130</v>
      </c>
      <c r="G210" s="64" t="s">
        <v>167</v>
      </c>
      <c r="H210" s="1" t="s">
        <v>54</v>
      </c>
      <c r="I210" s="1" t="s">
        <v>57</v>
      </c>
      <c r="J210" s="1" t="s">
        <v>141</v>
      </c>
      <c r="K210" s="1">
        <v>1</v>
      </c>
      <c r="L210" s="65">
        <f t="shared" si="3"/>
        <v>1.8975332068311195E-2</v>
      </c>
      <c r="M210" s="1" t="s">
        <v>109</v>
      </c>
      <c r="N210" s="1"/>
    </row>
    <row r="211" spans="1:14" x14ac:dyDescent="0.25">
      <c r="A211" s="13">
        <v>45625</v>
      </c>
      <c r="B211" s="25" t="s">
        <v>664</v>
      </c>
      <c r="C211" s="1" t="s">
        <v>20</v>
      </c>
      <c r="D211" s="1" t="s">
        <v>162</v>
      </c>
      <c r="E211" s="1" t="s">
        <v>163</v>
      </c>
      <c r="F211" s="1" t="s">
        <v>130</v>
      </c>
      <c r="G211" s="64" t="s">
        <v>167</v>
      </c>
      <c r="H211" s="1" t="s">
        <v>81</v>
      </c>
      <c r="I211" s="1" t="s">
        <v>85</v>
      </c>
      <c r="J211" s="1" t="s">
        <v>144</v>
      </c>
      <c r="K211" s="1">
        <v>1</v>
      </c>
      <c r="L211" s="65">
        <f t="shared" si="3"/>
        <v>1.8975332068311195E-2</v>
      </c>
      <c r="M211" s="1" t="s">
        <v>109</v>
      </c>
      <c r="N211" s="1"/>
    </row>
    <row r="212" spans="1:14" x14ac:dyDescent="0.25">
      <c r="A212" s="13">
        <v>45625</v>
      </c>
      <c r="B212" s="25" t="s">
        <v>664</v>
      </c>
      <c r="C212" s="1" t="s">
        <v>20</v>
      </c>
      <c r="D212" s="1" t="s">
        <v>162</v>
      </c>
      <c r="E212" s="1" t="s">
        <v>163</v>
      </c>
      <c r="F212" s="1" t="s">
        <v>130</v>
      </c>
      <c r="G212" s="64" t="s">
        <v>167</v>
      </c>
      <c r="H212" s="1" t="s">
        <v>81</v>
      </c>
      <c r="I212" s="1" t="s">
        <v>83</v>
      </c>
      <c r="J212" s="1" t="s">
        <v>135</v>
      </c>
      <c r="K212" s="1">
        <v>1</v>
      </c>
      <c r="L212" s="65">
        <f t="shared" si="3"/>
        <v>1.8975332068311195E-2</v>
      </c>
      <c r="M212" s="1" t="s">
        <v>116</v>
      </c>
      <c r="N212" s="1"/>
    </row>
    <row r="213" spans="1:14" x14ac:dyDescent="0.25">
      <c r="A213" s="13">
        <v>45625</v>
      </c>
      <c r="B213" s="25" t="s">
        <v>664</v>
      </c>
      <c r="C213" s="1" t="s">
        <v>20</v>
      </c>
      <c r="D213" s="1" t="s">
        <v>162</v>
      </c>
      <c r="E213" s="1" t="s">
        <v>163</v>
      </c>
      <c r="F213" s="1" t="s">
        <v>130</v>
      </c>
      <c r="G213" s="64" t="s">
        <v>167</v>
      </c>
      <c r="H213" s="1" t="s">
        <v>73</v>
      </c>
      <c r="I213" s="1" t="s">
        <v>77</v>
      </c>
      <c r="J213" s="1" t="s">
        <v>77</v>
      </c>
      <c r="K213" s="1">
        <v>5</v>
      </c>
      <c r="L213" s="65">
        <f t="shared" si="3"/>
        <v>9.4876660341555979E-2</v>
      </c>
      <c r="M213" s="1" t="s">
        <v>113</v>
      </c>
      <c r="N213" s="1"/>
    </row>
    <row r="214" spans="1:14" x14ac:dyDescent="0.25">
      <c r="A214" s="13">
        <v>45625</v>
      </c>
      <c r="B214" s="25" t="s">
        <v>664</v>
      </c>
      <c r="C214" s="1" t="s">
        <v>20</v>
      </c>
      <c r="D214" s="1" t="s">
        <v>162</v>
      </c>
      <c r="E214" s="1" t="s">
        <v>163</v>
      </c>
      <c r="F214" s="1" t="s">
        <v>130</v>
      </c>
      <c r="G214" s="64" t="s">
        <v>167</v>
      </c>
      <c r="H214" s="1" t="s">
        <v>81</v>
      </c>
      <c r="I214" s="1" t="s">
        <v>83</v>
      </c>
      <c r="J214" s="1" t="s">
        <v>131</v>
      </c>
      <c r="K214" s="1">
        <v>2</v>
      </c>
      <c r="L214" s="65">
        <f t="shared" si="3"/>
        <v>3.7950664136622389E-2</v>
      </c>
      <c r="M214" s="1" t="s">
        <v>116</v>
      </c>
      <c r="N214" s="1"/>
    </row>
    <row r="215" spans="1:14" x14ac:dyDescent="0.25">
      <c r="A215" s="13">
        <v>45625</v>
      </c>
      <c r="B215" s="25" t="s">
        <v>664</v>
      </c>
      <c r="C215" s="1" t="s">
        <v>20</v>
      </c>
      <c r="D215" s="1" t="s">
        <v>162</v>
      </c>
      <c r="E215" s="1" t="s">
        <v>163</v>
      </c>
      <c r="F215" s="1" t="s">
        <v>130</v>
      </c>
      <c r="G215" s="64" t="s">
        <v>167</v>
      </c>
      <c r="H215" s="1" t="s">
        <v>36</v>
      </c>
      <c r="I215" s="1" t="s">
        <v>37</v>
      </c>
      <c r="J215" s="1" t="s">
        <v>160</v>
      </c>
      <c r="K215" s="1">
        <v>1</v>
      </c>
      <c r="L215" s="65">
        <f t="shared" si="3"/>
        <v>1.8975332068311195E-2</v>
      </c>
      <c r="M215" s="1" t="s">
        <v>109</v>
      </c>
      <c r="N215" s="1"/>
    </row>
    <row r="216" spans="1:14" x14ac:dyDescent="0.25">
      <c r="A216" s="13">
        <v>45625</v>
      </c>
      <c r="B216" s="25" t="s">
        <v>664</v>
      </c>
      <c r="C216" s="1" t="s">
        <v>20</v>
      </c>
      <c r="D216" s="1" t="s">
        <v>162</v>
      </c>
      <c r="E216" s="1" t="s">
        <v>163</v>
      </c>
      <c r="F216" s="1" t="s">
        <v>130</v>
      </c>
      <c r="G216" s="64" t="s">
        <v>167</v>
      </c>
      <c r="H216" s="1" t="s">
        <v>81</v>
      </c>
      <c r="I216" s="1" t="s">
        <v>86</v>
      </c>
      <c r="J216" s="1" t="s">
        <v>146</v>
      </c>
      <c r="K216" s="1">
        <v>1</v>
      </c>
      <c r="L216" s="65">
        <f t="shared" si="3"/>
        <v>1.8975332068311195E-2</v>
      </c>
      <c r="M216" s="1" t="s">
        <v>116</v>
      </c>
      <c r="N216" s="1"/>
    </row>
    <row r="217" spans="1:14" x14ac:dyDescent="0.25">
      <c r="A217" s="13">
        <v>45625</v>
      </c>
      <c r="B217" s="25" t="s">
        <v>664</v>
      </c>
      <c r="C217" s="1" t="s">
        <v>20</v>
      </c>
      <c r="D217" s="1" t="s">
        <v>162</v>
      </c>
      <c r="E217" s="1" t="s">
        <v>163</v>
      </c>
      <c r="F217" s="1" t="s">
        <v>130</v>
      </c>
      <c r="G217" s="64" t="s">
        <v>167</v>
      </c>
      <c r="H217" s="1" t="s">
        <v>36</v>
      </c>
      <c r="I217" s="1" t="s">
        <v>37</v>
      </c>
      <c r="J217" s="1" t="s">
        <v>169</v>
      </c>
      <c r="K217" s="1">
        <v>1</v>
      </c>
      <c r="L217" s="65">
        <f t="shared" si="3"/>
        <v>1.8975332068311195E-2</v>
      </c>
      <c r="M217" s="1" t="s">
        <v>121</v>
      </c>
      <c r="N217" s="1"/>
    </row>
    <row r="218" spans="1:14" x14ac:dyDescent="0.25">
      <c r="A218" s="13">
        <v>45625</v>
      </c>
      <c r="B218" s="25" t="s">
        <v>664</v>
      </c>
      <c r="C218" s="1" t="s">
        <v>20</v>
      </c>
      <c r="D218" s="1" t="s">
        <v>162</v>
      </c>
      <c r="E218" s="1" t="s">
        <v>163</v>
      </c>
      <c r="F218" s="1" t="s">
        <v>130</v>
      </c>
      <c r="G218" s="64" t="s">
        <v>167</v>
      </c>
      <c r="H218" s="1" t="s">
        <v>44</v>
      </c>
      <c r="I218" s="1" t="s">
        <v>48</v>
      </c>
      <c r="J218" s="1" t="s">
        <v>170</v>
      </c>
      <c r="K218" s="1">
        <v>1</v>
      </c>
      <c r="L218" s="65">
        <f t="shared" si="3"/>
        <v>1.8975332068311195E-2</v>
      </c>
      <c r="M218" s="1" t="s">
        <v>109</v>
      </c>
      <c r="N218" s="1"/>
    </row>
    <row r="219" spans="1:14" x14ac:dyDescent="0.25">
      <c r="A219" s="13">
        <v>45625</v>
      </c>
      <c r="B219" s="25" t="s">
        <v>664</v>
      </c>
      <c r="C219" s="1" t="s">
        <v>20</v>
      </c>
      <c r="D219" s="1" t="s">
        <v>162</v>
      </c>
      <c r="E219" s="1" t="s">
        <v>163</v>
      </c>
      <c r="F219" s="1" t="s">
        <v>130</v>
      </c>
      <c r="G219" s="1">
        <v>1</v>
      </c>
      <c r="H219" s="1" t="s">
        <v>54</v>
      </c>
      <c r="I219" s="1" t="s">
        <v>55</v>
      </c>
      <c r="J219" s="1" t="s">
        <v>122</v>
      </c>
      <c r="K219" s="1">
        <f>4+7</f>
        <v>11</v>
      </c>
      <c r="L219" s="65">
        <f t="shared" si="3"/>
        <v>0.20872865275142313</v>
      </c>
      <c r="M219" s="1" t="s">
        <v>109</v>
      </c>
      <c r="N219" s="1"/>
    </row>
    <row r="220" spans="1:14" x14ac:dyDescent="0.25">
      <c r="A220" s="13">
        <v>45625</v>
      </c>
      <c r="B220" s="25" t="s">
        <v>664</v>
      </c>
      <c r="C220" s="1" t="s">
        <v>20</v>
      </c>
      <c r="D220" s="1" t="s">
        <v>162</v>
      </c>
      <c r="E220" s="1" t="s">
        <v>163</v>
      </c>
      <c r="F220" s="1" t="s">
        <v>130</v>
      </c>
      <c r="G220" s="1">
        <v>1</v>
      </c>
      <c r="H220" s="1" t="s">
        <v>54</v>
      </c>
      <c r="I220" s="1" t="s">
        <v>56</v>
      </c>
      <c r="J220" s="1" t="s">
        <v>168</v>
      </c>
      <c r="K220" s="1">
        <v>1</v>
      </c>
      <c r="L220" s="65">
        <f t="shared" si="3"/>
        <v>1.8975332068311195E-2</v>
      </c>
      <c r="M220" s="1" t="s">
        <v>109</v>
      </c>
      <c r="N220" s="1"/>
    </row>
    <row r="221" spans="1:14" x14ac:dyDescent="0.25">
      <c r="A221" s="13">
        <v>45625</v>
      </c>
      <c r="B221" s="25" t="s">
        <v>664</v>
      </c>
      <c r="C221" s="1" t="s">
        <v>20</v>
      </c>
      <c r="D221" s="1" t="s">
        <v>162</v>
      </c>
      <c r="E221" s="1" t="s">
        <v>163</v>
      </c>
      <c r="F221" s="1" t="s">
        <v>130</v>
      </c>
      <c r="G221" s="1">
        <v>1</v>
      </c>
      <c r="H221" s="1" t="s">
        <v>60</v>
      </c>
      <c r="I221" s="1" t="s">
        <v>63</v>
      </c>
      <c r="J221" s="1" t="s">
        <v>112</v>
      </c>
      <c r="K221" s="1">
        <v>1</v>
      </c>
      <c r="L221" s="65">
        <f t="shared" si="3"/>
        <v>1.8975332068311195E-2</v>
      </c>
      <c r="M221" s="1" t="s">
        <v>113</v>
      </c>
      <c r="N221" s="1"/>
    </row>
    <row r="222" spans="1:14" x14ac:dyDescent="0.25">
      <c r="A222" s="13">
        <v>45625</v>
      </c>
      <c r="B222" s="25" t="s">
        <v>664</v>
      </c>
      <c r="C222" s="1" t="s">
        <v>20</v>
      </c>
      <c r="D222" s="1" t="s">
        <v>162</v>
      </c>
      <c r="E222" s="1" t="s">
        <v>163</v>
      </c>
      <c r="F222" s="1" t="s">
        <v>130</v>
      </c>
      <c r="G222" s="1">
        <v>1</v>
      </c>
      <c r="H222" s="1" t="s">
        <v>81</v>
      </c>
      <c r="I222" s="1" t="s">
        <v>85</v>
      </c>
      <c r="J222" s="1" t="s">
        <v>108</v>
      </c>
      <c r="K222" s="1">
        <v>1</v>
      </c>
      <c r="L222" s="65">
        <f t="shared" si="3"/>
        <v>1.8975332068311195E-2</v>
      </c>
      <c r="M222" s="1" t="s">
        <v>109</v>
      </c>
      <c r="N222" s="1"/>
    </row>
    <row r="223" spans="1:14" x14ac:dyDescent="0.25">
      <c r="A223" s="13">
        <v>45625</v>
      </c>
      <c r="B223" s="25" t="s">
        <v>664</v>
      </c>
      <c r="C223" s="1" t="s">
        <v>20</v>
      </c>
      <c r="D223" s="1" t="s">
        <v>162</v>
      </c>
      <c r="E223" s="1" t="s">
        <v>163</v>
      </c>
      <c r="F223" s="1" t="s">
        <v>130</v>
      </c>
      <c r="G223" s="1">
        <v>1</v>
      </c>
      <c r="H223" s="1" t="s">
        <v>81</v>
      </c>
      <c r="I223" s="1" t="s">
        <v>83</v>
      </c>
      <c r="J223" s="1" t="s">
        <v>131</v>
      </c>
      <c r="K223" s="1">
        <v>2</v>
      </c>
      <c r="L223" s="65">
        <f t="shared" si="3"/>
        <v>3.7950664136622389E-2</v>
      </c>
      <c r="M223" s="1" t="s">
        <v>116</v>
      </c>
      <c r="N223" s="1"/>
    </row>
    <row r="224" spans="1:14" x14ac:dyDescent="0.25">
      <c r="A224" s="13">
        <v>45625</v>
      </c>
      <c r="B224" s="25" t="s">
        <v>664</v>
      </c>
      <c r="C224" s="1" t="s">
        <v>20</v>
      </c>
      <c r="D224" s="1" t="s">
        <v>162</v>
      </c>
      <c r="E224" s="1" t="s">
        <v>163</v>
      </c>
      <c r="F224" s="1" t="s">
        <v>130</v>
      </c>
      <c r="G224" s="1">
        <v>1</v>
      </c>
      <c r="H224" s="1" t="s">
        <v>36</v>
      </c>
      <c r="I224" s="1" t="s">
        <v>37</v>
      </c>
      <c r="J224" s="1" t="s">
        <v>128</v>
      </c>
      <c r="K224" s="1">
        <v>1</v>
      </c>
      <c r="L224" s="65">
        <f t="shared" si="3"/>
        <v>1.8975332068311195E-2</v>
      </c>
      <c r="M224" s="1" t="s">
        <v>109</v>
      </c>
      <c r="N224" s="1"/>
    </row>
    <row r="225" spans="1:14" x14ac:dyDescent="0.25">
      <c r="A225" s="13">
        <v>45625</v>
      </c>
      <c r="B225" s="25" t="s">
        <v>664</v>
      </c>
      <c r="C225" s="1" t="s">
        <v>20</v>
      </c>
      <c r="D225" s="1" t="s">
        <v>162</v>
      </c>
      <c r="E225" s="1" t="s">
        <v>163</v>
      </c>
      <c r="F225" s="1" t="s">
        <v>130</v>
      </c>
      <c r="G225" s="1">
        <v>1</v>
      </c>
      <c r="H225" s="1" t="s">
        <v>54</v>
      </c>
      <c r="I225" s="1" t="s">
        <v>55</v>
      </c>
      <c r="J225" s="1" t="s">
        <v>120</v>
      </c>
      <c r="K225" s="1">
        <v>21</v>
      </c>
      <c r="L225" s="65">
        <f t="shared" si="3"/>
        <v>0.39848197343453506</v>
      </c>
      <c r="M225" s="1" t="s">
        <v>121</v>
      </c>
      <c r="N225" s="1"/>
    </row>
    <row r="226" spans="1:14" x14ac:dyDescent="0.25">
      <c r="A226" s="13">
        <v>45625</v>
      </c>
      <c r="B226" s="25" t="s">
        <v>664</v>
      </c>
      <c r="C226" s="1" t="s">
        <v>20</v>
      </c>
      <c r="D226" s="1" t="s">
        <v>162</v>
      </c>
      <c r="E226" s="1" t="s">
        <v>163</v>
      </c>
      <c r="F226" s="1" t="s">
        <v>130</v>
      </c>
      <c r="G226" s="1">
        <v>1</v>
      </c>
      <c r="H226" s="1" t="s">
        <v>44</v>
      </c>
      <c r="I226" s="1" t="s">
        <v>52</v>
      </c>
      <c r="J226" s="1" t="s">
        <v>133</v>
      </c>
      <c r="K226" s="1">
        <v>1</v>
      </c>
      <c r="L226" s="65">
        <f t="shared" si="3"/>
        <v>1.8975332068311195E-2</v>
      </c>
      <c r="M226" s="1" t="s">
        <v>119</v>
      </c>
      <c r="N226" s="1"/>
    </row>
    <row r="227" spans="1:14" x14ac:dyDescent="0.25">
      <c r="A227" s="13">
        <v>45625</v>
      </c>
      <c r="B227" s="25" t="s">
        <v>664</v>
      </c>
      <c r="C227" s="1" t="s">
        <v>20</v>
      </c>
      <c r="D227" s="1" t="s">
        <v>162</v>
      </c>
      <c r="E227" s="1" t="s">
        <v>163</v>
      </c>
      <c r="F227" s="1" t="s">
        <v>130</v>
      </c>
      <c r="G227" s="1">
        <v>1</v>
      </c>
      <c r="H227" s="1" t="s">
        <v>36</v>
      </c>
      <c r="I227" s="1" t="s">
        <v>38</v>
      </c>
      <c r="J227" s="1" t="s">
        <v>151</v>
      </c>
      <c r="K227" s="1">
        <v>1</v>
      </c>
      <c r="L227" s="65">
        <f t="shared" si="3"/>
        <v>1.8975332068311195E-2</v>
      </c>
      <c r="M227" s="1" t="s">
        <v>121</v>
      </c>
      <c r="N227" s="1"/>
    </row>
    <row r="228" spans="1:14" x14ac:dyDescent="0.25">
      <c r="A228" s="13">
        <v>45625</v>
      </c>
      <c r="B228" s="25" t="s">
        <v>664</v>
      </c>
      <c r="C228" s="1" t="s">
        <v>20</v>
      </c>
      <c r="D228" s="1" t="s">
        <v>162</v>
      </c>
      <c r="E228" s="1" t="s">
        <v>171</v>
      </c>
      <c r="F228" s="1" t="s">
        <v>145</v>
      </c>
      <c r="G228" s="1">
        <v>1</v>
      </c>
      <c r="H228" s="1" t="s">
        <v>60</v>
      </c>
      <c r="I228" s="1" t="s">
        <v>63</v>
      </c>
      <c r="J228" s="1" t="s">
        <v>112</v>
      </c>
      <c r="K228" s="1">
        <v>30</v>
      </c>
      <c r="L228" s="65">
        <f t="shared" si="3"/>
        <v>0.56925996204933582</v>
      </c>
      <c r="M228" s="1" t="s">
        <v>113</v>
      </c>
      <c r="N228" s="1"/>
    </row>
    <row r="229" spans="1:14" x14ac:dyDescent="0.25">
      <c r="A229" s="13">
        <v>45625</v>
      </c>
      <c r="B229" s="25" t="s">
        <v>664</v>
      </c>
      <c r="C229" s="1" t="s">
        <v>20</v>
      </c>
      <c r="D229" s="1" t="s">
        <v>162</v>
      </c>
      <c r="E229" s="1" t="s">
        <v>171</v>
      </c>
      <c r="F229" s="1" t="s">
        <v>145</v>
      </c>
      <c r="G229" s="1">
        <v>1</v>
      </c>
      <c r="H229" s="1" t="s">
        <v>54</v>
      </c>
      <c r="I229" s="1" t="s">
        <v>55</v>
      </c>
      <c r="J229" s="1" t="s">
        <v>122</v>
      </c>
      <c r="K229" s="1">
        <f>26+7</f>
        <v>33</v>
      </c>
      <c r="L229" s="65">
        <f t="shared" si="3"/>
        <v>0.62618595825426948</v>
      </c>
      <c r="M229" s="1" t="s">
        <v>109</v>
      </c>
      <c r="N229" s="1"/>
    </row>
    <row r="230" spans="1:14" x14ac:dyDescent="0.25">
      <c r="A230" s="13">
        <v>45625</v>
      </c>
      <c r="B230" s="25" t="s">
        <v>664</v>
      </c>
      <c r="C230" s="1" t="s">
        <v>20</v>
      </c>
      <c r="D230" s="1" t="s">
        <v>162</v>
      </c>
      <c r="E230" s="1" t="s">
        <v>171</v>
      </c>
      <c r="F230" s="1" t="s">
        <v>145</v>
      </c>
      <c r="G230" s="1">
        <v>1</v>
      </c>
      <c r="H230" s="1" t="s">
        <v>71</v>
      </c>
      <c r="I230" s="1" t="s">
        <v>72</v>
      </c>
      <c r="J230" s="1" t="s">
        <v>156</v>
      </c>
      <c r="K230" s="1">
        <v>15</v>
      </c>
      <c r="L230" s="65">
        <f t="shared" si="3"/>
        <v>0.28462998102466791</v>
      </c>
      <c r="M230" s="1" t="s">
        <v>113</v>
      </c>
      <c r="N230" s="1"/>
    </row>
    <row r="231" spans="1:14" x14ac:dyDescent="0.25">
      <c r="A231" s="13">
        <v>45625</v>
      </c>
      <c r="B231" s="25" t="s">
        <v>664</v>
      </c>
      <c r="C231" s="1" t="s">
        <v>20</v>
      </c>
      <c r="D231" s="1" t="s">
        <v>162</v>
      </c>
      <c r="E231" s="1" t="s">
        <v>171</v>
      </c>
      <c r="F231" s="1" t="s">
        <v>145</v>
      </c>
      <c r="G231" s="1">
        <v>1</v>
      </c>
      <c r="H231" s="1" t="s">
        <v>81</v>
      </c>
      <c r="I231" s="1" t="s">
        <v>82</v>
      </c>
      <c r="J231" s="1" t="s">
        <v>138</v>
      </c>
      <c r="K231" s="1">
        <v>2</v>
      </c>
      <c r="L231" s="65">
        <f t="shared" si="3"/>
        <v>3.7950664136622389E-2</v>
      </c>
      <c r="M231" s="1" t="s">
        <v>116</v>
      </c>
      <c r="N231" s="1"/>
    </row>
    <row r="232" spans="1:14" x14ac:dyDescent="0.25">
      <c r="A232" s="13">
        <v>45625</v>
      </c>
      <c r="B232" s="25" t="s">
        <v>664</v>
      </c>
      <c r="C232" s="1" t="s">
        <v>20</v>
      </c>
      <c r="D232" s="1" t="s">
        <v>162</v>
      </c>
      <c r="E232" s="1" t="s">
        <v>171</v>
      </c>
      <c r="F232" s="1" t="s">
        <v>145</v>
      </c>
      <c r="G232" s="1">
        <v>1</v>
      </c>
      <c r="H232" s="1" t="s">
        <v>79</v>
      </c>
      <c r="I232" s="1" t="s">
        <v>80</v>
      </c>
      <c r="J232" s="1" t="s">
        <v>142</v>
      </c>
      <c r="K232" s="1">
        <v>13</v>
      </c>
      <c r="L232" s="65">
        <f t="shared" si="3"/>
        <v>0.24667931688804554</v>
      </c>
      <c r="M232" s="1" t="s">
        <v>113</v>
      </c>
      <c r="N232" s="1"/>
    </row>
    <row r="233" spans="1:14" x14ac:dyDescent="0.25">
      <c r="A233" s="13">
        <v>45625</v>
      </c>
      <c r="B233" s="25" t="s">
        <v>664</v>
      </c>
      <c r="C233" s="1" t="s">
        <v>20</v>
      </c>
      <c r="D233" s="1" t="s">
        <v>162</v>
      </c>
      <c r="E233" s="1" t="s">
        <v>171</v>
      </c>
      <c r="F233" s="1" t="s">
        <v>145</v>
      </c>
      <c r="G233" s="1">
        <v>1</v>
      </c>
      <c r="H233" s="1" t="s">
        <v>54</v>
      </c>
      <c r="I233" s="1" t="s">
        <v>55</v>
      </c>
      <c r="J233" s="1" t="s">
        <v>120</v>
      </c>
      <c r="K233" s="1">
        <v>17</v>
      </c>
      <c r="L233" s="65">
        <f t="shared" si="3"/>
        <v>0.32258064516129031</v>
      </c>
      <c r="M233" s="1" t="s">
        <v>121</v>
      </c>
      <c r="N233" s="1"/>
    </row>
    <row r="234" spans="1:14" x14ac:dyDescent="0.25">
      <c r="A234" s="13">
        <v>45625</v>
      </c>
      <c r="B234" s="25" t="s">
        <v>664</v>
      </c>
      <c r="C234" s="1" t="s">
        <v>20</v>
      </c>
      <c r="D234" s="1" t="s">
        <v>162</v>
      </c>
      <c r="E234" s="1" t="s">
        <v>171</v>
      </c>
      <c r="F234" s="1" t="s">
        <v>145</v>
      </c>
      <c r="G234" s="1">
        <v>1</v>
      </c>
      <c r="H234" s="1" t="s">
        <v>81</v>
      </c>
      <c r="I234" s="1" t="s">
        <v>85</v>
      </c>
      <c r="J234" s="1" t="s">
        <v>108</v>
      </c>
      <c r="K234" s="1">
        <v>9</v>
      </c>
      <c r="L234" s="65">
        <f t="shared" si="3"/>
        <v>0.17077798861480076</v>
      </c>
      <c r="M234" s="1" t="s">
        <v>109</v>
      </c>
      <c r="N234" s="1"/>
    </row>
    <row r="235" spans="1:14" x14ac:dyDescent="0.25">
      <c r="A235" s="13">
        <v>45625</v>
      </c>
      <c r="B235" s="25" t="s">
        <v>664</v>
      </c>
      <c r="C235" s="1" t="s">
        <v>20</v>
      </c>
      <c r="D235" s="1" t="s">
        <v>162</v>
      </c>
      <c r="E235" s="1" t="s">
        <v>171</v>
      </c>
      <c r="F235" s="1" t="s">
        <v>145</v>
      </c>
      <c r="G235" s="1">
        <v>1</v>
      </c>
      <c r="H235" s="1" t="s">
        <v>36</v>
      </c>
      <c r="I235" s="1" t="s">
        <v>38</v>
      </c>
      <c r="J235" s="1" t="s">
        <v>151</v>
      </c>
      <c r="K235" s="1">
        <v>1</v>
      </c>
      <c r="L235" s="65">
        <f t="shared" si="3"/>
        <v>1.8975332068311195E-2</v>
      </c>
      <c r="M235" s="1" t="s">
        <v>121</v>
      </c>
      <c r="N235" s="1"/>
    </row>
    <row r="236" spans="1:14" x14ac:dyDescent="0.25">
      <c r="A236" s="13">
        <v>45625</v>
      </c>
      <c r="B236" s="25" t="s">
        <v>664</v>
      </c>
      <c r="C236" s="1" t="s">
        <v>20</v>
      </c>
      <c r="D236" s="1" t="s">
        <v>162</v>
      </c>
      <c r="E236" s="1" t="s">
        <v>171</v>
      </c>
      <c r="F236" s="1" t="s">
        <v>145</v>
      </c>
      <c r="G236" s="1">
        <v>1</v>
      </c>
      <c r="H236" s="1" t="s">
        <v>44</v>
      </c>
      <c r="I236" s="1" t="s">
        <v>52</v>
      </c>
      <c r="J236" s="1" t="s">
        <v>133</v>
      </c>
      <c r="K236" s="1">
        <v>3</v>
      </c>
      <c r="L236" s="65">
        <f t="shared" si="3"/>
        <v>5.6925996204933584E-2</v>
      </c>
      <c r="M236" s="1" t="s">
        <v>119</v>
      </c>
      <c r="N236" s="1"/>
    </row>
    <row r="237" spans="1:14" x14ac:dyDescent="0.25">
      <c r="A237" s="13">
        <v>45625</v>
      </c>
      <c r="B237" s="25" t="s">
        <v>664</v>
      </c>
      <c r="C237" s="1" t="s">
        <v>20</v>
      </c>
      <c r="D237" s="1" t="s">
        <v>162</v>
      </c>
      <c r="E237" s="1" t="s">
        <v>171</v>
      </c>
      <c r="F237" s="1" t="s">
        <v>145</v>
      </c>
      <c r="G237" s="1">
        <v>1</v>
      </c>
      <c r="H237" s="1" t="s">
        <v>36</v>
      </c>
      <c r="I237" s="1" t="s">
        <v>37</v>
      </c>
      <c r="J237" s="1" t="s">
        <v>128</v>
      </c>
      <c r="K237" s="1">
        <v>7</v>
      </c>
      <c r="L237" s="65">
        <f t="shared" si="3"/>
        <v>0.13282732447817835</v>
      </c>
      <c r="M237" s="1" t="s">
        <v>109</v>
      </c>
      <c r="N237" s="1"/>
    </row>
    <row r="238" spans="1:14" x14ac:dyDescent="0.25">
      <c r="A238" s="13">
        <v>45625</v>
      </c>
      <c r="B238" s="25" t="s">
        <v>664</v>
      </c>
      <c r="C238" s="1" t="s">
        <v>20</v>
      </c>
      <c r="D238" s="1" t="s">
        <v>162</v>
      </c>
      <c r="E238" s="1" t="s">
        <v>171</v>
      </c>
      <c r="F238" s="1" t="s">
        <v>145</v>
      </c>
      <c r="G238" s="1">
        <v>1</v>
      </c>
      <c r="H238" s="1" t="s">
        <v>44</v>
      </c>
      <c r="I238" s="1" t="s">
        <v>47</v>
      </c>
      <c r="J238" s="63" t="s">
        <v>114</v>
      </c>
      <c r="K238" s="1">
        <v>24</v>
      </c>
      <c r="L238" s="65">
        <f t="shared" si="3"/>
        <v>0.45540796963946867</v>
      </c>
      <c r="M238" s="1" t="s">
        <v>109</v>
      </c>
      <c r="N238" s="1"/>
    </row>
    <row r="239" spans="1:14" x14ac:dyDescent="0.25">
      <c r="A239" s="13">
        <v>45625</v>
      </c>
      <c r="B239" s="25" t="s">
        <v>664</v>
      </c>
      <c r="C239" s="1" t="s">
        <v>20</v>
      </c>
      <c r="D239" s="1" t="s">
        <v>162</v>
      </c>
      <c r="E239" s="1" t="s">
        <v>171</v>
      </c>
      <c r="F239" s="1" t="s">
        <v>145</v>
      </c>
      <c r="G239" s="1">
        <v>1</v>
      </c>
      <c r="H239" s="1" t="s">
        <v>81</v>
      </c>
      <c r="I239" s="1" t="s">
        <v>83</v>
      </c>
      <c r="J239" s="1" t="s">
        <v>135</v>
      </c>
      <c r="K239" s="1">
        <v>3</v>
      </c>
      <c r="L239" s="65">
        <f t="shared" si="3"/>
        <v>5.6925996204933584E-2</v>
      </c>
      <c r="M239" s="1" t="s">
        <v>116</v>
      </c>
      <c r="N239" s="1"/>
    </row>
    <row r="240" spans="1:14" x14ac:dyDescent="0.25">
      <c r="A240" s="13">
        <v>45625</v>
      </c>
      <c r="B240" s="25" t="s">
        <v>664</v>
      </c>
      <c r="C240" s="1" t="s">
        <v>20</v>
      </c>
      <c r="D240" s="1" t="s">
        <v>162</v>
      </c>
      <c r="E240" s="1" t="s">
        <v>171</v>
      </c>
      <c r="F240" s="1" t="s">
        <v>145</v>
      </c>
      <c r="G240" s="1">
        <v>1</v>
      </c>
      <c r="H240" s="1" t="s">
        <v>81</v>
      </c>
      <c r="I240" s="1" t="s">
        <v>83</v>
      </c>
      <c r="J240" s="1" t="s">
        <v>131</v>
      </c>
      <c r="K240" s="1">
        <v>6</v>
      </c>
      <c r="L240" s="65">
        <f t="shared" si="3"/>
        <v>0.11385199240986717</v>
      </c>
      <c r="M240" s="1" t="s">
        <v>116</v>
      </c>
      <c r="N240" s="1"/>
    </row>
    <row r="241" spans="1:14" x14ac:dyDescent="0.25">
      <c r="A241" s="13">
        <v>45625</v>
      </c>
      <c r="B241" s="25" t="s">
        <v>664</v>
      </c>
      <c r="C241" s="1" t="s">
        <v>20</v>
      </c>
      <c r="D241" s="1" t="s">
        <v>162</v>
      </c>
      <c r="E241" s="1" t="s">
        <v>171</v>
      </c>
      <c r="F241" s="1" t="s">
        <v>145</v>
      </c>
      <c r="G241" s="1">
        <v>1</v>
      </c>
      <c r="H241" s="1" t="s">
        <v>81</v>
      </c>
      <c r="I241" s="1" t="s">
        <v>85</v>
      </c>
      <c r="J241" s="1" t="s">
        <v>108</v>
      </c>
      <c r="K241" s="1">
        <v>4</v>
      </c>
      <c r="L241" s="65">
        <f t="shared" si="3"/>
        <v>7.5901328273244778E-2</v>
      </c>
      <c r="M241" s="1" t="s">
        <v>109</v>
      </c>
      <c r="N241" s="1"/>
    </row>
    <row r="242" spans="1:14" x14ac:dyDescent="0.25">
      <c r="A242" s="13">
        <v>45625</v>
      </c>
      <c r="B242" s="25" t="s">
        <v>664</v>
      </c>
      <c r="C242" s="1" t="s">
        <v>20</v>
      </c>
      <c r="D242" s="1" t="s">
        <v>162</v>
      </c>
      <c r="E242" s="1" t="s">
        <v>171</v>
      </c>
      <c r="F242" s="1" t="s">
        <v>145</v>
      </c>
      <c r="G242" s="1">
        <v>1</v>
      </c>
      <c r="H242" s="1" t="s">
        <v>44</v>
      </c>
      <c r="I242" s="1" t="s">
        <v>47</v>
      </c>
      <c r="J242" s="1" t="s">
        <v>124</v>
      </c>
      <c r="K242" s="1">
        <v>8</v>
      </c>
      <c r="L242" s="65">
        <f t="shared" si="3"/>
        <v>0.15180265654648956</v>
      </c>
      <c r="M242" s="1" t="s">
        <v>113</v>
      </c>
      <c r="N242" s="1"/>
    </row>
    <row r="243" spans="1:14" x14ac:dyDescent="0.25">
      <c r="A243" s="13">
        <v>45625</v>
      </c>
      <c r="B243" s="25" t="s">
        <v>664</v>
      </c>
      <c r="C243" s="1" t="s">
        <v>20</v>
      </c>
      <c r="D243" s="1" t="s">
        <v>162</v>
      </c>
      <c r="E243" s="1" t="s">
        <v>171</v>
      </c>
      <c r="F243" s="1" t="s">
        <v>145</v>
      </c>
      <c r="G243" s="1">
        <v>1</v>
      </c>
      <c r="H243" s="1" t="s">
        <v>54</v>
      </c>
      <c r="I243" s="1" t="s">
        <v>56</v>
      </c>
      <c r="J243" s="1" t="s">
        <v>132</v>
      </c>
      <c r="K243" s="1">
        <v>9</v>
      </c>
      <c r="L243" s="65">
        <f t="shared" si="3"/>
        <v>0.17077798861480076</v>
      </c>
      <c r="M243" s="1" t="s">
        <v>109</v>
      </c>
      <c r="N243" s="1"/>
    </row>
    <row r="244" spans="1:14" x14ac:dyDescent="0.25">
      <c r="A244" s="13">
        <v>45625</v>
      </c>
      <c r="B244" s="25" t="s">
        <v>664</v>
      </c>
      <c r="C244" s="1" t="s">
        <v>20</v>
      </c>
      <c r="D244" s="1" t="s">
        <v>162</v>
      </c>
      <c r="E244" s="1" t="s">
        <v>171</v>
      </c>
      <c r="F244" s="1" t="s">
        <v>145</v>
      </c>
      <c r="G244" s="1">
        <v>1</v>
      </c>
      <c r="H244" s="1" t="s">
        <v>81</v>
      </c>
      <c r="I244" s="1" t="s">
        <v>85</v>
      </c>
      <c r="J244" s="1" t="s">
        <v>144</v>
      </c>
      <c r="K244" s="1">
        <v>1</v>
      </c>
      <c r="L244" s="65">
        <f t="shared" si="3"/>
        <v>1.8975332068311195E-2</v>
      </c>
      <c r="M244" s="1" t="s">
        <v>109</v>
      </c>
      <c r="N244" s="1"/>
    </row>
    <row r="245" spans="1:14" x14ac:dyDescent="0.25">
      <c r="A245" s="13">
        <v>45625</v>
      </c>
      <c r="B245" s="25" t="s">
        <v>664</v>
      </c>
      <c r="C245" s="1" t="s">
        <v>20</v>
      </c>
      <c r="D245" s="1" t="s">
        <v>162</v>
      </c>
      <c r="E245" s="1" t="s">
        <v>171</v>
      </c>
      <c r="F245" s="1" t="s">
        <v>145</v>
      </c>
      <c r="G245" s="1">
        <v>1</v>
      </c>
      <c r="H245" s="1" t="s">
        <v>69</v>
      </c>
      <c r="I245" s="1" t="s">
        <v>70</v>
      </c>
      <c r="J245" s="1" t="s">
        <v>70</v>
      </c>
      <c r="K245" s="1">
        <v>2</v>
      </c>
      <c r="L245" s="65">
        <f t="shared" si="3"/>
        <v>3.7950664136622389E-2</v>
      </c>
      <c r="M245" s="1" t="s">
        <v>115</v>
      </c>
      <c r="N245" s="1"/>
    </row>
    <row r="246" spans="1:14" x14ac:dyDescent="0.25">
      <c r="A246" s="13">
        <v>45625</v>
      </c>
      <c r="B246" s="25" t="s">
        <v>664</v>
      </c>
      <c r="C246" s="1" t="s">
        <v>20</v>
      </c>
      <c r="D246" s="1" t="s">
        <v>162</v>
      </c>
      <c r="E246" s="1" t="s">
        <v>171</v>
      </c>
      <c r="F246" s="1" t="s">
        <v>145</v>
      </c>
      <c r="G246" s="1">
        <v>1</v>
      </c>
      <c r="H246" s="1" t="s">
        <v>44</v>
      </c>
      <c r="I246" s="1" t="s">
        <v>46</v>
      </c>
      <c r="J246" s="1" t="s">
        <v>172</v>
      </c>
      <c r="K246" s="1">
        <v>3</v>
      </c>
      <c r="L246" s="65">
        <f t="shared" si="3"/>
        <v>5.6925996204933584E-2</v>
      </c>
      <c r="M246" s="1" t="s">
        <v>113</v>
      </c>
      <c r="N246" s="1"/>
    </row>
    <row r="247" spans="1:14" x14ac:dyDescent="0.25">
      <c r="A247" s="13">
        <v>45625</v>
      </c>
      <c r="B247" s="25" t="s">
        <v>664</v>
      </c>
      <c r="C247" s="1" t="s">
        <v>20</v>
      </c>
      <c r="D247" s="1" t="s">
        <v>162</v>
      </c>
      <c r="E247" s="1" t="s">
        <v>171</v>
      </c>
      <c r="F247" s="1" t="s">
        <v>145</v>
      </c>
      <c r="G247" s="1">
        <v>1</v>
      </c>
      <c r="H247" s="1" t="s">
        <v>36</v>
      </c>
      <c r="I247" s="1" t="s">
        <v>37</v>
      </c>
      <c r="J247" s="1" t="s">
        <v>160</v>
      </c>
      <c r="K247" s="1">
        <v>2</v>
      </c>
      <c r="L247" s="65">
        <f t="shared" si="3"/>
        <v>3.7950664136622389E-2</v>
      </c>
      <c r="M247" s="1" t="s">
        <v>109</v>
      </c>
      <c r="N247" s="1"/>
    </row>
    <row r="248" spans="1:14" x14ac:dyDescent="0.25">
      <c r="A248" s="13">
        <v>45625</v>
      </c>
      <c r="B248" s="25" t="s">
        <v>664</v>
      </c>
      <c r="C248" s="1" t="s">
        <v>20</v>
      </c>
      <c r="D248" s="1" t="s">
        <v>162</v>
      </c>
      <c r="E248" s="1" t="s">
        <v>171</v>
      </c>
      <c r="F248" s="1" t="s">
        <v>145</v>
      </c>
      <c r="G248" s="1">
        <v>1</v>
      </c>
      <c r="H248" s="1" t="s">
        <v>73</v>
      </c>
      <c r="I248" s="1" t="s">
        <v>76</v>
      </c>
      <c r="J248" s="1" t="s">
        <v>126</v>
      </c>
      <c r="K248" s="1">
        <v>6</v>
      </c>
      <c r="L248" s="65">
        <f t="shared" si="3"/>
        <v>0.11385199240986717</v>
      </c>
      <c r="M248" s="1" t="s">
        <v>113</v>
      </c>
      <c r="N248" s="1"/>
    </row>
    <row r="249" spans="1:14" x14ac:dyDescent="0.25">
      <c r="A249" s="13">
        <v>45625</v>
      </c>
      <c r="B249" s="25" t="s">
        <v>664</v>
      </c>
      <c r="C249" s="1" t="s">
        <v>20</v>
      </c>
      <c r="D249" s="1" t="s">
        <v>162</v>
      </c>
      <c r="E249" s="1" t="s">
        <v>171</v>
      </c>
      <c r="F249" s="1" t="s">
        <v>145</v>
      </c>
      <c r="G249" s="1">
        <v>1</v>
      </c>
      <c r="H249" s="1" t="s">
        <v>73</v>
      </c>
      <c r="I249" s="1" t="s">
        <v>77</v>
      </c>
      <c r="J249" s="1" t="s">
        <v>77</v>
      </c>
      <c r="K249" s="1">
        <v>8</v>
      </c>
      <c r="L249" s="65">
        <f t="shared" si="3"/>
        <v>0.15180265654648956</v>
      </c>
      <c r="M249" s="1" t="s">
        <v>113</v>
      </c>
      <c r="N249" s="1"/>
    </row>
    <row r="250" spans="1:14" x14ac:dyDescent="0.25">
      <c r="A250" s="13">
        <v>45625</v>
      </c>
      <c r="B250" s="25" t="s">
        <v>664</v>
      </c>
      <c r="C250" s="1" t="s">
        <v>20</v>
      </c>
      <c r="D250" s="1" t="s">
        <v>162</v>
      </c>
      <c r="E250" s="1" t="s">
        <v>171</v>
      </c>
      <c r="F250" s="1" t="s">
        <v>145</v>
      </c>
      <c r="G250" s="1">
        <v>1</v>
      </c>
      <c r="H250" s="1" t="s">
        <v>44</v>
      </c>
      <c r="I250" s="1" t="s">
        <v>49</v>
      </c>
      <c r="J250" s="1" t="s">
        <v>173</v>
      </c>
      <c r="K250" s="1">
        <v>1</v>
      </c>
      <c r="L250" s="65">
        <f t="shared" si="3"/>
        <v>1.8975332068311195E-2</v>
      </c>
      <c r="M250" s="1" t="s">
        <v>113</v>
      </c>
      <c r="N250" s="1"/>
    </row>
    <row r="251" spans="1:14" x14ac:dyDescent="0.25">
      <c r="A251" s="13">
        <v>45625</v>
      </c>
      <c r="B251" s="25" t="s">
        <v>664</v>
      </c>
      <c r="C251" s="1" t="s">
        <v>20</v>
      </c>
      <c r="D251" s="1" t="s">
        <v>162</v>
      </c>
      <c r="E251" s="1" t="s">
        <v>171</v>
      </c>
      <c r="F251" s="1" t="s">
        <v>145</v>
      </c>
      <c r="G251" s="1">
        <v>1</v>
      </c>
      <c r="H251" s="1" t="s">
        <v>36</v>
      </c>
      <c r="I251" s="1" t="s">
        <v>37</v>
      </c>
      <c r="J251" s="1" t="s">
        <v>128</v>
      </c>
      <c r="K251" s="1">
        <v>1</v>
      </c>
      <c r="L251" s="65">
        <f t="shared" si="3"/>
        <v>1.8975332068311195E-2</v>
      </c>
      <c r="M251" s="1" t="s">
        <v>109</v>
      </c>
      <c r="N251" s="1" t="s">
        <v>174</v>
      </c>
    </row>
    <row r="252" spans="1:14" x14ac:dyDescent="0.25">
      <c r="A252" s="13">
        <v>45625</v>
      </c>
      <c r="B252" s="25" t="s">
        <v>664</v>
      </c>
      <c r="C252" s="1" t="s">
        <v>20</v>
      </c>
      <c r="D252" s="1" t="s">
        <v>162</v>
      </c>
      <c r="E252" s="1" t="s">
        <v>171</v>
      </c>
      <c r="F252" s="1" t="s">
        <v>159</v>
      </c>
      <c r="G252" s="1">
        <v>3</v>
      </c>
      <c r="H252" s="1" t="s">
        <v>44</v>
      </c>
      <c r="I252" s="1" t="s">
        <v>47</v>
      </c>
      <c r="J252" s="1" t="s">
        <v>150</v>
      </c>
      <c r="K252" s="1">
        <v>1</v>
      </c>
      <c r="L252" s="65">
        <f t="shared" si="3"/>
        <v>1.8975332068311195E-2</v>
      </c>
      <c r="M252" s="1" t="s">
        <v>109</v>
      </c>
      <c r="N252" s="1"/>
    </row>
    <row r="253" spans="1:14" x14ac:dyDescent="0.25">
      <c r="A253" s="13">
        <v>45625</v>
      </c>
      <c r="B253" s="25" t="s">
        <v>664</v>
      </c>
      <c r="C253" s="1" t="s">
        <v>20</v>
      </c>
      <c r="D253" s="1" t="s">
        <v>162</v>
      </c>
      <c r="E253" s="1" t="s">
        <v>171</v>
      </c>
      <c r="F253" s="1" t="s">
        <v>159</v>
      </c>
      <c r="G253" s="1">
        <v>3</v>
      </c>
      <c r="H253" s="1" t="s">
        <v>81</v>
      </c>
      <c r="I253" s="1" t="s">
        <v>82</v>
      </c>
      <c r="J253" s="1" t="s">
        <v>138</v>
      </c>
      <c r="K253" s="1">
        <v>10</v>
      </c>
      <c r="L253" s="65">
        <f t="shared" si="3"/>
        <v>0.18975332068311196</v>
      </c>
      <c r="M253" s="1" t="s">
        <v>116</v>
      </c>
      <c r="N253" s="1"/>
    </row>
    <row r="254" spans="1:14" x14ac:dyDescent="0.25">
      <c r="A254" s="13">
        <v>45625</v>
      </c>
      <c r="B254" s="25" t="s">
        <v>664</v>
      </c>
      <c r="C254" s="1" t="s">
        <v>20</v>
      </c>
      <c r="D254" s="1" t="s">
        <v>162</v>
      </c>
      <c r="E254" s="1" t="s">
        <v>171</v>
      </c>
      <c r="F254" s="1" t="s">
        <v>159</v>
      </c>
      <c r="G254" s="1">
        <v>3</v>
      </c>
      <c r="H254" s="1" t="s">
        <v>65</v>
      </c>
      <c r="I254" s="1" t="s">
        <v>66</v>
      </c>
      <c r="J254" s="1" t="s">
        <v>139</v>
      </c>
      <c r="K254" s="1">
        <v>1</v>
      </c>
      <c r="L254" s="65">
        <f t="shared" si="3"/>
        <v>1.8975332068311195E-2</v>
      </c>
      <c r="M254" s="1" t="s">
        <v>121</v>
      </c>
      <c r="N254" s="1"/>
    </row>
    <row r="255" spans="1:14" x14ac:dyDescent="0.25">
      <c r="A255" s="13">
        <v>45625</v>
      </c>
      <c r="B255" s="25" t="s">
        <v>664</v>
      </c>
      <c r="C255" s="1" t="s">
        <v>20</v>
      </c>
      <c r="D255" s="1" t="s">
        <v>162</v>
      </c>
      <c r="E255" s="1" t="s">
        <v>171</v>
      </c>
      <c r="F255" s="1" t="s">
        <v>159</v>
      </c>
      <c r="G255" s="1">
        <v>3</v>
      </c>
      <c r="H255" s="1" t="s">
        <v>73</v>
      </c>
      <c r="I255" s="1" t="s">
        <v>74</v>
      </c>
      <c r="J255" s="1" t="s">
        <v>140</v>
      </c>
      <c r="K255" s="1">
        <v>1</v>
      </c>
      <c r="L255" s="65">
        <f t="shared" si="3"/>
        <v>1.8975332068311195E-2</v>
      </c>
      <c r="M255" s="1" t="s">
        <v>113</v>
      </c>
      <c r="N255" s="1"/>
    </row>
    <row r="256" spans="1:14" x14ac:dyDescent="0.25">
      <c r="A256" s="13">
        <v>45625</v>
      </c>
      <c r="B256" s="25" t="s">
        <v>664</v>
      </c>
      <c r="C256" s="1" t="s">
        <v>20</v>
      </c>
      <c r="D256" s="1" t="s">
        <v>162</v>
      </c>
      <c r="E256" s="1" t="s">
        <v>171</v>
      </c>
      <c r="F256" s="1" t="s">
        <v>159</v>
      </c>
      <c r="G256" s="1">
        <v>3</v>
      </c>
      <c r="H256" s="1" t="s">
        <v>73</v>
      </c>
      <c r="I256" s="1" t="s">
        <v>76</v>
      </c>
      <c r="J256" s="1" t="s">
        <v>126</v>
      </c>
      <c r="K256" s="1">
        <v>1</v>
      </c>
      <c r="L256" s="65">
        <f t="shared" si="3"/>
        <v>1.8975332068311195E-2</v>
      </c>
      <c r="M256" s="1" t="s">
        <v>113</v>
      </c>
      <c r="N256" s="1"/>
    </row>
    <row r="257" spans="1:14" x14ac:dyDescent="0.25">
      <c r="A257" s="13">
        <v>45625</v>
      </c>
      <c r="B257" s="25" t="s">
        <v>664</v>
      </c>
      <c r="C257" s="1" t="s">
        <v>20</v>
      </c>
      <c r="D257" s="1" t="s">
        <v>162</v>
      </c>
      <c r="E257" s="1" t="s">
        <v>171</v>
      </c>
      <c r="F257" s="1" t="s">
        <v>159</v>
      </c>
      <c r="G257" s="1">
        <v>3</v>
      </c>
      <c r="H257" s="1" t="s">
        <v>44</v>
      </c>
      <c r="I257" s="1" t="s">
        <v>47</v>
      </c>
      <c r="J257" s="1" t="s">
        <v>124</v>
      </c>
      <c r="K257" s="1">
        <v>1</v>
      </c>
      <c r="L257" s="65">
        <f t="shared" si="3"/>
        <v>1.8975332068311195E-2</v>
      </c>
      <c r="M257" s="1" t="s">
        <v>113</v>
      </c>
      <c r="N257" s="1"/>
    </row>
    <row r="258" spans="1:14" x14ac:dyDescent="0.25">
      <c r="A258" s="13">
        <v>45625</v>
      </c>
      <c r="B258" s="25" t="s">
        <v>664</v>
      </c>
      <c r="C258" s="1" t="s">
        <v>20</v>
      </c>
      <c r="D258" s="1" t="s">
        <v>162</v>
      </c>
      <c r="E258" s="1" t="s">
        <v>171</v>
      </c>
      <c r="F258" s="1" t="s">
        <v>159</v>
      </c>
      <c r="G258" s="1">
        <v>3</v>
      </c>
      <c r="H258" s="1" t="s">
        <v>36</v>
      </c>
      <c r="I258" s="1" t="s">
        <v>37</v>
      </c>
      <c r="J258" s="1" t="s">
        <v>128</v>
      </c>
      <c r="K258" s="1">
        <v>6</v>
      </c>
      <c r="L258" s="65">
        <f t="shared" si="3"/>
        <v>0.11385199240986717</v>
      </c>
      <c r="M258" s="1" t="s">
        <v>109</v>
      </c>
      <c r="N258" s="1"/>
    </row>
    <row r="259" spans="1:14" x14ac:dyDescent="0.25">
      <c r="A259" s="13">
        <v>45625</v>
      </c>
      <c r="B259" s="25" t="s">
        <v>664</v>
      </c>
      <c r="C259" s="1" t="s">
        <v>20</v>
      </c>
      <c r="D259" s="1" t="s">
        <v>162</v>
      </c>
      <c r="E259" s="1" t="s">
        <v>171</v>
      </c>
      <c r="F259" s="1" t="s">
        <v>159</v>
      </c>
      <c r="G259" s="1">
        <v>3</v>
      </c>
      <c r="H259" s="1" t="s">
        <v>71</v>
      </c>
      <c r="I259" s="1" t="s">
        <v>72</v>
      </c>
      <c r="J259" s="1" t="s">
        <v>156</v>
      </c>
      <c r="K259" s="1">
        <v>1</v>
      </c>
      <c r="L259" s="65">
        <f t="shared" si="3"/>
        <v>1.8975332068311195E-2</v>
      </c>
      <c r="M259" s="1" t="s">
        <v>113</v>
      </c>
      <c r="N259" s="1"/>
    </row>
    <row r="260" spans="1:14" x14ac:dyDescent="0.25">
      <c r="A260" s="13">
        <v>45625</v>
      </c>
      <c r="B260" s="25" t="s">
        <v>664</v>
      </c>
      <c r="C260" s="1" t="s">
        <v>20</v>
      </c>
      <c r="D260" s="1" t="s">
        <v>162</v>
      </c>
      <c r="E260" s="1" t="s">
        <v>171</v>
      </c>
      <c r="F260" s="1" t="s">
        <v>159</v>
      </c>
      <c r="G260" s="1">
        <v>3</v>
      </c>
      <c r="H260" s="1" t="s">
        <v>60</v>
      </c>
      <c r="I260" s="1" t="s">
        <v>63</v>
      </c>
      <c r="J260" s="1" t="s">
        <v>112</v>
      </c>
      <c r="K260" s="1">
        <v>5</v>
      </c>
      <c r="L260" s="65">
        <f t="shared" si="3"/>
        <v>9.4876660341555979E-2</v>
      </c>
      <c r="M260" s="1" t="s">
        <v>113</v>
      </c>
      <c r="N260" s="1"/>
    </row>
    <row r="261" spans="1:14" x14ac:dyDescent="0.25">
      <c r="A261" s="13">
        <v>45625</v>
      </c>
      <c r="B261" s="25" t="s">
        <v>664</v>
      </c>
      <c r="C261" s="1" t="s">
        <v>20</v>
      </c>
      <c r="D261" s="1" t="s">
        <v>162</v>
      </c>
      <c r="E261" s="1" t="s">
        <v>171</v>
      </c>
      <c r="F261" s="1" t="s">
        <v>159</v>
      </c>
      <c r="G261" s="1">
        <v>3</v>
      </c>
      <c r="H261" s="1" t="s">
        <v>81</v>
      </c>
      <c r="I261" s="1" t="s">
        <v>85</v>
      </c>
      <c r="J261" s="1" t="s">
        <v>108</v>
      </c>
      <c r="K261" s="1">
        <v>16</v>
      </c>
      <c r="L261" s="65">
        <f t="shared" si="3"/>
        <v>0.30360531309297911</v>
      </c>
      <c r="M261" s="1" t="s">
        <v>109</v>
      </c>
      <c r="N261" s="1"/>
    </row>
    <row r="262" spans="1:14" x14ac:dyDescent="0.25">
      <c r="A262" s="13">
        <v>45625</v>
      </c>
      <c r="B262" s="25" t="s">
        <v>664</v>
      </c>
      <c r="C262" s="1" t="s">
        <v>20</v>
      </c>
      <c r="D262" s="1" t="s">
        <v>162</v>
      </c>
      <c r="E262" s="1" t="s">
        <v>171</v>
      </c>
      <c r="F262" s="1" t="s">
        <v>159</v>
      </c>
      <c r="G262" s="1">
        <v>3</v>
      </c>
      <c r="H262" s="1" t="s">
        <v>44</v>
      </c>
      <c r="I262" s="1" t="s">
        <v>52</v>
      </c>
      <c r="J262" s="1" t="s">
        <v>133</v>
      </c>
      <c r="K262" s="1">
        <v>1</v>
      </c>
      <c r="L262" s="65">
        <f t="shared" si="3"/>
        <v>1.8975332068311195E-2</v>
      </c>
      <c r="M262" s="1" t="s">
        <v>119</v>
      </c>
      <c r="N262" s="1"/>
    </row>
    <row r="263" spans="1:14" x14ac:dyDescent="0.25">
      <c r="A263" s="13">
        <v>45625</v>
      </c>
      <c r="B263" s="25" t="s">
        <v>664</v>
      </c>
      <c r="C263" s="1" t="s">
        <v>20</v>
      </c>
      <c r="D263" s="1" t="s">
        <v>162</v>
      </c>
      <c r="E263" s="1" t="s">
        <v>171</v>
      </c>
      <c r="F263" s="1" t="s">
        <v>159</v>
      </c>
      <c r="G263" s="1">
        <v>3</v>
      </c>
      <c r="H263" s="1" t="s">
        <v>44</v>
      </c>
      <c r="I263" s="1" t="s">
        <v>47</v>
      </c>
      <c r="J263" s="63" t="s">
        <v>114</v>
      </c>
      <c r="K263" s="1">
        <v>11</v>
      </c>
      <c r="L263" s="65">
        <f t="shared" ref="L263:L326" si="4">(K263/$P$7)*100</f>
        <v>0.20872865275142313</v>
      </c>
      <c r="M263" s="1" t="s">
        <v>109</v>
      </c>
      <c r="N263" s="1"/>
    </row>
    <row r="264" spans="1:14" x14ac:dyDescent="0.25">
      <c r="A264" s="13">
        <v>45625</v>
      </c>
      <c r="B264" s="25" t="s">
        <v>664</v>
      </c>
      <c r="C264" s="1" t="s">
        <v>20</v>
      </c>
      <c r="D264" s="1" t="s">
        <v>162</v>
      </c>
      <c r="E264" s="1" t="s">
        <v>171</v>
      </c>
      <c r="F264" s="1" t="s">
        <v>159</v>
      </c>
      <c r="G264" s="1">
        <v>3</v>
      </c>
      <c r="H264" s="1" t="s">
        <v>54</v>
      </c>
      <c r="I264" s="1" t="s">
        <v>55</v>
      </c>
      <c r="J264" s="1" t="s">
        <v>122</v>
      </c>
      <c r="K264" s="1">
        <v>1</v>
      </c>
      <c r="L264" s="65">
        <f t="shared" si="4"/>
        <v>1.8975332068311195E-2</v>
      </c>
      <c r="M264" s="1" t="s">
        <v>109</v>
      </c>
      <c r="N264" s="1"/>
    </row>
    <row r="265" spans="1:14" x14ac:dyDescent="0.25">
      <c r="A265" s="13">
        <v>45625</v>
      </c>
      <c r="B265" s="25" t="s">
        <v>664</v>
      </c>
      <c r="C265" s="1" t="s">
        <v>20</v>
      </c>
      <c r="D265" s="1" t="s">
        <v>162</v>
      </c>
      <c r="E265" s="1" t="s">
        <v>171</v>
      </c>
      <c r="F265" s="1" t="s">
        <v>159</v>
      </c>
      <c r="G265" s="1">
        <v>3</v>
      </c>
      <c r="H265" s="1" t="s">
        <v>54</v>
      </c>
      <c r="I265" s="1" t="s">
        <v>55</v>
      </c>
      <c r="J265" s="1" t="s">
        <v>120</v>
      </c>
      <c r="K265" s="1">
        <v>7</v>
      </c>
      <c r="L265" s="65">
        <f t="shared" si="4"/>
        <v>0.13282732447817835</v>
      </c>
      <c r="M265" s="1" t="s">
        <v>121</v>
      </c>
      <c r="N265" s="1"/>
    </row>
    <row r="266" spans="1:14" x14ac:dyDescent="0.25">
      <c r="A266" s="13">
        <v>45625</v>
      </c>
      <c r="B266" s="25" t="s">
        <v>664</v>
      </c>
      <c r="C266" s="1" t="s">
        <v>20</v>
      </c>
      <c r="D266" s="1" t="s">
        <v>162</v>
      </c>
      <c r="E266" s="1" t="s">
        <v>171</v>
      </c>
      <c r="F266" s="1" t="s">
        <v>159</v>
      </c>
      <c r="G266" s="1">
        <v>3</v>
      </c>
      <c r="H266" s="1" t="s">
        <v>79</v>
      </c>
      <c r="I266" s="1" t="s">
        <v>80</v>
      </c>
      <c r="J266" s="1" t="s">
        <v>142</v>
      </c>
      <c r="K266" s="1">
        <v>1</v>
      </c>
      <c r="L266" s="65">
        <f t="shared" si="4"/>
        <v>1.8975332068311195E-2</v>
      </c>
      <c r="M266" s="1" t="s">
        <v>113</v>
      </c>
      <c r="N266" s="1"/>
    </row>
    <row r="267" spans="1:14" x14ac:dyDescent="0.25">
      <c r="A267" s="13">
        <v>45625</v>
      </c>
      <c r="B267" s="25" t="s">
        <v>664</v>
      </c>
      <c r="C267" s="1" t="s">
        <v>20</v>
      </c>
      <c r="D267" s="1" t="s">
        <v>162</v>
      </c>
      <c r="E267" s="1" t="s">
        <v>171</v>
      </c>
      <c r="F267" s="1" t="s">
        <v>159</v>
      </c>
      <c r="G267" s="1">
        <v>3</v>
      </c>
      <c r="H267" s="1" t="s">
        <v>65</v>
      </c>
      <c r="I267" s="1" t="s">
        <v>66</v>
      </c>
      <c r="J267" s="1" t="s">
        <v>139</v>
      </c>
      <c r="K267" s="1">
        <v>1</v>
      </c>
      <c r="L267" s="65">
        <f t="shared" si="4"/>
        <v>1.8975332068311195E-2</v>
      </c>
      <c r="M267" s="1" t="s">
        <v>121</v>
      </c>
      <c r="N267" s="1" t="s">
        <v>175</v>
      </c>
    </row>
    <row r="268" spans="1:14" x14ac:dyDescent="0.25">
      <c r="A268" s="13">
        <v>45625</v>
      </c>
      <c r="B268" s="25" t="s">
        <v>664</v>
      </c>
      <c r="C268" s="1" t="s">
        <v>20</v>
      </c>
      <c r="D268" s="1" t="s">
        <v>162</v>
      </c>
      <c r="E268" s="1" t="s">
        <v>171</v>
      </c>
      <c r="F268" s="1" t="s">
        <v>159</v>
      </c>
      <c r="G268" s="1">
        <v>3</v>
      </c>
      <c r="H268" s="1" t="s">
        <v>41</v>
      </c>
      <c r="I268" s="1" t="s">
        <v>43</v>
      </c>
      <c r="J268" s="1" t="s">
        <v>176</v>
      </c>
      <c r="K268" s="1">
        <v>1</v>
      </c>
      <c r="L268" s="65">
        <f t="shared" si="4"/>
        <v>1.8975332068311195E-2</v>
      </c>
      <c r="M268" s="1" t="s">
        <v>123</v>
      </c>
      <c r="N268" s="1"/>
    </row>
    <row r="269" spans="1:14" x14ac:dyDescent="0.25">
      <c r="A269" s="13">
        <v>45625</v>
      </c>
      <c r="B269" s="25" t="s">
        <v>664</v>
      </c>
      <c r="C269" s="1" t="s">
        <v>20</v>
      </c>
      <c r="D269" s="1" t="s">
        <v>162</v>
      </c>
      <c r="E269" s="1" t="s">
        <v>171</v>
      </c>
      <c r="F269" s="1" t="s">
        <v>159</v>
      </c>
      <c r="G269" s="1">
        <v>3</v>
      </c>
      <c r="H269" s="1" t="s">
        <v>90</v>
      </c>
      <c r="I269" s="1" t="s">
        <v>91</v>
      </c>
      <c r="J269" s="1" t="s">
        <v>91</v>
      </c>
      <c r="K269" s="1">
        <v>1</v>
      </c>
      <c r="L269" s="65">
        <f t="shared" si="4"/>
        <v>1.8975332068311195E-2</v>
      </c>
      <c r="M269" s="1" t="s">
        <v>113</v>
      </c>
      <c r="N269" s="1"/>
    </row>
    <row r="270" spans="1:14" x14ac:dyDescent="0.25">
      <c r="A270" s="13">
        <v>45638</v>
      </c>
      <c r="B270" s="1" t="s">
        <v>33</v>
      </c>
      <c r="C270" s="1" t="s">
        <v>177</v>
      </c>
      <c r="D270" s="1" t="s">
        <v>178</v>
      </c>
      <c r="E270" s="1" t="s">
        <v>179</v>
      </c>
      <c r="F270" s="1" t="s">
        <v>130</v>
      </c>
      <c r="G270" s="1">
        <v>4</v>
      </c>
      <c r="H270" s="1" t="s">
        <v>41</v>
      </c>
      <c r="I270" s="1" t="s">
        <v>42</v>
      </c>
      <c r="J270" s="1" t="s">
        <v>161</v>
      </c>
      <c r="K270" s="1">
        <v>154</v>
      </c>
      <c r="L270" s="65">
        <f t="shared" si="4"/>
        <v>2.9222011385199238</v>
      </c>
      <c r="M270" s="1" t="s">
        <v>109</v>
      </c>
      <c r="N270" s="1"/>
    </row>
    <row r="271" spans="1:14" x14ac:dyDescent="0.25">
      <c r="A271" s="13">
        <v>45638</v>
      </c>
      <c r="B271" s="1" t="s">
        <v>33</v>
      </c>
      <c r="C271" s="1" t="s">
        <v>177</v>
      </c>
      <c r="D271" s="1" t="s">
        <v>178</v>
      </c>
      <c r="E271" s="1" t="s">
        <v>179</v>
      </c>
      <c r="F271" s="1" t="s">
        <v>130</v>
      </c>
      <c r="G271" s="1">
        <v>4</v>
      </c>
      <c r="H271" s="1" t="s">
        <v>36</v>
      </c>
      <c r="I271" s="1" t="s">
        <v>40</v>
      </c>
      <c r="J271" s="1" t="s">
        <v>40</v>
      </c>
      <c r="K271" s="1">
        <v>1</v>
      </c>
      <c r="L271" s="65">
        <f t="shared" si="4"/>
        <v>1.8975332068311195E-2</v>
      </c>
      <c r="M271" s="1" t="s">
        <v>113</v>
      </c>
      <c r="N271" s="1"/>
    </row>
    <row r="272" spans="1:14" x14ac:dyDescent="0.25">
      <c r="A272" s="13">
        <v>45638</v>
      </c>
      <c r="B272" s="1" t="s">
        <v>33</v>
      </c>
      <c r="C272" s="1" t="s">
        <v>177</v>
      </c>
      <c r="D272" s="1" t="s">
        <v>178</v>
      </c>
      <c r="E272" s="1" t="s">
        <v>179</v>
      </c>
      <c r="F272" s="1" t="s">
        <v>130</v>
      </c>
      <c r="G272" s="1">
        <v>4</v>
      </c>
      <c r="H272" s="1" t="s">
        <v>79</v>
      </c>
      <c r="I272" s="1" t="s">
        <v>80</v>
      </c>
      <c r="J272" s="1" t="s">
        <v>142</v>
      </c>
      <c r="K272" s="1">
        <v>9</v>
      </c>
      <c r="L272" s="65">
        <f t="shared" si="4"/>
        <v>0.17077798861480076</v>
      </c>
      <c r="M272" s="1" t="s">
        <v>113</v>
      </c>
      <c r="N272" s="1"/>
    </row>
    <row r="273" spans="1:14" x14ac:dyDescent="0.25">
      <c r="A273" s="13">
        <v>45638</v>
      </c>
      <c r="B273" s="1" t="s">
        <v>33</v>
      </c>
      <c r="C273" s="1" t="s">
        <v>177</v>
      </c>
      <c r="D273" s="1" t="s">
        <v>178</v>
      </c>
      <c r="E273" s="1" t="s">
        <v>179</v>
      </c>
      <c r="F273" s="1" t="s">
        <v>130</v>
      </c>
      <c r="G273" s="1">
        <v>4</v>
      </c>
      <c r="H273" s="1" t="s">
        <v>54</v>
      </c>
      <c r="I273" s="1" t="s">
        <v>55</v>
      </c>
      <c r="J273" s="1" t="s">
        <v>122</v>
      </c>
      <c r="K273" s="1">
        <v>17</v>
      </c>
      <c r="L273" s="65">
        <f t="shared" si="4"/>
        <v>0.32258064516129031</v>
      </c>
      <c r="M273" s="1" t="s">
        <v>109</v>
      </c>
      <c r="N273" s="1"/>
    </row>
    <row r="274" spans="1:14" x14ac:dyDescent="0.25">
      <c r="A274" s="13">
        <v>45638</v>
      </c>
      <c r="B274" s="1" t="s">
        <v>33</v>
      </c>
      <c r="C274" s="1" t="s">
        <v>177</v>
      </c>
      <c r="D274" s="1" t="s">
        <v>178</v>
      </c>
      <c r="E274" s="1" t="s">
        <v>179</v>
      </c>
      <c r="F274" s="1" t="s">
        <v>130</v>
      </c>
      <c r="G274" s="1">
        <v>4</v>
      </c>
      <c r="H274" s="1" t="s">
        <v>81</v>
      </c>
      <c r="I274" s="1" t="s">
        <v>85</v>
      </c>
      <c r="J274" s="1" t="s">
        <v>108</v>
      </c>
      <c r="K274" s="1">
        <v>3</v>
      </c>
      <c r="L274" s="65">
        <f t="shared" si="4"/>
        <v>5.6925996204933584E-2</v>
      </c>
      <c r="M274" s="1" t="s">
        <v>109</v>
      </c>
      <c r="N274" s="1"/>
    </row>
    <row r="275" spans="1:14" x14ac:dyDescent="0.25">
      <c r="A275" s="13">
        <v>45638</v>
      </c>
      <c r="B275" s="1" t="s">
        <v>33</v>
      </c>
      <c r="C275" s="1" t="s">
        <v>177</v>
      </c>
      <c r="D275" s="1" t="s">
        <v>178</v>
      </c>
      <c r="E275" s="1" t="s">
        <v>179</v>
      </c>
      <c r="F275" s="1" t="s">
        <v>130</v>
      </c>
      <c r="G275" s="1">
        <v>4</v>
      </c>
      <c r="H275" s="1" t="s">
        <v>36</v>
      </c>
      <c r="I275" s="1" t="s">
        <v>37</v>
      </c>
      <c r="J275" s="1" t="s">
        <v>128</v>
      </c>
      <c r="K275" s="1">
        <v>5</v>
      </c>
      <c r="L275" s="65">
        <f t="shared" si="4"/>
        <v>9.4876660341555979E-2</v>
      </c>
      <c r="M275" s="1" t="s">
        <v>109</v>
      </c>
      <c r="N275" s="1"/>
    </row>
    <row r="276" spans="1:14" x14ac:dyDescent="0.25">
      <c r="A276" s="13">
        <v>45638</v>
      </c>
      <c r="B276" s="1" t="s">
        <v>33</v>
      </c>
      <c r="C276" s="1" t="s">
        <v>177</v>
      </c>
      <c r="D276" s="1" t="s">
        <v>178</v>
      </c>
      <c r="E276" s="1" t="s">
        <v>179</v>
      </c>
      <c r="F276" s="1" t="s">
        <v>130</v>
      </c>
      <c r="G276" s="1">
        <v>4</v>
      </c>
      <c r="H276" s="1" t="s">
        <v>36</v>
      </c>
      <c r="I276" s="1" t="s">
        <v>37</v>
      </c>
      <c r="J276" s="1" t="s">
        <v>180</v>
      </c>
      <c r="K276" s="1">
        <v>1</v>
      </c>
      <c r="L276" s="65">
        <f t="shared" si="4"/>
        <v>1.8975332068311195E-2</v>
      </c>
      <c r="M276" s="1" t="s">
        <v>109</v>
      </c>
      <c r="N276" s="1"/>
    </row>
    <row r="277" spans="1:14" x14ac:dyDescent="0.25">
      <c r="A277" s="13">
        <v>45638</v>
      </c>
      <c r="B277" s="1" t="s">
        <v>33</v>
      </c>
      <c r="C277" s="1" t="s">
        <v>177</v>
      </c>
      <c r="D277" s="1" t="s">
        <v>178</v>
      </c>
      <c r="E277" s="1" t="s">
        <v>179</v>
      </c>
      <c r="F277" s="1" t="s">
        <v>130</v>
      </c>
      <c r="G277" s="1">
        <v>4</v>
      </c>
      <c r="H277" s="1" t="s">
        <v>54</v>
      </c>
      <c r="I277" s="1" t="s">
        <v>56</v>
      </c>
      <c r="J277" s="1" t="s">
        <v>132</v>
      </c>
      <c r="K277" s="1">
        <v>9</v>
      </c>
      <c r="L277" s="65">
        <f t="shared" si="4"/>
        <v>0.17077798861480076</v>
      </c>
      <c r="M277" s="1" t="s">
        <v>109</v>
      </c>
      <c r="N277" s="1"/>
    </row>
    <row r="278" spans="1:14" x14ac:dyDescent="0.25">
      <c r="A278" s="13">
        <v>45638</v>
      </c>
      <c r="B278" s="1" t="s">
        <v>33</v>
      </c>
      <c r="C278" s="1" t="s">
        <v>177</v>
      </c>
      <c r="D278" s="1" t="s">
        <v>178</v>
      </c>
      <c r="E278" s="1" t="s">
        <v>179</v>
      </c>
      <c r="F278" s="1" t="s">
        <v>130</v>
      </c>
      <c r="G278" s="1">
        <v>4</v>
      </c>
      <c r="H278" s="1" t="s">
        <v>54</v>
      </c>
      <c r="I278" s="1" t="s">
        <v>56</v>
      </c>
      <c r="J278" s="1" t="s">
        <v>168</v>
      </c>
      <c r="K278" s="1">
        <v>4</v>
      </c>
      <c r="L278" s="65">
        <f t="shared" si="4"/>
        <v>7.5901328273244778E-2</v>
      </c>
      <c r="M278" s="1" t="s">
        <v>109</v>
      </c>
      <c r="N278" s="1"/>
    </row>
    <row r="279" spans="1:14" x14ac:dyDescent="0.25">
      <c r="A279" s="13">
        <v>45638</v>
      </c>
      <c r="B279" s="1" t="s">
        <v>33</v>
      </c>
      <c r="C279" s="1" t="s">
        <v>177</v>
      </c>
      <c r="D279" s="1" t="s">
        <v>178</v>
      </c>
      <c r="E279" s="1" t="s">
        <v>179</v>
      </c>
      <c r="F279" s="1" t="s">
        <v>130</v>
      </c>
      <c r="G279" s="1">
        <v>4</v>
      </c>
      <c r="H279" s="1" t="s">
        <v>44</v>
      </c>
      <c r="I279" s="1" t="s">
        <v>51</v>
      </c>
      <c r="J279" s="1" t="s">
        <v>181</v>
      </c>
      <c r="K279" s="1">
        <v>1</v>
      </c>
      <c r="L279" s="65">
        <f t="shared" si="4"/>
        <v>1.8975332068311195E-2</v>
      </c>
      <c r="M279" s="1" t="s">
        <v>109</v>
      </c>
      <c r="N279" s="1"/>
    </row>
    <row r="280" spans="1:14" x14ac:dyDescent="0.25">
      <c r="A280" s="13">
        <v>45638</v>
      </c>
      <c r="B280" s="1" t="s">
        <v>33</v>
      </c>
      <c r="C280" s="1" t="s">
        <v>177</v>
      </c>
      <c r="D280" s="1" t="s">
        <v>178</v>
      </c>
      <c r="E280" s="1" t="s">
        <v>179</v>
      </c>
      <c r="F280" s="1" t="s">
        <v>130</v>
      </c>
      <c r="G280" s="1">
        <v>4</v>
      </c>
      <c r="H280" s="1" t="s">
        <v>44</v>
      </c>
      <c r="I280" s="1" t="s">
        <v>47</v>
      </c>
      <c r="J280" s="63" t="s">
        <v>114</v>
      </c>
      <c r="K280" s="1">
        <v>6</v>
      </c>
      <c r="L280" s="65">
        <f t="shared" si="4"/>
        <v>0.11385199240986717</v>
      </c>
      <c r="M280" s="1" t="s">
        <v>109</v>
      </c>
      <c r="N280" s="1"/>
    </row>
    <row r="281" spans="1:14" x14ac:dyDescent="0.25">
      <c r="A281" s="13">
        <v>45638</v>
      </c>
      <c r="B281" s="1" t="s">
        <v>33</v>
      </c>
      <c r="C281" s="1" t="s">
        <v>177</v>
      </c>
      <c r="D281" s="1" t="s">
        <v>182</v>
      </c>
      <c r="E281" s="1" t="s">
        <v>183</v>
      </c>
      <c r="F281" s="1" t="s">
        <v>130</v>
      </c>
      <c r="G281" s="1">
        <v>3</v>
      </c>
      <c r="H281" s="1" t="s">
        <v>41</v>
      </c>
      <c r="I281" s="1" t="s">
        <v>42</v>
      </c>
      <c r="J281" s="1" t="s">
        <v>161</v>
      </c>
      <c r="K281" s="1">
        <v>63</v>
      </c>
      <c r="L281" s="65">
        <f t="shared" si="4"/>
        <v>1.1954459203036054</v>
      </c>
      <c r="M281" s="1" t="s">
        <v>109</v>
      </c>
      <c r="N281" s="1"/>
    </row>
    <row r="282" spans="1:14" x14ac:dyDescent="0.25">
      <c r="A282" s="13">
        <v>45638</v>
      </c>
      <c r="B282" s="1" t="s">
        <v>33</v>
      </c>
      <c r="C282" s="1" t="s">
        <v>177</v>
      </c>
      <c r="D282" s="1" t="s">
        <v>182</v>
      </c>
      <c r="E282" s="1" t="s">
        <v>183</v>
      </c>
      <c r="F282" s="1" t="s">
        <v>130</v>
      </c>
      <c r="G282" s="1">
        <v>3</v>
      </c>
      <c r="H282" s="1" t="s">
        <v>60</v>
      </c>
      <c r="I282" s="1" t="s">
        <v>61</v>
      </c>
      <c r="J282" s="1" t="s">
        <v>184</v>
      </c>
      <c r="K282" s="1">
        <v>1</v>
      </c>
      <c r="L282" s="65">
        <f t="shared" si="4"/>
        <v>1.8975332068311195E-2</v>
      </c>
      <c r="M282" s="1" t="s">
        <v>113</v>
      </c>
      <c r="N282" s="1"/>
    </row>
    <row r="283" spans="1:14" x14ac:dyDescent="0.25">
      <c r="A283" s="13">
        <v>45638</v>
      </c>
      <c r="B283" s="1" t="s">
        <v>33</v>
      </c>
      <c r="C283" s="1" t="s">
        <v>177</v>
      </c>
      <c r="D283" s="1" t="s">
        <v>182</v>
      </c>
      <c r="E283" s="1" t="s">
        <v>183</v>
      </c>
      <c r="F283" s="1" t="s">
        <v>130</v>
      </c>
      <c r="G283" s="1">
        <v>3</v>
      </c>
      <c r="H283" s="1" t="s">
        <v>60</v>
      </c>
      <c r="I283" s="1" t="s">
        <v>64</v>
      </c>
      <c r="J283" s="1" t="s">
        <v>118</v>
      </c>
      <c r="K283" s="1">
        <v>2</v>
      </c>
      <c r="L283" s="65">
        <f t="shared" si="4"/>
        <v>3.7950664136622389E-2</v>
      </c>
      <c r="M283" s="1" t="s">
        <v>113</v>
      </c>
      <c r="N283" s="1"/>
    </row>
    <row r="284" spans="1:14" x14ac:dyDescent="0.25">
      <c r="A284" s="13">
        <v>45638</v>
      </c>
      <c r="B284" s="1" t="s">
        <v>33</v>
      </c>
      <c r="C284" s="1" t="s">
        <v>177</v>
      </c>
      <c r="D284" s="1" t="s">
        <v>182</v>
      </c>
      <c r="E284" s="1" t="s">
        <v>183</v>
      </c>
      <c r="F284" s="1" t="s">
        <v>130</v>
      </c>
      <c r="G284" s="1">
        <v>3</v>
      </c>
      <c r="H284" s="1" t="s">
        <v>73</v>
      </c>
      <c r="I284" s="1" t="s">
        <v>74</v>
      </c>
      <c r="J284" s="1" t="s">
        <v>140</v>
      </c>
      <c r="K284" s="1">
        <v>1</v>
      </c>
      <c r="L284" s="65">
        <f t="shared" si="4"/>
        <v>1.8975332068311195E-2</v>
      </c>
      <c r="M284" s="1" t="s">
        <v>113</v>
      </c>
      <c r="N284" s="1"/>
    </row>
    <row r="285" spans="1:14" x14ac:dyDescent="0.25">
      <c r="A285" s="13">
        <v>45638</v>
      </c>
      <c r="B285" s="1" t="s">
        <v>33</v>
      </c>
      <c r="C285" s="1" t="s">
        <v>177</v>
      </c>
      <c r="D285" s="1" t="s">
        <v>182</v>
      </c>
      <c r="E285" s="1" t="s">
        <v>183</v>
      </c>
      <c r="F285" s="1" t="s">
        <v>130</v>
      </c>
      <c r="G285" s="1">
        <v>3</v>
      </c>
      <c r="H285" s="1" t="s">
        <v>81</v>
      </c>
      <c r="I285" s="1" t="s">
        <v>85</v>
      </c>
      <c r="J285" s="1" t="s">
        <v>108</v>
      </c>
      <c r="K285" s="1">
        <v>1</v>
      </c>
      <c r="L285" s="65">
        <f t="shared" si="4"/>
        <v>1.8975332068311195E-2</v>
      </c>
      <c r="M285" s="1" t="s">
        <v>109</v>
      </c>
      <c r="N285" s="1"/>
    </row>
    <row r="286" spans="1:14" x14ac:dyDescent="0.25">
      <c r="A286" s="13">
        <v>45638</v>
      </c>
      <c r="B286" s="1" t="s">
        <v>33</v>
      </c>
      <c r="C286" s="1" t="s">
        <v>177</v>
      </c>
      <c r="D286" s="1" t="s">
        <v>182</v>
      </c>
      <c r="E286" s="1" t="s">
        <v>183</v>
      </c>
      <c r="F286" s="1" t="s">
        <v>130</v>
      </c>
      <c r="G286" s="1">
        <v>3</v>
      </c>
      <c r="H286" s="1" t="s">
        <v>54</v>
      </c>
      <c r="I286" s="1" t="s">
        <v>55</v>
      </c>
      <c r="J286" s="1" t="s">
        <v>122</v>
      </c>
      <c r="K286" s="1">
        <v>2</v>
      </c>
      <c r="L286" s="65">
        <f t="shared" si="4"/>
        <v>3.7950664136622389E-2</v>
      </c>
      <c r="M286" s="1" t="s">
        <v>109</v>
      </c>
      <c r="N286" s="1"/>
    </row>
    <row r="287" spans="1:14" x14ac:dyDescent="0.25">
      <c r="A287" s="13">
        <v>45638</v>
      </c>
      <c r="B287" s="1" t="s">
        <v>33</v>
      </c>
      <c r="C287" s="1" t="s">
        <v>177</v>
      </c>
      <c r="D287" s="1" t="s">
        <v>178</v>
      </c>
      <c r="E287" s="1" t="s">
        <v>185</v>
      </c>
      <c r="F287" s="1" t="s">
        <v>145</v>
      </c>
      <c r="G287" s="1">
        <v>4</v>
      </c>
      <c r="H287" s="1" t="s">
        <v>81</v>
      </c>
      <c r="I287" s="1" t="s">
        <v>82</v>
      </c>
      <c r="J287" s="1" t="s">
        <v>138</v>
      </c>
      <c r="K287" s="1">
        <v>1</v>
      </c>
      <c r="L287" s="65">
        <f t="shared" si="4"/>
        <v>1.8975332068311195E-2</v>
      </c>
      <c r="M287" s="1" t="s">
        <v>116</v>
      </c>
      <c r="N287" s="1"/>
    </row>
    <row r="288" spans="1:14" x14ac:dyDescent="0.25">
      <c r="A288" s="13">
        <v>45638</v>
      </c>
      <c r="B288" s="1" t="s">
        <v>33</v>
      </c>
      <c r="C288" s="1" t="s">
        <v>177</v>
      </c>
      <c r="D288" s="1" t="s">
        <v>178</v>
      </c>
      <c r="E288" s="1" t="s">
        <v>185</v>
      </c>
      <c r="F288" s="1" t="s">
        <v>145</v>
      </c>
      <c r="G288" s="1">
        <v>4</v>
      </c>
      <c r="H288" s="1" t="s">
        <v>67</v>
      </c>
      <c r="I288" s="1" t="s">
        <v>68</v>
      </c>
      <c r="J288" s="1" t="s">
        <v>68</v>
      </c>
      <c r="K288" s="1">
        <v>1</v>
      </c>
      <c r="L288" s="65">
        <f t="shared" si="4"/>
        <v>1.8975332068311195E-2</v>
      </c>
      <c r="M288" s="1" t="s">
        <v>121</v>
      </c>
      <c r="N288" s="1" t="s">
        <v>186</v>
      </c>
    </row>
    <row r="289" spans="1:14" x14ac:dyDescent="0.25">
      <c r="A289" s="13">
        <v>45638</v>
      </c>
      <c r="B289" s="1" t="s">
        <v>33</v>
      </c>
      <c r="C289" s="1" t="s">
        <v>177</v>
      </c>
      <c r="D289" s="1" t="s">
        <v>178</v>
      </c>
      <c r="E289" s="1" t="s">
        <v>185</v>
      </c>
      <c r="F289" s="1" t="s">
        <v>145</v>
      </c>
      <c r="G289" s="1">
        <v>4</v>
      </c>
      <c r="H289" s="1" t="s">
        <v>54</v>
      </c>
      <c r="I289" s="1" t="s">
        <v>55</v>
      </c>
      <c r="J289" s="1" t="s">
        <v>122</v>
      </c>
      <c r="K289" s="1">
        <v>6</v>
      </c>
      <c r="L289" s="65">
        <f t="shared" si="4"/>
        <v>0.11385199240986717</v>
      </c>
      <c r="M289" s="1" t="s">
        <v>109</v>
      </c>
      <c r="N289" s="1"/>
    </row>
    <row r="290" spans="1:14" x14ac:dyDescent="0.25">
      <c r="A290" s="13">
        <v>45638</v>
      </c>
      <c r="B290" s="1" t="s">
        <v>33</v>
      </c>
      <c r="C290" s="1" t="s">
        <v>177</v>
      </c>
      <c r="D290" s="1" t="s">
        <v>178</v>
      </c>
      <c r="E290" s="1" t="s">
        <v>185</v>
      </c>
      <c r="F290" s="1" t="s">
        <v>145</v>
      </c>
      <c r="G290" s="1">
        <v>4</v>
      </c>
      <c r="H290" s="1" t="s">
        <v>44</v>
      </c>
      <c r="I290" s="1" t="s">
        <v>47</v>
      </c>
      <c r="J290" s="63" t="s">
        <v>114</v>
      </c>
      <c r="K290" s="1">
        <v>6</v>
      </c>
      <c r="L290" s="65">
        <f t="shared" si="4"/>
        <v>0.11385199240986717</v>
      </c>
      <c r="M290" s="1" t="s">
        <v>109</v>
      </c>
      <c r="N290" s="1"/>
    </row>
    <row r="291" spans="1:14" x14ac:dyDescent="0.25">
      <c r="A291" s="13">
        <v>45638</v>
      </c>
      <c r="B291" s="1" t="s">
        <v>33</v>
      </c>
      <c r="C291" s="1" t="s">
        <v>177</v>
      </c>
      <c r="D291" s="1" t="s">
        <v>178</v>
      </c>
      <c r="E291" s="1" t="s">
        <v>185</v>
      </c>
      <c r="F291" s="1" t="s">
        <v>145</v>
      </c>
      <c r="G291" s="1">
        <v>4</v>
      </c>
      <c r="H291" s="1" t="s">
        <v>54</v>
      </c>
      <c r="I291" s="1" t="s">
        <v>57</v>
      </c>
      <c r="J291" s="1" t="s">
        <v>157</v>
      </c>
      <c r="K291" s="1">
        <v>1</v>
      </c>
      <c r="L291" s="65">
        <f t="shared" si="4"/>
        <v>1.8975332068311195E-2</v>
      </c>
      <c r="M291" s="1" t="s">
        <v>109</v>
      </c>
      <c r="N291" s="1"/>
    </row>
    <row r="292" spans="1:14" x14ac:dyDescent="0.25">
      <c r="A292" s="13">
        <v>45638</v>
      </c>
      <c r="B292" s="1" t="s">
        <v>33</v>
      </c>
      <c r="C292" s="1" t="s">
        <v>177</v>
      </c>
      <c r="D292" s="1" t="s">
        <v>178</v>
      </c>
      <c r="E292" s="1" t="s">
        <v>185</v>
      </c>
      <c r="F292" s="1" t="s">
        <v>145</v>
      </c>
      <c r="G292" s="1">
        <v>4</v>
      </c>
      <c r="H292" s="1" t="s">
        <v>41</v>
      </c>
      <c r="I292" s="1" t="s">
        <v>42</v>
      </c>
      <c r="J292" s="1" t="s">
        <v>161</v>
      </c>
      <c r="K292" s="1">
        <v>1</v>
      </c>
      <c r="L292" s="65">
        <f t="shared" si="4"/>
        <v>1.8975332068311195E-2</v>
      </c>
      <c r="M292" s="1" t="s">
        <v>109</v>
      </c>
      <c r="N292" s="1"/>
    </row>
    <row r="293" spans="1:14" x14ac:dyDescent="0.25">
      <c r="A293" s="13">
        <v>45638</v>
      </c>
      <c r="B293" s="1" t="s">
        <v>33</v>
      </c>
      <c r="C293" s="1" t="s">
        <v>177</v>
      </c>
      <c r="D293" s="1" t="s">
        <v>178</v>
      </c>
      <c r="E293" s="1" t="s">
        <v>185</v>
      </c>
      <c r="F293" s="1" t="s">
        <v>145</v>
      </c>
      <c r="G293" s="1">
        <v>4</v>
      </c>
      <c r="H293" s="1" t="s">
        <v>73</v>
      </c>
      <c r="I293" s="1" t="s">
        <v>75</v>
      </c>
      <c r="J293" s="1" t="s">
        <v>149</v>
      </c>
      <c r="K293" s="1">
        <v>1</v>
      </c>
      <c r="L293" s="65">
        <f t="shared" si="4"/>
        <v>1.8975332068311195E-2</v>
      </c>
      <c r="M293" s="1" t="s">
        <v>113</v>
      </c>
      <c r="N293" s="1"/>
    </row>
    <row r="294" spans="1:14" x14ac:dyDescent="0.25">
      <c r="A294" s="13">
        <v>45638</v>
      </c>
      <c r="B294" s="1" t="s">
        <v>33</v>
      </c>
      <c r="C294" s="1" t="s">
        <v>177</v>
      </c>
      <c r="D294" s="1" t="s">
        <v>178</v>
      </c>
      <c r="E294" s="1" t="s">
        <v>179</v>
      </c>
      <c r="F294" s="1" t="s">
        <v>159</v>
      </c>
      <c r="G294" s="1">
        <v>1</v>
      </c>
      <c r="H294" s="1" t="s">
        <v>41</v>
      </c>
      <c r="I294" s="1" t="s">
        <v>42</v>
      </c>
      <c r="J294" s="1" t="s">
        <v>161</v>
      </c>
      <c r="K294" s="1">
        <v>4</v>
      </c>
      <c r="L294" s="65">
        <f t="shared" si="4"/>
        <v>7.5901328273244778E-2</v>
      </c>
      <c r="M294" s="1" t="s">
        <v>109</v>
      </c>
      <c r="N294" s="1"/>
    </row>
    <row r="295" spans="1:14" x14ac:dyDescent="0.25">
      <c r="A295" s="13">
        <v>45638</v>
      </c>
      <c r="B295" s="1" t="s">
        <v>33</v>
      </c>
      <c r="C295" s="1" t="s">
        <v>177</v>
      </c>
      <c r="D295" s="1" t="s">
        <v>178</v>
      </c>
      <c r="E295" s="1" t="s">
        <v>179</v>
      </c>
      <c r="F295" s="1" t="s">
        <v>159</v>
      </c>
      <c r="G295" s="1">
        <v>1</v>
      </c>
      <c r="H295" s="1" t="s">
        <v>54</v>
      </c>
      <c r="I295" s="1" t="s">
        <v>55</v>
      </c>
      <c r="J295" s="1" t="s">
        <v>120</v>
      </c>
      <c r="K295" s="1">
        <v>1</v>
      </c>
      <c r="L295" s="65">
        <f t="shared" si="4"/>
        <v>1.8975332068311195E-2</v>
      </c>
      <c r="M295" s="1" t="s">
        <v>121</v>
      </c>
      <c r="N295" s="1"/>
    </row>
    <row r="296" spans="1:14" x14ac:dyDescent="0.25">
      <c r="A296" s="13">
        <v>45638</v>
      </c>
      <c r="B296" s="1" t="s">
        <v>33</v>
      </c>
      <c r="C296" s="1" t="s">
        <v>177</v>
      </c>
      <c r="D296" s="1" t="s">
        <v>178</v>
      </c>
      <c r="E296" s="1" t="s">
        <v>179</v>
      </c>
      <c r="F296" s="1" t="s">
        <v>159</v>
      </c>
      <c r="G296" s="1">
        <v>1</v>
      </c>
      <c r="H296" s="1" t="s">
        <v>44</v>
      </c>
      <c r="I296" s="1" t="s">
        <v>52</v>
      </c>
      <c r="J296" s="1" t="s">
        <v>133</v>
      </c>
      <c r="K296" s="1">
        <v>10</v>
      </c>
      <c r="L296" s="65">
        <f t="shared" si="4"/>
        <v>0.18975332068311196</v>
      </c>
      <c r="M296" s="1" t="s">
        <v>119</v>
      </c>
      <c r="N296" s="1"/>
    </row>
    <row r="297" spans="1:14" x14ac:dyDescent="0.25">
      <c r="A297" s="13">
        <v>45638</v>
      </c>
      <c r="B297" s="1" t="s">
        <v>33</v>
      </c>
      <c r="C297" s="1" t="s">
        <v>177</v>
      </c>
      <c r="D297" s="1" t="s">
        <v>178</v>
      </c>
      <c r="E297" s="1" t="s">
        <v>179</v>
      </c>
      <c r="F297" s="1" t="s">
        <v>159</v>
      </c>
      <c r="G297" s="1">
        <v>1</v>
      </c>
      <c r="H297" s="1" t="s">
        <v>54</v>
      </c>
      <c r="I297" s="1" t="s">
        <v>55</v>
      </c>
      <c r="J297" s="1" t="s">
        <v>122</v>
      </c>
      <c r="K297" s="1">
        <v>5</v>
      </c>
      <c r="L297" s="65">
        <f t="shared" si="4"/>
        <v>9.4876660341555979E-2</v>
      </c>
      <c r="M297" s="1" t="s">
        <v>109</v>
      </c>
      <c r="N297" s="1"/>
    </row>
    <row r="298" spans="1:14" x14ac:dyDescent="0.25">
      <c r="A298" s="13">
        <v>45638</v>
      </c>
      <c r="B298" s="1" t="s">
        <v>33</v>
      </c>
      <c r="C298" s="1" t="s">
        <v>177</v>
      </c>
      <c r="D298" s="1" t="s">
        <v>178</v>
      </c>
      <c r="E298" s="1" t="s">
        <v>179</v>
      </c>
      <c r="F298" s="1" t="s">
        <v>159</v>
      </c>
      <c r="G298" s="1">
        <v>1</v>
      </c>
      <c r="H298" s="1" t="s">
        <v>44</v>
      </c>
      <c r="I298" s="1" t="s">
        <v>47</v>
      </c>
      <c r="J298" s="63" t="s">
        <v>114</v>
      </c>
      <c r="K298" s="1">
        <v>1</v>
      </c>
      <c r="L298" s="65">
        <f t="shared" si="4"/>
        <v>1.8975332068311195E-2</v>
      </c>
      <c r="M298" s="1" t="s">
        <v>109</v>
      </c>
      <c r="N298" s="1"/>
    </row>
    <row r="299" spans="1:14" x14ac:dyDescent="0.25">
      <c r="A299" s="13">
        <v>45638</v>
      </c>
      <c r="B299" s="1" t="s">
        <v>33</v>
      </c>
      <c r="C299" s="1" t="s">
        <v>177</v>
      </c>
      <c r="D299" s="1" t="s">
        <v>178</v>
      </c>
      <c r="E299" s="1" t="s">
        <v>179</v>
      </c>
      <c r="F299" s="1" t="s">
        <v>159</v>
      </c>
      <c r="G299" s="1">
        <v>1</v>
      </c>
      <c r="H299" s="1" t="s">
        <v>79</v>
      </c>
      <c r="I299" s="1" t="s">
        <v>80</v>
      </c>
      <c r="J299" s="1" t="s">
        <v>142</v>
      </c>
      <c r="K299" s="1">
        <v>4</v>
      </c>
      <c r="L299" s="65">
        <f t="shared" si="4"/>
        <v>7.5901328273244778E-2</v>
      </c>
      <c r="M299" s="1" t="s">
        <v>113</v>
      </c>
      <c r="N299" s="1"/>
    </row>
    <row r="300" spans="1:14" x14ac:dyDescent="0.25">
      <c r="A300" s="13">
        <v>45638</v>
      </c>
      <c r="B300" s="1" t="s">
        <v>33</v>
      </c>
      <c r="C300" s="1" t="s">
        <v>177</v>
      </c>
      <c r="D300" s="1" t="s">
        <v>178</v>
      </c>
      <c r="E300" s="1" t="s">
        <v>179</v>
      </c>
      <c r="F300" s="1" t="s">
        <v>159</v>
      </c>
      <c r="G300" s="1">
        <v>1</v>
      </c>
      <c r="H300" s="1" t="s">
        <v>54</v>
      </c>
      <c r="I300" s="1" t="s">
        <v>56</v>
      </c>
      <c r="J300" s="1" t="s">
        <v>168</v>
      </c>
      <c r="K300" s="1">
        <v>6</v>
      </c>
      <c r="L300" s="65">
        <f t="shared" si="4"/>
        <v>0.11385199240986717</v>
      </c>
      <c r="M300" s="1" t="s">
        <v>109</v>
      </c>
      <c r="N300" s="1"/>
    </row>
    <row r="301" spans="1:14" x14ac:dyDescent="0.25">
      <c r="A301" s="13">
        <v>45638</v>
      </c>
      <c r="B301" s="1" t="s">
        <v>33</v>
      </c>
      <c r="C301" s="1" t="s">
        <v>177</v>
      </c>
      <c r="D301" s="1" t="s">
        <v>178</v>
      </c>
      <c r="E301" s="1" t="s">
        <v>179</v>
      </c>
      <c r="F301" s="1" t="s">
        <v>159</v>
      </c>
      <c r="G301" s="1">
        <v>1</v>
      </c>
      <c r="H301" s="1" t="s">
        <v>54</v>
      </c>
      <c r="I301" s="1" t="s">
        <v>56</v>
      </c>
      <c r="J301" s="1" t="s">
        <v>132</v>
      </c>
      <c r="K301" s="1">
        <v>3</v>
      </c>
      <c r="L301" s="65">
        <f t="shared" si="4"/>
        <v>5.6925996204933584E-2</v>
      </c>
      <c r="M301" s="1" t="s">
        <v>109</v>
      </c>
      <c r="N301" s="1"/>
    </row>
    <row r="302" spans="1:14" x14ac:dyDescent="0.25">
      <c r="A302" s="13">
        <v>45638</v>
      </c>
      <c r="B302" s="1" t="s">
        <v>33</v>
      </c>
      <c r="C302" s="1" t="s">
        <v>177</v>
      </c>
      <c r="D302" s="1" t="s">
        <v>178</v>
      </c>
      <c r="E302" s="1" t="s">
        <v>179</v>
      </c>
      <c r="F302" s="1" t="s">
        <v>159</v>
      </c>
      <c r="G302" s="1">
        <v>1</v>
      </c>
      <c r="H302" s="1" t="s">
        <v>36</v>
      </c>
      <c r="I302" s="1" t="s">
        <v>37</v>
      </c>
      <c r="J302" s="1" t="s">
        <v>128</v>
      </c>
      <c r="K302" s="1">
        <v>6</v>
      </c>
      <c r="L302" s="65">
        <f t="shared" si="4"/>
        <v>0.11385199240986717</v>
      </c>
      <c r="M302" s="1" t="s">
        <v>109</v>
      </c>
      <c r="N302" s="1"/>
    </row>
    <row r="303" spans="1:14" x14ac:dyDescent="0.25">
      <c r="A303" s="13">
        <v>45638</v>
      </c>
      <c r="B303" s="1" t="s">
        <v>33</v>
      </c>
      <c r="C303" s="1" t="s">
        <v>177</v>
      </c>
      <c r="D303" s="1" t="s">
        <v>178</v>
      </c>
      <c r="E303" s="1" t="s">
        <v>179</v>
      </c>
      <c r="F303" s="1" t="s">
        <v>159</v>
      </c>
      <c r="G303" s="1">
        <v>1</v>
      </c>
      <c r="H303" s="1" t="s">
        <v>81</v>
      </c>
      <c r="I303" s="1" t="s">
        <v>83</v>
      </c>
      <c r="J303" s="1" t="s">
        <v>135</v>
      </c>
      <c r="K303" s="1">
        <v>1</v>
      </c>
      <c r="L303" s="65">
        <f t="shared" si="4"/>
        <v>1.8975332068311195E-2</v>
      </c>
      <c r="M303" s="1" t="s">
        <v>116</v>
      </c>
      <c r="N303" s="1"/>
    </row>
    <row r="304" spans="1:14" x14ac:dyDescent="0.25">
      <c r="A304" s="13">
        <v>45638</v>
      </c>
      <c r="B304" s="1" t="s">
        <v>33</v>
      </c>
      <c r="C304" s="1" t="s">
        <v>177</v>
      </c>
      <c r="D304" s="1" t="s">
        <v>178</v>
      </c>
      <c r="E304" s="1" t="s">
        <v>179</v>
      </c>
      <c r="F304" s="1" t="s">
        <v>159</v>
      </c>
      <c r="G304" s="1">
        <v>1</v>
      </c>
      <c r="H304" s="1" t="s">
        <v>54</v>
      </c>
      <c r="I304" s="1" t="s">
        <v>55</v>
      </c>
      <c r="J304" s="1" t="s">
        <v>120</v>
      </c>
      <c r="K304" s="1">
        <v>1</v>
      </c>
      <c r="L304" s="65">
        <f t="shared" si="4"/>
        <v>1.8975332068311195E-2</v>
      </c>
      <c r="M304" s="1" t="s">
        <v>121</v>
      </c>
      <c r="N304" s="1"/>
    </row>
    <row r="305" spans="1:14" x14ac:dyDescent="0.25">
      <c r="A305" s="13">
        <v>45638</v>
      </c>
      <c r="B305" s="1" t="s">
        <v>33</v>
      </c>
      <c r="C305" s="1" t="s">
        <v>177</v>
      </c>
      <c r="D305" s="1" t="s">
        <v>178</v>
      </c>
      <c r="E305" s="1" t="s">
        <v>179</v>
      </c>
      <c r="F305" s="1" t="s">
        <v>159</v>
      </c>
      <c r="G305" s="1">
        <v>2</v>
      </c>
      <c r="H305" s="1" t="s">
        <v>79</v>
      </c>
      <c r="I305" s="1" t="s">
        <v>80</v>
      </c>
      <c r="J305" s="1" t="s">
        <v>142</v>
      </c>
      <c r="K305" s="1">
        <v>4</v>
      </c>
      <c r="L305" s="65">
        <f t="shared" si="4"/>
        <v>7.5901328273244778E-2</v>
      </c>
      <c r="M305" s="1" t="s">
        <v>113</v>
      </c>
      <c r="N305" s="1"/>
    </row>
    <row r="306" spans="1:14" x14ac:dyDescent="0.25">
      <c r="A306" s="13">
        <v>45638</v>
      </c>
      <c r="B306" s="1" t="s">
        <v>33</v>
      </c>
      <c r="C306" s="1" t="s">
        <v>177</v>
      </c>
      <c r="D306" s="1" t="s">
        <v>178</v>
      </c>
      <c r="E306" s="1" t="s">
        <v>179</v>
      </c>
      <c r="F306" s="1" t="s">
        <v>159</v>
      </c>
      <c r="G306" s="1">
        <v>2</v>
      </c>
      <c r="H306" s="1" t="s">
        <v>54</v>
      </c>
      <c r="I306" s="1" t="s">
        <v>55</v>
      </c>
      <c r="J306" s="1" t="s">
        <v>122</v>
      </c>
      <c r="K306" s="1">
        <v>6</v>
      </c>
      <c r="L306" s="65">
        <f t="shared" si="4"/>
        <v>0.11385199240986717</v>
      </c>
      <c r="M306" s="1" t="s">
        <v>109</v>
      </c>
      <c r="N306" s="1"/>
    </row>
    <row r="307" spans="1:14" x14ac:dyDescent="0.25">
      <c r="A307" s="13">
        <v>45638</v>
      </c>
      <c r="B307" s="1" t="s">
        <v>33</v>
      </c>
      <c r="C307" s="1" t="s">
        <v>177</v>
      </c>
      <c r="D307" s="1" t="s">
        <v>178</v>
      </c>
      <c r="E307" s="1" t="s">
        <v>179</v>
      </c>
      <c r="F307" s="1" t="s">
        <v>159</v>
      </c>
      <c r="G307" s="1">
        <v>2</v>
      </c>
      <c r="H307" s="1" t="s">
        <v>60</v>
      </c>
      <c r="I307" s="1" t="s">
        <v>63</v>
      </c>
      <c r="J307" s="1" t="s">
        <v>112</v>
      </c>
      <c r="K307" s="1">
        <v>3</v>
      </c>
      <c r="L307" s="65">
        <f t="shared" si="4"/>
        <v>5.6925996204933584E-2</v>
      </c>
      <c r="M307" s="1" t="s">
        <v>113</v>
      </c>
      <c r="N307" s="1"/>
    </row>
    <row r="308" spans="1:14" x14ac:dyDescent="0.25">
      <c r="A308" s="13">
        <v>45638</v>
      </c>
      <c r="B308" s="1" t="s">
        <v>33</v>
      </c>
      <c r="C308" s="1" t="s">
        <v>177</v>
      </c>
      <c r="D308" s="1" t="s">
        <v>178</v>
      </c>
      <c r="E308" s="1" t="s">
        <v>179</v>
      </c>
      <c r="F308" s="1" t="s">
        <v>159</v>
      </c>
      <c r="G308" s="1">
        <v>2</v>
      </c>
      <c r="H308" s="1" t="s">
        <v>67</v>
      </c>
      <c r="I308" s="1" t="s">
        <v>68</v>
      </c>
      <c r="J308" s="1" t="s">
        <v>68</v>
      </c>
      <c r="K308" s="1">
        <v>1</v>
      </c>
      <c r="L308" s="65">
        <f t="shared" si="4"/>
        <v>1.8975332068311195E-2</v>
      </c>
      <c r="M308" s="1" t="s">
        <v>121</v>
      </c>
      <c r="N308" s="1" t="s">
        <v>186</v>
      </c>
    </row>
    <row r="309" spans="1:14" x14ac:dyDescent="0.25">
      <c r="A309" s="13">
        <v>45638</v>
      </c>
      <c r="B309" s="1" t="s">
        <v>33</v>
      </c>
      <c r="C309" s="1" t="s">
        <v>177</v>
      </c>
      <c r="D309" s="1" t="s">
        <v>178</v>
      </c>
      <c r="E309" s="1" t="s">
        <v>179</v>
      </c>
      <c r="F309" s="1" t="s">
        <v>159</v>
      </c>
      <c r="G309" s="1">
        <v>2</v>
      </c>
      <c r="H309" s="1" t="s">
        <v>36</v>
      </c>
      <c r="I309" s="1" t="s">
        <v>37</v>
      </c>
      <c r="J309" s="1" t="s">
        <v>128</v>
      </c>
      <c r="K309" s="1">
        <v>2</v>
      </c>
      <c r="L309" s="65">
        <f t="shared" si="4"/>
        <v>3.7950664136622389E-2</v>
      </c>
      <c r="M309" s="1" t="s">
        <v>109</v>
      </c>
      <c r="N309" s="1"/>
    </row>
    <row r="310" spans="1:14" x14ac:dyDescent="0.25">
      <c r="A310" s="13">
        <v>45638</v>
      </c>
      <c r="B310" s="1" t="s">
        <v>33</v>
      </c>
      <c r="C310" s="1" t="s">
        <v>177</v>
      </c>
      <c r="D310" s="1" t="s">
        <v>178</v>
      </c>
      <c r="E310" s="1" t="s">
        <v>179</v>
      </c>
      <c r="F310" s="1" t="s">
        <v>159</v>
      </c>
      <c r="G310" s="1">
        <v>2</v>
      </c>
      <c r="H310" s="1" t="s">
        <v>44</v>
      </c>
      <c r="I310" s="1" t="s">
        <v>52</v>
      </c>
      <c r="J310" s="1" t="s">
        <v>133</v>
      </c>
      <c r="K310" s="1">
        <v>2</v>
      </c>
      <c r="L310" s="65">
        <f t="shared" si="4"/>
        <v>3.7950664136622389E-2</v>
      </c>
      <c r="M310" s="1" t="s">
        <v>119</v>
      </c>
      <c r="N310" s="1"/>
    </row>
    <row r="311" spans="1:14" x14ac:dyDescent="0.25">
      <c r="A311" s="13">
        <v>45638</v>
      </c>
      <c r="B311" s="1" t="s">
        <v>33</v>
      </c>
      <c r="C311" s="1" t="s">
        <v>177</v>
      </c>
      <c r="D311" s="1" t="s">
        <v>178</v>
      </c>
      <c r="E311" s="1" t="s">
        <v>179</v>
      </c>
      <c r="F311" s="1" t="s">
        <v>159</v>
      </c>
      <c r="G311" s="1">
        <v>2</v>
      </c>
      <c r="H311" s="1" t="s">
        <v>44</v>
      </c>
      <c r="I311" s="1" t="s">
        <v>47</v>
      </c>
      <c r="J311" s="63" t="s">
        <v>114</v>
      </c>
      <c r="K311" s="1">
        <v>1</v>
      </c>
      <c r="L311" s="65">
        <f t="shared" si="4"/>
        <v>1.8975332068311195E-2</v>
      </c>
      <c r="M311" s="1" t="s">
        <v>109</v>
      </c>
      <c r="N311" s="1"/>
    </row>
    <row r="312" spans="1:14" x14ac:dyDescent="0.25">
      <c r="A312" s="13">
        <v>45638</v>
      </c>
      <c r="B312" s="1" t="s">
        <v>33</v>
      </c>
      <c r="C312" s="1" t="s">
        <v>177</v>
      </c>
      <c r="D312" s="1" t="s">
        <v>182</v>
      </c>
      <c r="E312" s="1" t="s">
        <v>183</v>
      </c>
      <c r="F312" s="1" t="s">
        <v>145</v>
      </c>
      <c r="G312" s="1">
        <v>3</v>
      </c>
      <c r="H312" s="1" t="s">
        <v>44</v>
      </c>
      <c r="I312" s="1" t="s">
        <v>47</v>
      </c>
      <c r="J312" s="63" t="s">
        <v>114</v>
      </c>
      <c r="K312" s="1">
        <v>1</v>
      </c>
      <c r="L312" s="65">
        <f t="shared" si="4"/>
        <v>1.8975332068311195E-2</v>
      </c>
      <c r="M312" s="1" t="s">
        <v>109</v>
      </c>
      <c r="N312" s="1"/>
    </row>
    <row r="313" spans="1:14" x14ac:dyDescent="0.25">
      <c r="A313" s="13">
        <v>45638</v>
      </c>
      <c r="B313" s="1" t="s">
        <v>33</v>
      </c>
      <c r="C313" s="1" t="s">
        <v>177</v>
      </c>
      <c r="D313" s="1" t="s">
        <v>182</v>
      </c>
      <c r="E313" s="1" t="s">
        <v>183</v>
      </c>
      <c r="F313" s="1" t="s">
        <v>145</v>
      </c>
      <c r="G313" s="1">
        <v>3</v>
      </c>
      <c r="H313" s="1" t="s">
        <v>54</v>
      </c>
      <c r="I313" s="1" t="s">
        <v>56</v>
      </c>
      <c r="J313" s="1" t="s">
        <v>168</v>
      </c>
      <c r="K313" s="1">
        <v>1</v>
      </c>
      <c r="L313" s="65">
        <f t="shared" si="4"/>
        <v>1.8975332068311195E-2</v>
      </c>
      <c r="M313" s="1" t="s">
        <v>109</v>
      </c>
      <c r="N313" s="1"/>
    </row>
    <row r="314" spans="1:14" x14ac:dyDescent="0.25">
      <c r="A314" s="13">
        <v>45638</v>
      </c>
      <c r="B314" s="1" t="s">
        <v>33</v>
      </c>
      <c r="C314" s="1" t="s">
        <v>177</v>
      </c>
      <c r="D314" s="1" t="s">
        <v>182</v>
      </c>
      <c r="E314" s="1" t="s">
        <v>183</v>
      </c>
      <c r="F314" s="1" t="s">
        <v>145</v>
      </c>
      <c r="G314" s="1">
        <v>3</v>
      </c>
      <c r="H314" s="1" t="s">
        <v>44</v>
      </c>
      <c r="I314" s="1" t="s">
        <v>52</v>
      </c>
      <c r="J314" s="1" t="s">
        <v>133</v>
      </c>
      <c r="K314" s="1">
        <v>1</v>
      </c>
      <c r="L314" s="65">
        <f t="shared" si="4"/>
        <v>1.8975332068311195E-2</v>
      </c>
      <c r="M314" s="1" t="s">
        <v>119</v>
      </c>
      <c r="N314" s="1"/>
    </row>
    <row r="315" spans="1:14" x14ac:dyDescent="0.25">
      <c r="A315" s="13">
        <v>45638</v>
      </c>
      <c r="B315" s="1" t="s">
        <v>33</v>
      </c>
      <c r="C315" s="1" t="s">
        <v>177</v>
      </c>
      <c r="D315" s="1" t="s">
        <v>182</v>
      </c>
      <c r="E315" s="1" t="s">
        <v>183</v>
      </c>
      <c r="F315" s="1" t="s">
        <v>145</v>
      </c>
      <c r="G315" s="1">
        <v>3</v>
      </c>
      <c r="H315" s="1" t="s">
        <v>41</v>
      </c>
      <c r="I315" s="1" t="s">
        <v>42</v>
      </c>
      <c r="J315" s="1" t="s">
        <v>161</v>
      </c>
      <c r="K315" s="1">
        <v>1</v>
      </c>
      <c r="L315" s="65">
        <f t="shared" si="4"/>
        <v>1.8975332068311195E-2</v>
      </c>
      <c r="M315" s="1" t="s">
        <v>109</v>
      </c>
      <c r="N315" s="1"/>
    </row>
    <row r="316" spans="1:14" x14ac:dyDescent="0.25">
      <c r="A316" s="13">
        <v>45638</v>
      </c>
      <c r="B316" s="1" t="s">
        <v>33</v>
      </c>
      <c r="C316" s="1" t="s">
        <v>177</v>
      </c>
      <c r="D316" s="1" t="s">
        <v>182</v>
      </c>
      <c r="E316" s="1" t="s">
        <v>183</v>
      </c>
      <c r="F316" s="1" t="s">
        <v>145</v>
      </c>
      <c r="G316" s="1">
        <v>3</v>
      </c>
      <c r="H316" s="1" t="s">
        <v>65</v>
      </c>
      <c r="I316" s="1" t="s">
        <v>66</v>
      </c>
      <c r="J316" s="1" t="s">
        <v>139</v>
      </c>
      <c r="K316" s="1">
        <v>1</v>
      </c>
      <c r="L316" s="65">
        <f t="shared" si="4"/>
        <v>1.8975332068311195E-2</v>
      </c>
      <c r="M316" s="1" t="s">
        <v>121</v>
      </c>
      <c r="N316" s="1"/>
    </row>
    <row r="317" spans="1:14" x14ac:dyDescent="0.25">
      <c r="A317" s="13">
        <v>45638</v>
      </c>
      <c r="B317" s="1" t="s">
        <v>33</v>
      </c>
      <c r="C317" s="1" t="s">
        <v>177</v>
      </c>
      <c r="D317" s="1" t="s">
        <v>182</v>
      </c>
      <c r="E317" s="1" t="s">
        <v>183</v>
      </c>
      <c r="F317" s="1" t="s">
        <v>145</v>
      </c>
      <c r="G317" s="1">
        <v>3</v>
      </c>
      <c r="H317" s="1" t="s">
        <v>54</v>
      </c>
      <c r="I317" s="1" t="s">
        <v>55</v>
      </c>
      <c r="J317" s="1" t="s">
        <v>122</v>
      </c>
      <c r="K317" s="1">
        <v>2</v>
      </c>
      <c r="L317" s="65">
        <f t="shared" si="4"/>
        <v>3.7950664136622389E-2</v>
      </c>
      <c r="M317" s="1" t="s">
        <v>109</v>
      </c>
      <c r="N317" s="1"/>
    </row>
    <row r="318" spans="1:14" x14ac:dyDescent="0.25">
      <c r="A318" s="13">
        <v>45638</v>
      </c>
      <c r="B318" s="1" t="s">
        <v>33</v>
      </c>
      <c r="C318" s="1" t="s">
        <v>177</v>
      </c>
      <c r="D318" s="1" t="s">
        <v>182</v>
      </c>
      <c r="E318" s="1" t="s">
        <v>183</v>
      </c>
      <c r="F318" s="1" t="s">
        <v>107</v>
      </c>
      <c r="G318" s="1">
        <v>4</v>
      </c>
      <c r="H318" s="1" t="s">
        <v>60</v>
      </c>
      <c r="I318" s="1" t="s">
        <v>64</v>
      </c>
      <c r="J318" s="1" t="s">
        <v>118</v>
      </c>
      <c r="K318" s="1">
        <v>1</v>
      </c>
      <c r="L318" s="65">
        <f t="shared" si="4"/>
        <v>1.8975332068311195E-2</v>
      </c>
      <c r="M318" s="1" t="s">
        <v>113</v>
      </c>
      <c r="N318" s="1"/>
    </row>
    <row r="319" spans="1:14" x14ac:dyDescent="0.25">
      <c r="A319" s="13">
        <v>45638</v>
      </c>
      <c r="B319" s="1" t="s">
        <v>33</v>
      </c>
      <c r="C319" s="1" t="s">
        <v>177</v>
      </c>
      <c r="D319" s="1" t="s">
        <v>182</v>
      </c>
      <c r="E319" s="1" t="s">
        <v>183</v>
      </c>
      <c r="F319" s="1" t="s">
        <v>107</v>
      </c>
      <c r="G319" s="1">
        <v>4</v>
      </c>
      <c r="H319" s="1" t="s">
        <v>44</v>
      </c>
      <c r="I319" s="1" t="s">
        <v>52</v>
      </c>
      <c r="J319" s="1" t="s">
        <v>133</v>
      </c>
      <c r="K319" s="1">
        <v>2</v>
      </c>
      <c r="L319" s="65">
        <f t="shared" si="4"/>
        <v>3.7950664136622389E-2</v>
      </c>
      <c r="M319" s="1" t="s">
        <v>119</v>
      </c>
      <c r="N319" s="1"/>
    </row>
    <row r="320" spans="1:14" x14ac:dyDescent="0.25">
      <c r="A320" s="13">
        <v>45638</v>
      </c>
      <c r="B320" s="1" t="s">
        <v>33</v>
      </c>
      <c r="C320" s="1" t="s">
        <v>177</v>
      </c>
      <c r="D320" s="1" t="s">
        <v>182</v>
      </c>
      <c r="E320" s="1" t="s">
        <v>183</v>
      </c>
      <c r="F320" s="1" t="s">
        <v>107</v>
      </c>
      <c r="G320" s="1">
        <v>4</v>
      </c>
      <c r="H320" s="1" t="s">
        <v>54</v>
      </c>
      <c r="I320" s="1" t="s">
        <v>55</v>
      </c>
      <c r="J320" s="1" t="s">
        <v>122</v>
      </c>
      <c r="K320" s="1">
        <v>3</v>
      </c>
      <c r="L320" s="65">
        <f t="shared" si="4"/>
        <v>5.6925996204933584E-2</v>
      </c>
      <c r="M320" s="1" t="s">
        <v>109</v>
      </c>
      <c r="N320" s="1"/>
    </row>
    <row r="321" spans="1:14" x14ac:dyDescent="0.25">
      <c r="A321" s="13">
        <v>45638</v>
      </c>
      <c r="B321" s="1" t="s">
        <v>33</v>
      </c>
      <c r="C321" s="1" t="s">
        <v>177</v>
      </c>
      <c r="D321" s="1" t="s">
        <v>182</v>
      </c>
      <c r="E321" s="1" t="s">
        <v>183</v>
      </c>
      <c r="F321" s="1" t="s">
        <v>130</v>
      </c>
      <c r="G321" s="1">
        <v>1</v>
      </c>
      <c r="H321" s="1" t="s">
        <v>79</v>
      </c>
      <c r="I321" s="1" t="s">
        <v>80</v>
      </c>
      <c r="J321" s="1" t="s">
        <v>142</v>
      </c>
      <c r="K321" s="1">
        <v>1</v>
      </c>
      <c r="L321" s="65">
        <f t="shared" si="4"/>
        <v>1.8975332068311195E-2</v>
      </c>
      <c r="M321" s="1" t="s">
        <v>113</v>
      </c>
      <c r="N321" s="1"/>
    </row>
    <row r="322" spans="1:14" x14ac:dyDescent="0.25">
      <c r="A322" s="13">
        <v>45638</v>
      </c>
      <c r="B322" s="1" t="s">
        <v>33</v>
      </c>
      <c r="C322" s="1" t="s">
        <v>177</v>
      </c>
      <c r="D322" s="1" t="s">
        <v>182</v>
      </c>
      <c r="E322" s="1" t="s">
        <v>183</v>
      </c>
      <c r="F322" s="1" t="s">
        <v>130</v>
      </c>
      <c r="G322" s="1">
        <v>1</v>
      </c>
      <c r="H322" s="1" t="s">
        <v>60</v>
      </c>
      <c r="I322" s="1" t="s">
        <v>63</v>
      </c>
      <c r="J322" s="1" t="s">
        <v>112</v>
      </c>
      <c r="K322" s="1">
        <v>3</v>
      </c>
      <c r="L322" s="65">
        <f t="shared" si="4"/>
        <v>5.6925996204933584E-2</v>
      </c>
      <c r="M322" s="1" t="s">
        <v>113</v>
      </c>
      <c r="N322" s="1"/>
    </row>
    <row r="323" spans="1:14" x14ac:dyDescent="0.25">
      <c r="A323" s="13">
        <v>45638</v>
      </c>
      <c r="B323" s="1" t="s">
        <v>33</v>
      </c>
      <c r="C323" s="1" t="s">
        <v>177</v>
      </c>
      <c r="D323" s="1" t="s">
        <v>182</v>
      </c>
      <c r="E323" s="1" t="s">
        <v>183</v>
      </c>
      <c r="F323" s="1" t="s">
        <v>130</v>
      </c>
      <c r="G323" s="1">
        <v>1</v>
      </c>
      <c r="H323" s="1" t="s">
        <v>81</v>
      </c>
      <c r="I323" s="1" t="s">
        <v>85</v>
      </c>
      <c r="J323" s="1" t="s">
        <v>108</v>
      </c>
      <c r="K323" s="1">
        <v>1</v>
      </c>
      <c r="L323" s="65">
        <f t="shared" si="4"/>
        <v>1.8975332068311195E-2</v>
      </c>
      <c r="M323" s="1" t="s">
        <v>109</v>
      </c>
      <c r="N323" s="1"/>
    </row>
    <row r="324" spans="1:14" x14ac:dyDescent="0.25">
      <c r="A324" s="13">
        <v>45638</v>
      </c>
      <c r="B324" s="1" t="s">
        <v>33</v>
      </c>
      <c r="C324" s="1" t="s">
        <v>177</v>
      </c>
      <c r="D324" s="1" t="s">
        <v>182</v>
      </c>
      <c r="E324" s="1" t="s">
        <v>183</v>
      </c>
      <c r="F324" s="1" t="s">
        <v>130</v>
      </c>
      <c r="G324" s="1">
        <v>1</v>
      </c>
      <c r="H324" s="1" t="s">
        <v>79</v>
      </c>
      <c r="I324" s="1" t="s">
        <v>80</v>
      </c>
      <c r="J324" s="1" t="s">
        <v>142</v>
      </c>
      <c r="K324" s="1">
        <v>3</v>
      </c>
      <c r="L324" s="65">
        <f t="shared" si="4"/>
        <v>5.6925996204933584E-2</v>
      </c>
      <c r="M324" s="1" t="s">
        <v>113</v>
      </c>
      <c r="N324" s="1"/>
    </row>
    <row r="325" spans="1:14" x14ac:dyDescent="0.25">
      <c r="A325" s="13">
        <v>45638</v>
      </c>
      <c r="B325" s="1" t="s">
        <v>33</v>
      </c>
      <c r="C325" s="1" t="s">
        <v>177</v>
      </c>
      <c r="D325" s="1" t="s">
        <v>182</v>
      </c>
      <c r="E325" s="1" t="s">
        <v>183</v>
      </c>
      <c r="F325" s="1" t="s">
        <v>130</v>
      </c>
      <c r="G325" s="1">
        <v>1</v>
      </c>
      <c r="H325" s="1" t="s">
        <v>73</v>
      </c>
      <c r="I325" s="1" t="s">
        <v>76</v>
      </c>
      <c r="J325" s="1" t="s">
        <v>126</v>
      </c>
      <c r="K325" s="1">
        <v>1</v>
      </c>
      <c r="L325" s="65">
        <f t="shared" si="4"/>
        <v>1.8975332068311195E-2</v>
      </c>
      <c r="M325" s="1" t="s">
        <v>113</v>
      </c>
      <c r="N325" s="1"/>
    </row>
    <row r="326" spans="1:14" x14ac:dyDescent="0.25">
      <c r="A326" s="13">
        <v>45638</v>
      </c>
      <c r="B326" s="1" t="s">
        <v>33</v>
      </c>
      <c r="C326" s="1" t="s">
        <v>177</v>
      </c>
      <c r="D326" s="1" t="s">
        <v>182</v>
      </c>
      <c r="E326" s="1" t="s">
        <v>183</v>
      </c>
      <c r="F326" s="1" t="s">
        <v>130</v>
      </c>
      <c r="G326" s="1">
        <v>1</v>
      </c>
      <c r="H326" s="1" t="s">
        <v>54</v>
      </c>
      <c r="I326" s="1" t="s">
        <v>55</v>
      </c>
      <c r="J326" s="1" t="s">
        <v>122</v>
      </c>
      <c r="K326" s="1">
        <v>17</v>
      </c>
      <c r="L326" s="65">
        <f t="shared" si="4"/>
        <v>0.32258064516129031</v>
      </c>
      <c r="M326" s="1" t="s">
        <v>109</v>
      </c>
      <c r="N326" s="1"/>
    </row>
    <row r="327" spans="1:14" x14ac:dyDescent="0.25">
      <c r="A327" s="13">
        <v>45638</v>
      </c>
      <c r="B327" s="1" t="s">
        <v>33</v>
      </c>
      <c r="C327" s="1" t="s">
        <v>177</v>
      </c>
      <c r="D327" s="1" t="s">
        <v>182</v>
      </c>
      <c r="E327" s="1" t="s">
        <v>183</v>
      </c>
      <c r="F327" s="1" t="s">
        <v>130</v>
      </c>
      <c r="G327" s="1">
        <v>1</v>
      </c>
      <c r="H327" s="1" t="s">
        <v>81</v>
      </c>
      <c r="I327" s="1" t="s">
        <v>85</v>
      </c>
      <c r="J327" s="1" t="s">
        <v>166</v>
      </c>
      <c r="K327" s="1">
        <v>1</v>
      </c>
      <c r="L327" s="65">
        <f t="shared" ref="L327:L390" si="5">(K327/$P$7)*100</f>
        <v>1.8975332068311195E-2</v>
      </c>
      <c r="M327" s="1" t="s">
        <v>113</v>
      </c>
      <c r="N327" s="1"/>
    </row>
    <row r="328" spans="1:14" x14ac:dyDescent="0.25">
      <c r="A328" s="13">
        <v>45638</v>
      </c>
      <c r="B328" s="1" t="s">
        <v>33</v>
      </c>
      <c r="C328" s="1" t="s">
        <v>177</v>
      </c>
      <c r="D328" s="1" t="s">
        <v>182</v>
      </c>
      <c r="E328" s="1" t="s">
        <v>183</v>
      </c>
      <c r="F328" s="1" t="s">
        <v>130</v>
      </c>
      <c r="G328" s="1">
        <v>1</v>
      </c>
      <c r="H328" s="1" t="s">
        <v>81</v>
      </c>
      <c r="I328" s="1" t="s">
        <v>83</v>
      </c>
      <c r="J328" s="1" t="s">
        <v>131</v>
      </c>
      <c r="K328" s="1">
        <v>5</v>
      </c>
      <c r="L328" s="65">
        <f t="shared" si="5"/>
        <v>9.4876660341555979E-2</v>
      </c>
      <c r="M328" s="1" t="s">
        <v>116</v>
      </c>
      <c r="N328" s="1"/>
    </row>
    <row r="329" spans="1:14" x14ac:dyDescent="0.25">
      <c r="A329" s="13">
        <v>45638</v>
      </c>
      <c r="B329" s="1" t="s">
        <v>33</v>
      </c>
      <c r="C329" s="1" t="s">
        <v>177</v>
      </c>
      <c r="D329" s="1" t="s">
        <v>182</v>
      </c>
      <c r="E329" s="1" t="s">
        <v>183</v>
      </c>
      <c r="F329" s="1" t="s">
        <v>130</v>
      </c>
      <c r="G329" s="1">
        <v>1</v>
      </c>
      <c r="H329" s="1" t="s">
        <v>81</v>
      </c>
      <c r="I329" s="1" t="s">
        <v>83</v>
      </c>
      <c r="J329" s="1" t="s">
        <v>135</v>
      </c>
      <c r="K329" s="1">
        <v>5</v>
      </c>
      <c r="L329" s="65">
        <f t="shared" si="5"/>
        <v>9.4876660341555979E-2</v>
      </c>
      <c r="M329" s="1" t="s">
        <v>116</v>
      </c>
      <c r="N329" s="1"/>
    </row>
    <row r="330" spans="1:14" x14ac:dyDescent="0.25">
      <c r="A330" s="13">
        <v>45638</v>
      </c>
      <c r="B330" s="1" t="s">
        <v>33</v>
      </c>
      <c r="C330" s="1" t="s">
        <v>177</v>
      </c>
      <c r="D330" s="1" t="s">
        <v>182</v>
      </c>
      <c r="E330" s="1" t="s">
        <v>183</v>
      </c>
      <c r="F330" s="1" t="s">
        <v>130</v>
      </c>
      <c r="G330" s="1">
        <v>1</v>
      </c>
      <c r="H330" s="1" t="s">
        <v>65</v>
      </c>
      <c r="I330" s="1" t="s">
        <v>66</v>
      </c>
      <c r="J330" s="1" t="s">
        <v>139</v>
      </c>
      <c r="K330" s="1">
        <v>7</v>
      </c>
      <c r="L330" s="65">
        <f t="shared" si="5"/>
        <v>0.13282732447817835</v>
      </c>
      <c r="M330" s="1" t="s">
        <v>121</v>
      </c>
      <c r="N330" s="1"/>
    </row>
    <row r="331" spans="1:14" x14ac:dyDescent="0.25">
      <c r="A331" s="13">
        <v>45638</v>
      </c>
      <c r="B331" s="1" t="s">
        <v>33</v>
      </c>
      <c r="C331" s="1" t="s">
        <v>177</v>
      </c>
      <c r="D331" s="1" t="s">
        <v>182</v>
      </c>
      <c r="E331" s="1" t="s">
        <v>183</v>
      </c>
      <c r="F331" s="1" t="s">
        <v>130</v>
      </c>
      <c r="G331" s="1">
        <v>1</v>
      </c>
      <c r="H331" s="1" t="s">
        <v>54</v>
      </c>
      <c r="I331" s="1" t="s">
        <v>56</v>
      </c>
      <c r="J331" s="1" t="s">
        <v>168</v>
      </c>
      <c r="K331" s="1">
        <v>13</v>
      </c>
      <c r="L331" s="65">
        <f t="shared" si="5"/>
        <v>0.24667931688804554</v>
      </c>
      <c r="M331" s="1" t="s">
        <v>109</v>
      </c>
      <c r="N331" s="1"/>
    </row>
    <row r="332" spans="1:14" x14ac:dyDescent="0.25">
      <c r="A332" s="13">
        <v>45638</v>
      </c>
      <c r="B332" s="1" t="s">
        <v>33</v>
      </c>
      <c r="C332" s="1" t="s">
        <v>177</v>
      </c>
      <c r="D332" s="1" t="s">
        <v>182</v>
      </c>
      <c r="E332" s="1" t="s">
        <v>183</v>
      </c>
      <c r="F332" s="1" t="s">
        <v>130</v>
      </c>
      <c r="G332" s="1">
        <v>1</v>
      </c>
      <c r="H332" s="1" t="s">
        <v>36</v>
      </c>
      <c r="I332" s="1" t="s">
        <v>37</v>
      </c>
      <c r="J332" s="1" t="s">
        <v>128</v>
      </c>
      <c r="K332" s="1">
        <v>9</v>
      </c>
      <c r="L332" s="65">
        <f t="shared" si="5"/>
        <v>0.17077798861480076</v>
      </c>
      <c r="M332" s="1" t="s">
        <v>109</v>
      </c>
      <c r="N332" s="1"/>
    </row>
    <row r="333" spans="1:14" x14ac:dyDescent="0.25">
      <c r="A333" s="13">
        <v>45638</v>
      </c>
      <c r="B333" s="1" t="s">
        <v>33</v>
      </c>
      <c r="C333" s="1" t="s">
        <v>177</v>
      </c>
      <c r="D333" s="1" t="s">
        <v>182</v>
      </c>
      <c r="E333" s="1" t="s">
        <v>183</v>
      </c>
      <c r="F333" s="1" t="s">
        <v>130</v>
      </c>
      <c r="G333" s="1">
        <v>1</v>
      </c>
      <c r="H333" s="1" t="s">
        <v>44</v>
      </c>
      <c r="I333" s="1" t="s">
        <v>47</v>
      </c>
      <c r="J333" s="63" t="s">
        <v>114</v>
      </c>
      <c r="K333" s="1">
        <v>4</v>
      </c>
      <c r="L333" s="65">
        <f t="shared" si="5"/>
        <v>7.5901328273244778E-2</v>
      </c>
      <c r="M333" s="1" t="s">
        <v>109</v>
      </c>
      <c r="N333" s="1"/>
    </row>
    <row r="334" spans="1:14" x14ac:dyDescent="0.25">
      <c r="A334" s="13">
        <v>45638</v>
      </c>
      <c r="B334" s="1" t="s">
        <v>33</v>
      </c>
      <c r="C334" s="1" t="s">
        <v>177</v>
      </c>
      <c r="D334" s="1" t="s">
        <v>182</v>
      </c>
      <c r="E334" s="1" t="s">
        <v>183</v>
      </c>
      <c r="F334" s="1" t="s">
        <v>130</v>
      </c>
      <c r="G334" s="1">
        <v>1</v>
      </c>
      <c r="H334" s="1" t="s">
        <v>54</v>
      </c>
      <c r="I334" s="1" t="s">
        <v>56</v>
      </c>
      <c r="J334" s="1" t="s">
        <v>132</v>
      </c>
      <c r="K334" s="1">
        <v>5</v>
      </c>
      <c r="L334" s="65">
        <f t="shared" si="5"/>
        <v>9.4876660341555979E-2</v>
      </c>
      <c r="M334" s="1" t="s">
        <v>109</v>
      </c>
      <c r="N334" s="1"/>
    </row>
    <row r="335" spans="1:14" x14ac:dyDescent="0.25">
      <c r="A335" s="13">
        <v>45638</v>
      </c>
      <c r="B335" s="1" t="s">
        <v>33</v>
      </c>
      <c r="C335" s="1" t="s">
        <v>177</v>
      </c>
      <c r="D335" s="1" t="s">
        <v>182</v>
      </c>
      <c r="E335" s="1" t="s">
        <v>183</v>
      </c>
      <c r="F335" s="1" t="s">
        <v>130</v>
      </c>
      <c r="G335" s="1">
        <v>1</v>
      </c>
      <c r="H335" s="1" t="s">
        <v>44</v>
      </c>
      <c r="I335" s="1" t="s">
        <v>52</v>
      </c>
      <c r="J335" s="1" t="s">
        <v>133</v>
      </c>
      <c r="K335" s="1">
        <v>3</v>
      </c>
      <c r="L335" s="65">
        <f t="shared" si="5"/>
        <v>5.6925996204933584E-2</v>
      </c>
      <c r="M335" s="1" t="s">
        <v>119</v>
      </c>
      <c r="N335" s="1"/>
    </row>
    <row r="336" spans="1:14" x14ac:dyDescent="0.25">
      <c r="A336" s="13">
        <v>45638</v>
      </c>
      <c r="B336" s="1" t="s">
        <v>33</v>
      </c>
      <c r="C336" s="1" t="s">
        <v>177</v>
      </c>
      <c r="D336" s="1" t="s">
        <v>182</v>
      </c>
      <c r="E336" s="1" t="s">
        <v>183</v>
      </c>
      <c r="F336" s="1" t="s">
        <v>130</v>
      </c>
      <c r="G336" s="1">
        <v>1</v>
      </c>
      <c r="H336" s="1" t="s">
        <v>44</v>
      </c>
      <c r="I336" s="1" t="s">
        <v>47</v>
      </c>
      <c r="J336" s="1" t="s">
        <v>124</v>
      </c>
      <c r="K336" s="1">
        <v>2</v>
      </c>
      <c r="L336" s="65">
        <f t="shared" si="5"/>
        <v>3.7950664136622389E-2</v>
      </c>
      <c r="M336" s="1" t="s">
        <v>113</v>
      </c>
      <c r="N336" s="1"/>
    </row>
    <row r="337" spans="1:14" x14ac:dyDescent="0.25">
      <c r="A337" s="13">
        <v>45638</v>
      </c>
      <c r="B337" s="1" t="s">
        <v>33</v>
      </c>
      <c r="C337" s="1" t="s">
        <v>177</v>
      </c>
      <c r="D337" s="1" t="s">
        <v>182</v>
      </c>
      <c r="E337" s="1" t="s">
        <v>183</v>
      </c>
      <c r="F337" s="1" t="s">
        <v>130</v>
      </c>
      <c r="G337" s="1">
        <v>1</v>
      </c>
      <c r="H337" s="1" t="s">
        <v>67</v>
      </c>
      <c r="I337" s="1" t="s">
        <v>68</v>
      </c>
      <c r="J337" s="1" t="s">
        <v>68</v>
      </c>
      <c r="K337" s="1">
        <v>1</v>
      </c>
      <c r="L337" s="65">
        <f t="shared" si="5"/>
        <v>1.8975332068311195E-2</v>
      </c>
      <c r="M337" s="1" t="s">
        <v>121</v>
      </c>
      <c r="N337" s="1" t="s">
        <v>186</v>
      </c>
    </row>
    <row r="338" spans="1:14" x14ac:dyDescent="0.25">
      <c r="A338" s="13">
        <v>45638</v>
      </c>
      <c r="B338" s="1" t="s">
        <v>33</v>
      </c>
      <c r="C338" s="1" t="s">
        <v>177</v>
      </c>
      <c r="D338" s="1" t="s">
        <v>182</v>
      </c>
      <c r="E338" s="1" t="s">
        <v>183</v>
      </c>
      <c r="F338" s="1" t="s">
        <v>130</v>
      </c>
      <c r="G338" s="1">
        <v>1</v>
      </c>
      <c r="H338" s="1" t="s">
        <v>54</v>
      </c>
      <c r="I338" s="1" t="s">
        <v>57</v>
      </c>
      <c r="J338" s="1" t="s">
        <v>141</v>
      </c>
      <c r="K338" s="1">
        <v>2</v>
      </c>
      <c r="L338" s="65">
        <f t="shared" si="5"/>
        <v>3.7950664136622389E-2</v>
      </c>
      <c r="M338" s="1" t="s">
        <v>109</v>
      </c>
      <c r="N338" s="1"/>
    </row>
    <row r="339" spans="1:14" x14ac:dyDescent="0.25">
      <c r="A339" s="13">
        <v>45638</v>
      </c>
      <c r="B339" s="1" t="s">
        <v>33</v>
      </c>
      <c r="C339" s="1" t="s">
        <v>177</v>
      </c>
      <c r="D339" s="1" t="s">
        <v>182</v>
      </c>
      <c r="E339" s="1" t="s">
        <v>183</v>
      </c>
      <c r="F339" s="1" t="s">
        <v>130</v>
      </c>
      <c r="G339" s="1">
        <v>1</v>
      </c>
      <c r="H339" s="1" t="s">
        <v>41</v>
      </c>
      <c r="I339" s="1" t="s">
        <v>43</v>
      </c>
      <c r="J339" s="1" t="s">
        <v>176</v>
      </c>
      <c r="K339" s="1">
        <v>1</v>
      </c>
      <c r="L339" s="65">
        <f t="shared" si="5"/>
        <v>1.8975332068311195E-2</v>
      </c>
      <c r="M339" s="1" t="s">
        <v>123</v>
      </c>
      <c r="N339" s="1"/>
    </row>
    <row r="340" spans="1:14" x14ac:dyDescent="0.25">
      <c r="A340" s="13">
        <v>45638</v>
      </c>
      <c r="B340" s="1" t="s">
        <v>33</v>
      </c>
      <c r="C340" s="1" t="s">
        <v>177</v>
      </c>
      <c r="D340" s="1" t="s">
        <v>182</v>
      </c>
      <c r="E340" s="1" t="s">
        <v>183</v>
      </c>
      <c r="F340" s="1" t="s">
        <v>130</v>
      </c>
      <c r="G340" s="1">
        <v>1</v>
      </c>
      <c r="H340" s="1" t="s">
        <v>54</v>
      </c>
      <c r="I340" s="1" t="s">
        <v>57</v>
      </c>
      <c r="J340" s="1" t="s">
        <v>157</v>
      </c>
      <c r="K340" s="1">
        <v>1</v>
      </c>
      <c r="L340" s="65">
        <f t="shared" si="5"/>
        <v>1.8975332068311195E-2</v>
      </c>
      <c r="M340" s="1" t="s">
        <v>109</v>
      </c>
      <c r="N340" s="1"/>
    </row>
    <row r="341" spans="1:14" x14ac:dyDescent="0.25">
      <c r="A341" s="13">
        <v>45638</v>
      </c>
      <c r="B341" s="1" t="s">
        <v>33</v>
      </c>
      <c r="C341" s="1" t="s">
        <v>177</v>
      </c>
      <c r="D341" s="1" t="s">
        <v>182</v>
      </c>
      <c r="E341" s="1" t="s">
        <v>183</v>
      </c>
      <c r="F341" s="1" t="s">
        <v>130</v>
      </c>
      <c r="G341" s="1">
        <v>1</v>
      </c>
      <c r="H341" s="1" t="s">
        <v>81</v>
      </c>
      <c r="I341" s="1" t="s">
        <v>85</v>
      </c>
      <c r="J341" s="1" t="s">
        <v>108</v>
      </c>
      <c r="K341" s="1">
        <v>1</v>
      </c>
      <c r="L341" s="65">
        <f t="shared" si="5"/>
        <v>1.8975332068311195E-2</v>
      </c>
      <c r="M341" s="1" t="s">
        <v>109</v>
      </c>
      <c r="N341" s="1"/>
    </row>
    <row r="342" spans="1:14" x14ac:dyDescent="0.25">
      <c r="A342" s="13">
        <v>45638</v>
      </c>
      <c r="B342" s="1" t="s">
        <v>33</v>
      </c>
      <c r="C342" s="1" t="s">
        <v>177</v>
      </c>
      <c r="D342" s="1" t="s">
        <v>182</v>
      </c>
      <c r="E342" s="1" t="s">
        <v>183</v>
      </c>
      <c r="F342" s="1" t="s">
        <v>145</v>
      </c>
      <c r="G342" s="1">
        <v>1</v>
      </c>
      <c r="H342" s="1" t="s">
        <v>60</v>
      </c>
      <c r="I342" s="1" t="s">
        <v>61</v>
      </c>
      <c r="J342" s="1" t="s">
        <v>184</v>
      </c>
      <c r="K342" s="1">
        <v>1</v>
      </c>
      <c r="L342" s="65">
        <f t="shared" si="5"/>
        <v>1.8975332068311195E-2</v>
      </c>
      <c r="M342" s="1" t="s">
        <v>113</v>
      </c>
      <c r="N342" s="1"/>
    </row>
    <row r="343" spans="1:14" x14ac:dyDescent="0.25">
      <c r="A343" s="13">
        <v>45638</v>
      </c>
      <c r="B343" s="1" t="s">
        <v>33</v>
      </c>
      <c r="C343" s="1" t="s">
        <v>177</v>
      </c>
      <c r="D343" s="1" t="s">
        <v>182</v>
      </c>
      <c r="E343" s="1" t="s">
        <v>183</v>
      </c>
      <c r="F343" s="1" t="s">
        <v>145</v>
      </c>
      <c r="G343" s="1">
        <v>1</v>
      </c>
      <c r="H343" s="1" t="s">
        <v>54</v>
      </c>
      <c r="I343" s="1" t="s">
        <v>55</v>
      </c>
      <c r="J343" s="1" t="s">
        <v>122</v>
      </c>
      <c r="K343" s="1">
        <f>9+8</f>
        <v>17</v>
      </c>
      <c r="L343" s="65">
        <f t="shared" si="5"/>
        <v>0.32258064516129031</v>
      </c>
      <c r="M343" s="1" t="s">
        <v>109</v>
      </c>
      <c r="N343" s="1"/>
    </row>
    <row r="344" spans="1:14" x14ac:dyDescent="0.25">
      <c r="A344" s="13">
        <v>45638</v>
      </c>
      <c r="B344" s="1" t="s">
        <v>33</v>
      </c>
      <c r="C344" s="1" t="s">
        <v>177</v>
      </c>
      <c r="D344" s="1" t="s">
        <v>182</v>
      </c>
      <c r="E344" s="1" t="s">
        <v>183</v>
      </c>
      <c r="F344" s="1" t="s">
        <v>145</v>
      </c>
      <c r="G344" s="1">
        <v>1</v>
      </c>
      <c r="H344" s="1" t="s">
        <v>54</v>
      </c>
      <c r="I344" s="1" t="s">
        <v>56</v>
      </c>
      <c r="J344" s="1" t="s">
        <v>132</v>
      </c>
      <c r="K344" s="1">
        <v>3</v>
      </c>
      <c r="L344" s="65">
        <f t="shared" si="5"/>
        <v>5.6925996204933584E-2</v>
      </c>
      <c r="M344" s="1" t="s">
        <v>109</v>
      </c>
      <c r="N344" s="1"/>
    </row>
    <row r="345" spans="1:14" x14ac:dyDescent="0.25">
      <c r="A345" s="13">
        <v>45638</v>
      </c>
      <c r="B345" s="1" t="s">
        <v>33</v>
      </c>
      <c r="C345" s="1" t="s">
        <v>177</v>
      </c>
      <c r="D345" s="1" t="s">
        <v>182</v>
      </c>
      <c r="E345" s="1" t="s">
        <v>183</v>
      </c>
      <c r="F345" s="1" t="s">
        <v>145</v>
      </c>
      <c r="G345" s="1">
        <v>1</v>
      </c>
      <c r="H345" s="1" t="s">
        <v>36</v>
      </c>
      <c r="I345" s="1" t="s">
        <v>37</v>
      </c>
      <c r="J345" s="1" t="s">
        <v>128</v>
      </c>
      <c r="K345" s="1">
        <v>2</v>
      </c>
      <c r="L345" s="65">
        <f t="shared" si="5"/>
        <v>3.7950664136622389E-2</v>
      </c>
      <c r="M345" s="1" t="s">
        <v>109</v>
      </c>
      <c r="N345" s="1"/>
    </row>
    <row r="346" spans="1:14" x14ac:dyDescent="0.25">
      <c r="A346" s="13">
        <v>45638</v>
      </c>
      <c r="B346" s="1" t="s">
        <v>33</v>
      </c>
      <c r="C346" s="1" t="s">
        <v>177</v>
      </c>
      <c r="D346" s="1" t="s">
        <v>182</v>
      </c>
      <c r="E346" s="1" t="s">
        <v>183</v>
      </c>
      <c r="F346" s="1" t="s">
        <v>145</v>
      </c>
      <c r="G346" s="1">
        <v>1</v>
      </c>
      <c r="H346" s="1" t="s">
        <v>60</v>
      </c>
      <c r="I346" s="1" t="s">
        <v>63</v>
      </c>
      <c r="J346" s="1" t="s">
        <v>112</v>
      </c>
      <c r="K346" s="1">
        <v>1</v>
      </c>
      <c r="L346" s="65">
        <f t="shared" si="5"/>
        <v>1.8975332068311195E-2</v>
      </c>
      <c r="M346" s="1" t="s">
        <v>113</v>
      </c>
      <c r="N346" s="1"/>
    </row>
    <row r="347" spans="1:14" x14ac:dyDescent="0.25">
      <c r="A347" s="13">
        <v>45638</v>
      </c>
      <c r="B347" s="1" t="s">
        <v>33</v>
      </c>
      <c r="C347" s="1" t="s">
        <v>177</v>
      </c>
      <c r="D347" s="1" t="s">
        <v>182</v>
      </c>
      <c r="E347" s="1" t="s">
        <v>183</v>
      </c>
      <c r="F347" s="1" t="s">
        <v>145</v>
      </c>
      <c r="G347" s="1">
        <v>1</v>
      </c>
      <c r="H347" s="1" t="s">
        <v>41</v>
      </c>
      <c r="I347" s="1" t="s">
        <v>42</v>
      </c>
      <c r="J347" s="1" t="s">
        <v>161</v>
      </c>
      <c r="K347" s="1">
        <v>1</v>
      </c>
      <c r="L347" s="65">
        <f t="shared" si="5"/>
        <v>1.8975332068311195E-2</v>
      </c>
      <c r="M347" s="1" t="s">
        <v>109</v>
      </c>
      <c r="N347" s="1"/>
    </row>
    <row r="348" spans="1:14" x14ac:dyDescent="0.25">
      <c r="A348" s="13">
        <v>45638</v>
      </c>
      <c r="B348" s="1" t="s">
        <v>33</v>
      </c>
      <c r="C348" s="1" t="s">
        <v>177</v>
      </c>
      <c r="D348" s="1" t="s">
        <v>182</v>
      </c>
      <c r="E348" s="1" t="s">
        <v>183</v>
      </c>
      <c r="F348" s="1" t="s">
        <v>145</v>
      </c>
      <c r="G348" s="1">
        <v>1</v>
      </c>
      <c r="H348" s="1" t="s">
        <v>60</v>
      </c>
      <c r="I348" s="1" t="s">
        <v>62</v>
      </c>
      <c r="J348" s="1" t="s">
        <v>136</v>
      </c>
      <c r="K348" s="1">
        <v>1</v>
      </c>
      <c r="L348" s="65">
        <f t="shared" si="5"/>
        <v>1.8975332068311195E-2</v>
      </c>
      <c r="M348" s="1" t="s">
        <v>113</v>
      </c>
      <c r="N348" s="1"/>
    </row>
    <row r="349" spans="1:14" x14ac:dyDescent="0.25">
      <c r="A349" s="13">
        <v>45638</v>
      </c>
      <c r="B349" s="1" t="s">
        <v>33</v>
      </c>
      <c r="C349" s="1" t="s">
        <v>177</v>
      </c>
      <c r="D349" s="1" t="s">
        <v>182</v>
      </c>
      <c r="E349" s="1" t="s">
        <v>183</v>
      </c>
      <c r="F349" s="1" t="s">
        <v>145</v>
      </c>
      <c r="G349" s="1">
        <v>1</v>
      </c>
      <c r="H349" s="1" t="s">
        <v>54</v>
      </c>
      <c r="I349" s="1" t="s">
        <v>57</v>
      </c>
      <c r="J349" s="1" t="s">
        <v>141</v>
      </c>
      <c r="K349" s="1">
        <v>2</v>
      </c>
      <c r="L349" s="65">
        <f t="shared" si="5"/>
        <v>3.7950664136622389E-2</v>
      </c>
      <c r="M349" s="1" t="s">
        <v>109</v>
      </c>
      <c r="N349" s="1"/>
    </row>
    <row r="350" spans="1:14" x14ac:dyDescent="0.25">
      <c r="A350" s="13">
        <v>45638</v>
      </c>
      <c r="B350" s="1" t="s">
        <v>33</v>
      </c>
      <c r="C350" s="1" t="s">
        <v>177</v>
      </c>
      <c r="D350" s="1" t="s">
        <v>182</v>
      </c>
      <c r="E350" s="1" t="s">
        <v>183</v>
      </c>
      <c r="F350" s="1" t="s">
        <v>145</v>
      </c>
      <c r="G350" s="1">
        <v>1</v>
      </c>
      <c r="H350" s="1" t="s">
        <v>81</v>
      </c>
      <c r="I350" s="1" t="s">
        <v>84</v>
      </c>
      <c r="J350" s="1" t="s">
        <v>187</v>
      </c>
      <c r="K350" s="1">
        <v>1</v>
      </c>
      <c r="L350" s="65">
        <f t="shared" si="5"/>
        <v>1.8975332068311195E-2</v>
      </c>
      <c r="M350" s="1" t="s">
        <v>109</v>
      </c>
      <c r="N350" s="1"/>
    </row>
    <row r="351" spans="1:14" x14ac:dyDescent="0.25">
      <c r="A351" s="13">
        <v>45638</v>
      </c>
      <c r="B351" s="1" t="s">
        <v>33</v>
      </c>
      <c r="C351" s="1" t="s">
        <v>177</v>
      </c>
      <c r="D351" s="1" t="s">
        <v>182</v>
      </c>
      <c r="E351" s="1" t="s">
        <v>183</v>
      </c>
      <c r="F351" s="1" t="s">
        <v>145</v>
      </c>
      <c r="G351" s="1">
        <v>1</v>
      </c>
      <c r="H351" s="1" t="s">
        <v>73</v>
      </c>
      <c r="I351" s="1" t="s">
        <v>75</v>
      </c>
      <c r="J351" s="1" t="s">
        <v>149</v>
      </c>
      <c r="K351" s="1">
        <v>1</v>
      </c>
      <c r="L351" s="65">
        <f t="shared" si="5"/>
        <v>1.8975332068311195E-2</v>
      </c>
      <c r="M351" s="1" t="s">
        <v>113</v>
      </c>
      <c r="N351" s="1"/>
    </row>
    <row r="352" spans="1:14" x14ac:dyDescent="0.25">
      <c r="A352" s="13">
        <v>45638</v>
      </c>
      <c r="B352" s="1" t="s">
        <v>33</v>
      </c>
      <c r="C352" s="1" t="s">
        <v>177</v>
      </c>
      <c r="D352" s="1" t="s">
        <v>182</v>
      </c>
      <c r="E352" s="1" t="s">
        <v>183</v>
      </c>
      <c r="F352" s="1" t="s">
        <v>145</v>
      </c>
      <c r="G352" s="1">
        <v>1</v>
      </c>
      <c r="H352" s="1" t="s">
        <v>54</v>
      </c>
      <c r="I352" s="1" t="s">
        <v>56</v>
      </c>
      <c r="J352" s="1" t="s">
        <v>168</v>
      </c>
      <c r="K352" s="1">
        <v>1</v>
      </c>
      <c r="L352" s="65">
        <f t="shared" si="5"/>
        <v>1.8975332068311195E-2</v>
      </c>
      <c r="M352" s="1" t="s">
        <v>109</v>
      </c>
      <c r="N352" s="1"/>
    </row>
    <row r="353" spans="1:14" x14ac:dyDescent="0.25">
      <c r="A353" s="13">
        <v>45638</v>
      </c>
      <c r="B353" s="1" t="s">
        <v>33</v>
      </c>
      <c r="C353" s="1" t="s">
        <v>177</v>
      </c>
      <c r="D353" s="1" t="s">
        <v>182</v>
      </c>
      <c r="E353" s="1" t="s">
        <v>183</v>
      </c>
      <c r="F353" s="1" t="s">
        <v>145</v>
      </c>
      <c r="G353" s="1">
        <v>1</v>
      </c>
      <c r="H353" s="1" t="s">
        <v>44</v>
      </c>
      <c r="I353" s="1" t="s">
        <v>47</v>
      </c>
      <c r="J353" s="63" t="s">
        <v>114</v>
      </c>
      <c r="K353" s="1">
        <v>3</v>
      </c>
      <c r="L353" s="65">
        <f t="shared" si="5"/>
        <v>5.6925996204933584E-2</v>
      </c>
      <c r="M353" s="1" t="s">
        <v>109</v>
      </c>
      <c r="N353" s="1"/>
    </row>
    <row r="354" spans="1:14" x14ac:dyDescent="0.25">
      <c r="A354" s="13">
        <v>45638</v>
      </c>
      <c r="B354" s="1" t="s">
        <v>33</v>
      </c>
      <c r="C354" s="1" t="s">
        <v>177</v>
      </c>
      <c r="D354" s="1" t="s">
        <v>182</v>
      </c>
      <c r="E354" s="1" t="s">
        <v>183</v>
      </c>
      <c r="F354" s="1" t="s">
        <v>159</v>
      </c>
      <c r="G354" s="1">
        <v>3</v>
      </c>
      <c r="H354" s="1" t="s">
        <v>41</v>
      </c>
      <c r="I354" s="1" t="s">
        <v>42</v>
      </c>
      <c r="J354" s="1" t="s">
        <v>161</v>
      </c>
      <c r="K354" s="1">
        <v>44</v>
      </c>
      <c r="L354" s="65">
        <f t="shared" si="5"/>
        <v>0.83491461100569253</v>
      </c>
      <c r="M354" s="1" t="s">
        <v>109</v>
      </c>
      <c r="N354" s="1"/>
    </row>
    <row r="355" spans="1:14" x14ac:dyDescent="0.25">
      <c r="A355" s="13">
        <v>45638</v>
      </c>
      <c r="B355" s="1" t="s">
        <v>33</v>
      </c>
      <c r="C355" s="1" t="s">
        <v>177</v>
      </c>
      <c r="D355" s="1" t="s">
        <v>182</v>
      </c>
      <c r="E355" s="1" t="s">
        <v>183</v>
      </c>
      <c r="F355" s="1" t="s">
        <v>159</v>
      </c>
      <c r="G355" s="1">
        <v>3</v>
      </c>
      <c r="H355" s="1" t="s">
        <v>54</v>
      </c>
      <c r="I355" s="1" t="s">
        <v>55</v>
      </c>
      <c r="J355" s="1" t="s">
        <v>122</v>
      </c>
      <c r="K355" s="1">
        <v>6</v>
      </c>
      <c r="L355" s="65">
        <f t="shared" si="5"/>
        <v>0.11385199240986717</v>
      </c>
      <c r="M355" s="1" t="s">
        <v>109</v>
      </c>
      <c r="N355" s="1"/>
    </row>
    <row r="356" spans="1:14" x14ac:dyDescent="0.25">
      <c r="A356" s="13">
        <v>45638</v>
      </c>
      <c r="B356" s="1" t="s">
        <v>33</v>
      </c>
      <c r="C356" s="1" t="s">
        <v>177</v>
      </c>
      <c r="D356" s="1" t="s">
        <v>182</v>
      </c>
      <c r="E356" s="1" t="s">
        <v>183</v>
      </c>
      <c r="F356" s="1" t="s">
        <v>159</v>
      </c>
      <c r="G356" s="1">
        <v>3</v>
      </c>
      <c r="H356" s="1" t="s">
        <v>79</v>
      </c>
      <c r="I356" s="1" t="s">
        <v>80</v>
      </c>
      <c r="J356" s="1" t="s">
        <v>142</v>
      </c>
      <c r="K356" s="1">
        <v>5</v>
      </c>
      <c r="L356" s="65">
        <f t="shared" si="5"/>
        <v>9.4876660341555979E-2</v>
      </c>
      <c r="M356" s="1" t="s">
        <v>113</v>
      </c>
      <c r="N356" s="1"/>
    </row>
    <row r="357" spans="1:14" x14ac:dyDescent="0.25">
      <c r="A357" s="13">
        <v>45638</v>
      </c>
      <c r="B357" s="1" t="s">
        <v>33</v>
      </c>
      <c r="C357" s="1" t="s">
        <v>177</v>
      </c>
      <c r="D357" s="1" t="s">
        <v>182</v>
      </c>
      <c r="E357" s="1" t="s">
        <v>183</v>
      </c>
      <c r="F357" s="1" t="s">
        <v>159</v>
      </c>
      <c r="G357" s="1">
        <v>3</v>
      </c>
      <c r="H357" s="1" t="s">
        <v>36</v>
      </c>
      <c r="I357" s="1" t="s">
        <v>37</v>
      </c>
      <c r="J357" s="1" t="s">
        <v>128</v>
      </c>
      <c r="K357" s="1">
        <v>3</v>
      </c>
      <c r="L357" s="65">
        <f t="shared" si="5"/>
        <v>5.6925996204933584E-2</v>
      </c>
      <c r="M357" s="1" t="s">
        <v>109</v>
      </c>
      <c r="N357" s="1"/>
    </row>
    <row r="358" spans="1:14" x14ac:dyDescent="0.25">
      <c r="A358" s="13">
        <v>45638</v>
      </c>
      <c r="B358" s="1" t="s">
        <v>33</v>
      </c>
      <c r="C358" s="1" t="s">
        <v>177</v>
      </c>
      <c r="D358" s="1" t="s">
        <v>182</v>
      </c>
      <c r="E358" s="1" t="s">
        <v>183</v>
      </c>
      <c r="F358" s="1" t="s">
        <v>159</v>
      </c>
      <c r="G358" s="1">
        <v>3</v>
      </c>
      <c r="H358" s="1" t="s">
        <v>71</v>
      </c>
      <c r="I358" s="1" t="s">
        <v>72</v>
      </c>
      <c r="J358" s="1" t="s">
        <v>156</v>
      </c>
      <c r="K358" s="1">
        <v>1</v>
      </c>
      <c r="L358" s="65">
        <f t="shared" si="5"/>
        <v>1.8975332068311195E-2</v>
      </c>
      <c r="M358" s="1" t="s">
        <v>113</v>
      </c>
      <c r="N358" s="1"/>
    </row>
    <row r="359" spans="1:14" x14ac:dyDescent="0.25">
      <c r="A359" s="13">
        <v>45638</v>
      </c>
      <c r="B359" s="1" t="s">
        <v>33</v>
      </c>
      <c r="C359" s="1" t="s">
        <v>177</v>
      </c>
      <c r="D359" s="1" t="s">
        <v>182</v>
      </c>
      <c r="E359" s="1" t="s">
        <v>183</v>
      </c>
      <c r="F359" s="1" t="s">
        <v>159</v>
      </c>
      <c r="G359" s="1">
        <v>3</v>
      </c>
      <c r="H359" s="1" t="s">
        <v>44</v>
      </c>
      <c r="I359" s="1" t="s">
        <v>47</v>
      </c>
      <c r="J359" s="63" t="s">
        <v>114</v>
      </c>
      <c r="K359" s="1">
        <v>1</v>
      </c>
      <c r="L359" s="65">
        <f t="shared" si="5"/>
        <v>1.8975332068311195E-2</v>
      </c>
      <c r="M359" s="1" t="s">
        <v>109</v>
      </c>
      <c r="N359" s="1"/>
    </row>
    <row r="360" spans="1:14" x14ac:dyDescent="0.25">
      <c r="A360" s="13">
        <v>45638</v>
      </c>
      <c r="B360" s="1" t="s">
        <v>33</v>
      </c>
      <c r="C360" s="1" t="s">
        <v>177</v>
      </c>
      <c r="D360" s="1" t="s">
        <v>182</v>
      </c>
      <c r="E360" s="1" t="s">
        <v>183</v>
      </c>
      <c r="F360" s="1" t="s">
        <v>159</v>
      </c>
      <c r="G360" s="1">
        <v>3</v>
      </c>
      <c r="H360" s="1" t="s">
        <v>54</v>
      </c>
      <c r="I360" s="1" t="s">
        <v>56</v>
      </c>
      <c r="J360" s="1" t="s">
        <v>132</v>
      </c>
      <c r="K360" s="1">
        <v>1</v>
      </c>
      <c r="L360" s="65">
        <f t="shared" si="5"/>
        <v>1.8975332068311195E-2</v>
      </c>
      <c r="M360" s="1" t="s">
        <v>109</v>
      </c>
      <c r="N360" s="1"/>
    </row>
    <row r="361" spans="1:14" x14ac:dyDescent="0.25">
      <c r="A361" s="13">
        <v>45638</v>
      </c>
      <c r="B361" s="1" t="s">
        <v>33</v>
      </c>
      <c r="C361" s="1" t="s">
        <v>177</v>
      </c>
      <c r="D361" s="1" t="s">
        <v>182</v>
      </c>
      <c r="E361" s="1" t="s">
        <v>183</v>
      </c>
      <c r="F361" s="1" t="s">
        <v>159</v>
      </c>
      <c r="G361" s="1">
        <v>3</v>
      </c>
      <c r="H361" s="1" t="s">
        <v>44</v>
      </c>
      <c r="I361" s="1" t="s">
        <v>49</v>
      </c>
      <c r="J361" s="1" t="s">
        <v>49</v>
      </c>
      <c r="K361" s="1">
        <v>1</v>
      </c>
      <c r="L361" s="65">
        <f t="shared" si="5"/>
        <v>1.8975332068311195E-2</v>
      </c>
      <c r="M361" s="1" t="s">
        <v>113</v>
      </c>
      <c r="N361" s="1"/>
    </row>
    <row r="362" spans="1:14" x14ac:dyDescent="0.25">
      <c r="A362" s="13">
        <v>45638</v>
      </c>
      <c r="B362" s="1" t="s">
        <v>33</v>
      </c>
      <c r="C362" s="1" t="s">
        <v>177</v>
      </c>
      <c r="D362" s="1" t="s">
        <v>182</v>
      </c>
      <c r="E362" s="1" t="s">
        <v>183</v>
      </c>
      <c r="F362" s="1" t="s">
        <v>107</v>
      </c>
      <c r="G362" s="1">
        <v>3</v>
      </c>
      <c r="H362" s="1" t="s">
        <v>44</v>
      </c>
      <c r="I362" s="1" t="s">
        <v>52</v>
      </c>
      <c r="J362" s="1" t="s">
        <v>133</v>
      </c>
      <c r="K362" s="1">
        <v>1</v>
      </c>
      <c r="L362" s="65">
        <f t="shared" si="5"/>
        <v>1.8975332068311195E-2</v>
      </c>
      <c r="M362" s="1" t="s">
        <v>119</v>
      </c>
      <c r="N362" s="1"/>
    </row>
    <row r="363" spans="1:14" x14ac:dyDescent="0.25">
      <c r="A363" s="13">
        <v>45638</v>
      </c>
      <c r="B363" s="1" t="s">
        <v>33</v>
      </c>
      <c r="C363" s="1" t="s">
        <v>177</v>
      </c>
      <c r="D363" s="1" t="s">
        <v>182</v>
      </c>
      <c r="E363" s="1" t="s">
        <v>183</v>
      </c>
      <c r="F363" s="1" t="s">
        <v>107</v>
      </c>
      <c r="G363" s="1">
        <v>3</v>
      </c>
      <c r="H363" s="1" t="s">
        <v>44</v>
      </c>
      <c r="I363" s="1" t="s">
        <v>46</v>
      </c>
      <c r="J363" s="1" t="s">
        <v>172</v>
      </c>
      <c r="K363" s="1">
        <v>1</v>
      </c>
      <c r="L363" s="65">
        <f t="shared" si="5"/>
        <v>1.8975332068311195E-2</v>
      </c>
      <c r="M363" s="1" t="s">
        <v>113</v>
      </c>
      <c r="N363" s="1"/>
    </row>
    <row r="364" spans="1:14" x14ac:dyDescent="0.25">
      <c r="A364" s="13">
        <v>45638</v>
      </c>
      <c r="B364" s="1" t="s">
        <v>33</v>
      </c>
      <c r="C364" s="1" t="s">
        <v>177</v>
      </c>
      <c r="D364" s="1" t="s">
        <v>182</v>
      </c>
      <c r="E364" s="1" t="s">
        <v>183</v>
      </c>
      <c r="F364" s="1" t="s">
        <v>107</v>
      </c>
      <c r="G364" s="1">
        <v>3</v>
      </c>
      <c r="H364" s="1" t="s">
        <v>54</v>
      </c>
      <c r="I364" s="1" t="s">
        <v>55</v>
      </c>
      <c r="J364" s="1" t="s">
        <v>122</v>
      </c>
      <c r="K364" s="1">
        <v>1</v>
      </c>
      <c r="L364" s="65">
        <f t="shared" si="5"/>
        <v>1.8975332068311195E-2</v>
      </c>
      <c r="M364" s="1" t="s">
        <v>109</v>
      </c>
      <c r="N364" s="1"/>
    </row>
    <row r="365" spans="1:14" x14ac:dyDescent="0.25">
      <c r="A365" s="13">
        <v>45779</v>
      </c>
      <c r="B365" s="25" t="s">
        <v>664</v>
      </c>
      <c r="C365" s="1" t="s">
        <v>20</v>
      </c>
      <c r="D365" s="1" t="s">
        <v>188</v>
      </c>
      <c r="E365" s="1" t="s">
        <v>189</v>
      </c>
      <c r="F365" s="1" t="s">
        <v>145</v>
      </c>
      <c r="G365" s="1">
        <v>1</v>
      </c>
      <c r="H365" s="1" t="s">
        <v>71</v>
      </c>
      <c r="I365" s="1" t="s">
        <v>72</v>
      </c>
      <c r="J365" s="1" t="s">
        <v>156</v>
      </c>
      <c r="K365" s="1">
        <v>4</v>
      </c>
      <c r="L365" s="65">
        <f t="shared" si="5"/>
        <v>7.5901328273244778E-2</v>
      </c>
      <c r="M365" s="1" t="s">
        <v>113</v>
      </c>
      <c r="N365" s="1"/>
    </row>
    <row r="366" spans="1:14" x14ac:dyDescent="0.25">
      <c r="A366" s="13">
        <v>45779</v>
      </c>
      <c r="B366" s="25" t="s">
        <v>664</v>
      </c>
      <c r="C366" s="1" t="s">
        <v>20</v>
      </c>
      <c r="D366" s="1" t="s">
        <v>188</v>
      </c>
      <c r="E366" s="1" t="s">
        <v>189</v>
      </c>
      <c r="F366" s="1" t="s">
        <v>145</v>
      </c>
      <c r="G366" s="1">
        <v>1</v>
      </c>
      <c r="H366" s="1" t="s">
        <v>73</v>
      </c>
      <c r="I366" s="1" t="s">
        <v>76</v>
      </c>
      <c r="J366" s="1" t="s">
        <v>126</v>
      </c>
      <c r="K366" s="1">
        <v>23</v>
      </c>
      <c r="L366" s="65">
        <f t="shared" si="5"/>
        <v>0.43643263757115747</v>
      </c>
      <c r="M366" s="1" t="s">
        <v>113</v>
      </c>
      <c r="N366" s="1"/>
    </row>
    <row r="367" spans="1:14" x14ac:dyDescent="0.25">
      <c r="A367" s="13">
        <v>45779</v>
      </c>
      <c r="B367" s="25" t="s">
        <v>664</v>
      </c>
      <c r="C367" s="1" t="s">
        <v>20</v>
      </c>
      <c r="D367" s="1" t="s">
        <v>188</v>
      </c>
      <c r="E367" s="1" t="s">
        <v>189</v>
      </c>
      <c r="F367" s="1" t="s">
        <v>145</v>
      </c>
      <c r="G367" s="1">
        <v>1</v>
      </c>
      <c r="H367" s="1" t="s">
        <v>79</v>
      </c>
      <c r="I367" s="1" t="s">
        <v>80</v>
      </c>
      <c r="J367" s="1" t="s">
        <v>142</v>
      </c>
      <c r="K367" s="1">
        <v>28</v>
      </c>
      <c r="L367" s="65">
        <f t="shared" si="5"/>
        <v>0.53130929791271342</v>
      </c>
      <c r="M367" s="1" t="s">
        <v>113</v>
      </c>
      <c r="N367" s="1"/>
    </row>
    <row r="368" spans="1:14" x14ac:dyDescent="0.25">
      <c r="A368" s="13">
        <v>45779</v>
      </c>
      <c r="B368" s="25" t="s">
        <v>664</v>
      </c>
      <c r="C368" s="1" t="s">
        <v>20</v>
      </c>
      <c r="D368" s="1" t="s">
        <v>188</v>
      </c>
      <c r="E368" s="1" t="s">
        <v>189</v>
      </c>
      <c r="F368" s="1" t="s">
        <v>145</v>
      </c>
      <c r="G368" s="1">
        <v>1</v>
      </c>
      <c r="H368" s="1" t="s">
        <v>44</v>
      </c>
      <c r="I368" s="1" t="s">
        <v>50</v>
      </c>
      <c r="J368" s="1" t="s">
        <v>190</v>
      </c>
      <c r="K368" s="1">
        <v>1</v>
      </c>
      <c r="L368" s="65">
        <f t="shared" si="5"/>
        <v>1.8975332068311195E-2</v>
      </c>
      <c r="M368" s="1" t="s">
        <v>113</v>
      </c>
      <c r="N368" s="1"/>
    </row>
    <row r="369" spans="1:14" x14ac:dyDescent="0.25">
      <c r="A369" s="13">
        <v>45779</v>
      </c>
      <c r="B369" s="25" t="s">
        <v>664</v>
      </c>
      <c r="C369" s="1" t="s">
        <v>20</v>
      </c>
      <c r="D369" s="1" t="s">
        <v>188</v>
      </c>
      <c r="E369" s="1" t="s">
        <v>189</v>
      </c>
      <c r="F369" s="1" t="s">
        <v>145</v>
      </c>
      <c r="G369" s="1">
        <v>1</v>
      </c>
      <c r="H369" s="1" t="s">
        <v>36</v>
      </c>
      <c r="I369" s="1" t="s">
        <v>38</v>
      </c>
      <c r="J369" s="1" t="s">
        <v>151</v>
      </c>
      <c r="K369" s="1">
        <v>3</v>
      </c>
      <c r="L369" s="65">
        <f t="shared" si="5"/>
        <v>5.6925996204933584E-2</v>
      </c>
      <c r="M369" s="1" t="s">
        <v>109</v>
      </c>
      <c r="N369" s="1"/>
    </row>
    <row r="370" spans="1:14" x14ac:dyDescent="0.25">
      <c r="A370" s="13">
        <v>45779</v>
      </c>
      <c r="B370" s="25" t="s">
        <v>664</v>
      </c>
      <c r="C370" s="1" t="s">
        <v>20</v>
      </c>
      <c r="D370" s="1" t="s">
        <v>188</v>
      </c>
      <c r="E370" s="1" t="s">
        <v>189</v>
      </c>
      <c r="F370" s="1" t="s">
        <v>145</v>
      </c>
      <c r="G370" s="1">
        <v>1</v>
      </c>
      <c r="H370" s="1" t="s">
        <v>60</v>
      </c>
      <c r="I370" s="1" t="s">
        <v>64</v>
      </c>
      <c r="J370" s="1" t="s">
        <v>118</v>
      </c>
      <c r="K370" s="1">
        <v>2</v>
      </c>
      <c r="L370" s="65">
        <f t="shared" si="5"/>
        <v>3.7950664136622389E-2</v>
      </c>
      <c r="M370" s="1" t="s">
        <v>113</v>
      </c>
      <c r="N370" s="1"/>
    </row>
    <row r="371" spans="1:14" x14ac:dyDescent="0.25">
      <c r="A371" s="13">
        <v>45779</v>
      </c>
      <c r="B371" s="25" t="s">
        <v>664</v>
      </c>
      <c r="C371" s="1" t="s">
        <v>20</v>
      </c>
      <c r="D371" s="1" t="s">
        <v>188</v>
      </c>
      <c r="E371" s="1" t="s">
        <v>189</v>
      </c>
      <c r="F371" s="1" t="s">
        <v>145</v>
      </c>
      <c r="G371" s="1">
        <v>1</v>
      </c>
      <c r="H371" s="1" t="s">
        <v>54</v>
      </c>
      <c r="I371" s="1" t="s">
        <v>55</v>
      </c>
      <c r="J371" s="1" t="s">
        <v>120</v>
      </c>
      <c r="K371" s="1">
        <v>57</v>
      </c>
      <c r="L371" s="65">
        <f t="shared" si="5"/>
        <v>1.0815939278937381</v>
      </c>
      <c r="M371" s="1" t="s">
        <v>121</v>
      </c>
      <c r="N371" s="1"/>
    </row>
    <row r="372" spans="1:14" x14ac:dyDescent="0.25">
      <c r="A372" s="13">
        <v>45779</v>
      </c>
      <c r="B372" s="25" t="s">
        <v>664</v>
      </c>
      <c r="C372" s="1" t="s">
        <v>20</v>
      </c>
      <c r="D372" s="1" t="s">
        <v>188</v>
      </c>
      <c r="E372" s="1" t="s">
        <v>189</v>
      </c>
      <c r="F372" s="1" t="s">
        <v>145</v>
      </c>
      <c r="G372" s="1">
        <v>1</v>
      </c>
      <c r="H372" s="1" t="s">
        <v>54</v>
      </c>
      <c r="I372" s="1" t="s">
        <v>55</v>
      </c>
      <c r="J372" s="1" t="s">
        <v>158</v>
      </c>
      <c r="K372" s="1">
        <v>22</v>
      </c>
      <c r="L372" s="65">
        <f t="shared" si="5"/>
        <v>0.41745730550284627</v>
      </c>
      <c r="M372" s="1" t="s">
        <v>121</v>
      </c>
      <c r="N372" s="1"/>
    </row>
    <row r="373" spans="1:14" x14ac:dyDescent="0.25">
      <c r="A373" s="13">
        <v>45779</v>
      </c>
      <c r="B373" s="25" t="s">
        <v>664</v>
      </c>
      <c r="C373" s="1" t="s">
        <v>20</v>
      </c>
      <c r="D373" s="1" t="s">
        <v>188</v>
      </c>
      <c r="E373" s="1" t="s">
        <v>189</v>
      </c>
      <c r="F373" s="1" t="s">
        <v>145</v>
      </c>
      <c r="G373" s="1">
        <v>1</v>
      </c>
      <c r="H373" s="1" t="s">
        <v>36</v>
      </c>
      <c r="I373" s="1" t="s">
        <v>39</v>
      </c>
      <c r="J373" s="1" t="s">
        <v>148</v>
      </c>
      <c r="K373" s="1">
        <v>8</v>
      </c>
      <c r="L373" s="65">
        <f t="shared" si="5"/>
        <v>0.15180265654648956</v>
      </c>
      <c r="M373" s="1" t="s">
        <v>116</v>
      </c>
      <c r="N373" s="1"/>
    </row>
    <row r="374" spans="1:14" x14ac:dyDescent="0.25">
      <c r="A374" s="13">
        <v>45779</v>
      </c>
      <c r="B374" s="25" t="s">
        <v>664</v>
      </c>
      <c r="C374" s="1" t="s">
        <v>20</v>
      </c>
      <c r="D374" s="1" t="s">
        <v>188</v>
      </c>
      <c r="E374" s="1" t="s">
        <v>189</v>
      </c>
      <c r="F374" s="1" t="s">
        <v>145</v>
      </c>
      <c r="G374" s="1">
        <v>1</v>
      </c>
      <c r="H374" s="1" t="s">
        <v>81</v>
      </c>
      <c r="I374" s="1" t="s">
        <v>83</v>
      </c>
      <c r="J374" s="1" t="s">
        <v>131</v>
      </c>
      <c r="K374" s="1">
        <v>10</v>
      </c>
      <c r="L374" s="65">
        <f t="shared" si="5"/>
        <v>0.18975332068311196</v>
      </c>
      <c r="M374" s="1" t="s">
        <v>116</v>
      </c>
      <c r="N374" s="1"/>
    </row>
    <row r="375" spans="1:14" x14ac:dyDescent="0.25">
      <c r="A375" s="13">
        <v>45779</v>
      </c>
      <c r="B375" s="25" t="s">
        <v>664</v>
      </c>
      <c r="C375" s="1" t="s">
        <v>20</v>
      </c>
      <c r="D375" s="1" t="s">
        <v>188</v>
      </c>
      <c r="E375" s="1" t="s">
        <v>189</v>
      </c>
      <c r="F375" s="1" t="s">
        <v>145</v>
      </c>
      <c r="G375" s="1">
        <v>1</v>
      </c>
      <c r="H375" s="1" t="s">
        <v>88</v>
      </c>
      <c r="I375" s="1" t="s">
        <v>89</v>
      </c>
      <c r="J375" s="1" t="s">
        <v>134</v>
      </c>
      <c r="K375" s="1">
        <v>1</v>
      </c>
      <c r="L375" s="65">
        <f t="shared" si="5"/>
        <v>1.8975332068311195E-2</v>
      </c>
      <c r="M375" s="1" t="s">
        <v>113</v>
      </c>
      <c r="N375" s="1"/>
    </row>
    <row r="376" spans="1:14" x14ac:dyDescent="0.25">
      <c r="A376" s="13">
        <v>45779</v>
      </c>
      <c r="B376" s="25" t="s">
        <v>664</v>
      </c>
      <c r="C376" s="1" t="s">
        <v>20</v>
      </c>
      <c r="D376" s="1" t="s">
        <v>188</v>
      </c>
      <c r="E376" s="1" t="s">
        <v>189</v>
      </c>
      <c r="F376" s="1" t="s">
        <v>145</v>
      </c>
      <c r="G376" s="1">
        <v>1</v>
      </c>
      <c r="H376" s="1" t="s">
        <v>81</v>
      </c>
      <c r="I376" s="1" t="s">
        <v>83</v>
      </c>
      <c r="J376" s="1" t="s">
        <v>135</v>
      </c>
      <c r="K376" s="1">
        <v>27</v>
      </c>
      <c r="L376" s="65">
        <f t="shared" si="5"/>
        <v>0.51233396584440227</v>
      </c>
      <c r="M376" s="1" t="s">
        <v>116</v>
      </c>
      <c r="N376" s="1"/>
    </row>
    <row r="377" spans="1:14" x14ac:dyDescent="0.25">
      <c r="A377" s="13">
        <v>45779</v>
      </c>
      <c r="B377" s="25" t="s">
        <v>664</v>
      </c>
      <c r="C377" s="1" t="s">
        <v>20</v>
      </c>
      <c r="D377" s="1" t="s">
        <v>188</v>
      </c>
      <c r="E377" s="1" t="s">
        <v>189</v>
      </c>
      <c r="F377" s="1" t="s">
        <v>145</v>
      </c>
      <c r="G377" s="1">
        <v>1</v>
      </c>
      <c r="H377" s="1" t="s">
        <v>44</v>
      </c>
      <c r="I377" s="1" t="s">
        <v>52</v>
      </c>
      <c r="J377" s="1" t="s">
        <v>133</v>
      </c>
      <c r="K377" s="1">
        <v>3</v>
      </c>
      <c r="L377" s="65">
        <f t="shared" si="5"/>
        <v>5.6925996204933584E-2</v>
      </c>
      <c r="M377" s="1" t="s">
        <v>119</v>
      </c>
      <c r="N377" s="1"/>
    </row>
    <row r="378" spans="1:14" x14ac:dyDescent="0.25">
      <c r="A378" s="13">
        <v>45779</v>
      </c>
      <c r="B378" s="25" t="s">
        <v>664</v>
      </c>
      <c r="C378" s="1" t="s">
        <v>20</v>
      </c>
      <c r="D378" s="1" t="s">
        <v>188</v>
      </c>
      <c r="E378" s="1" t="s">
        <v>189</v>
      </c>
      <c r="F378" s="1" t="s">
        <v>145</v>
      </c>
      <c r="G378" s="1">
        <v>1</v>
      </c>
      <c r="H378" s="1" t="s">
        <v>81</v>
      </c>
      <c r="I378" s="1" t="s">
        <v>85</v>
      </c>
      <c r="J378" s="1" t="s">
        <v>108</v>
      </c>
      <c r="K378" s="1">
        <v>4</v>
      </c>
      <c r="L378" s="65">
        <f t="shared" si="5"/>
        <v>7.5901328273244778E-2</v>
      </c>
      <c r="M378" s="1" t="s">
        <v>109</v>
      </c>
      <c r="N378" s="1"/>
    </row>
    <row r="379" spans="1:14" x14ac:dyDescent="0.25">
      <c r="A379" s="13">
        <v>45779</v>
      </c>
      <c r="B379" s="25" t="s">
        <v>664</v>
      </c>
      <c r="C379" s="1" t="s">
        <v>20</v>
      </c>
      <c r="D379" s="1" t="s">
        <v>188</v>
      </c>
      <c r="E379" s="1" t="s">
        <v>189</v>
      </c>
      <c r="F379" s="1" t="s">
        <v>145</v>
      </c>
      <c r="G379" s="1">
        <v>1</v>
      </c>
      <c r="H379" s="1" t="s">
        <v>81</v>
      </c>
      <c r="I379" s="1" t="s">
        <v>82</v>
      </c>
      <c r="J379" s="1" t="s">
        <v>138</v>
      </c>
      <c r="K379" s="1">
        <v>1</v>
      </c>
      <c r="L379" s="65">
        <f t="shared" si="5"/>
        <v>1.8975332068311195E-2</v>
      </c>
      <c r="M379" s="1" t="s">
        <v>116</v>
      </c>
      <c r="N379" s="1"/>
    </row>
    <row r="380" spans="1:14" x14ac:dyDescent="0.25">
      <c r="A380" s="13">
        <v>45779</v>
      </c>
      <c r="B380" s="25" t="s">
        <v>664</v>
      </c>
      <c r="C380" s="1" t="s">
        <v>20</v>
      </c>
      <c r="D380" s="1" t="s">
        <v>188</v>
      </c>
      <c r="E380" s="1" t="s">
        <v>189</v>
      </c>
      <c r="F380" s="1" t="s">
        <v>145</v>
      </c>
      <c r="G380" s="1">
        <v>1</v>
      </c>
      <c r="H380" s="1" t="s">
        <v>81</v>
      </c>
      <c r="I380" s="1" t="s">
        <v>191</v>
      </c>
      <c r="J380" s="1" t="s">
        <v>192</v>
      </c>
      <c r="K380" s="1">
        <v>1</v>
      </c>
      <c r="L380" s="65">
        <f t="shared" si="5"/>
        <v>1.8975332068311195E-2</v>
      </c>
      <c r="M380" s="1" t="s">
        <v>109</v>
      </c>
      <c r="N380" s="1"/>
    </row>
    <row r="381" spans="1:14" x14ac:dyDescent="0.25">
      <c r="A381" s="13">
        <v>45779</v>
      </c>
      <c r="B381" s="25" t="s">
        <v>664</v>
      </c>
      <c r="C381" s="1" t="s">
        <v>20</v>
      </c>
      <c r="D381" s="1" t="s">
        <v>188</v>
      </c>
      <c r="E381" s="1" t="s">
        <v>189</v>
      </c>
      <c r="F381" s="1" t="s">
        <v>145</v>
      </c>
      <c r="G381" s="1">
        <v>1</v>
      </c>
      <c r="H381" s="1" t="s">
        <v>54</v>
      </c>
      <c r="I381" s="1" t="s">
        <v>55</v>
      </c>
      <c r="J381" s="1" t="s">
        <v>122</v>
      </c>
      <c r="K381" s="1">
        <v>19</v>
      </c>
      <c r="L381" s="65">
        <f t="shared" si="5"/>
        <v>0.36053130929791272</v>
      </c>
      <c r="M381" s="1" t="s">
        <v>109</v>
      </c>
      <c r="N381" s="1"/>
    </row>
    <row r="382" spans="1:14" x14ac:dyDescent="0.25">
      <c r="A382" s="13">
        <v>45779</v>
      </c>
      <c r="B382" s="25" t="s">
        <v>664</v>
      </c>
      <c r="C382" s="1" t="s">
        <v>20</v>
      </c>
      <c r="D382" s="1" t="s">
        <v>188</v>
      </c>
      <c r="E382" s="1" t="s">
        <v>189</v>
      </c>
      <c r="F382" s="1" t="s">
        <v>145</v>
      </c>
      <c r="G382" s="1">
        <v>1</v>
      </c>
      <c r="H382" s="1" t="s">
        <v>60</v>
      </c>
      <c r="I382" s="1" t="s">
        <v>63</v>
      </c>
      <c r="J382" s="1" t="s">
        <v>112</v>
      </c>
      <c r="K382" s="1">
        <v>3</v>
      </c>
      <c r="L382" s="65">
        <f t="shared" si="5"/>
        <v>5.6925996204933584E-2</v>
      </c>
      <c r="M382" s="1" t="s">
        <v>113</v>
      </c>
      <c r="N382" s="1"/>
    </row>
    <row r="383" spans="1:14" x14ac:dyDescent="0.25">
      <c r="A383" s="13">
        <v>45779</v>
      </c>
      <c r="B383" s="25" t="s">
        <v>664</v>
      </c>
      <c r="C383" s="1" t="s">
        <v>20</v>
      </c>
      <c r="D383" s="1" t="s">
        <v>188</v>
      </c>
      <c r="E383" s="1" t="s">
        <v>189</v>
      </c>
      <c r="F383" s="1" t="s">
        <v>145</v>
      </c>
      <c r="G383" s="1">
        <v>1</v>
      </c>
      <c r="H383" s="1" t="s">
        <v>36</v>
      </c>
      <c r="I383" s="1" t="s">
        <v>37</v>
      </c>
      <c r="J383" s="1" t="s">
        <v>160</v>
      </c>
      <c r="K383" s="1">
        <v>7</v>
      </c>
      <c r="L383" s="65">
        <f t="shared" si="5"/>
        <v>0.13282732447817835</v>
      </c>
      <c r="M383" s="1" t="s">
        <v>109</v>
      </c>
      <c r="N383" s="1"/>
    </row>
    <row r="384" spans="1:14" x14ac:dyDescent="0.25">
      <c r="A384" s="13">
        <v>45779</v>
      </c>
      <c r="B384" s="25" t="s">
        <v>664</v>
      </c>
      <c r="C384" s="1" t="s">
        <v>20</v>
      </c>
      <c r="D384" s="1" t="s">
        <v>188</v>
      </c>
      <c r="E384" s="1" t="s">
        <v>189</v>
      </c>
      <c r="F384" s="1" t="s">
        <v>145</v>
      </c>
      <c r="G384" s="1">
        <v>1</v>
      </c>
      <c r="H384" s="1" t="s">
        <v>67</v>
      </c>
      <c r="I384" s="1" t="s">
        <v>193</v>
      </c>
      <c r="J384" s="1" t="s">
        <v>194</v>
      </c>
      <c r="K384" s="1">
        <v>2</v>
      </c>
      <c r="L384" s="65">
        <f t="shared" si="5"/>
        <v>3.7950664136622389E-2</v>
      </c>
      <c r="M384" s="1" t="s">
        <v>121</v>
      </c>
      <c r="N384" s="1"/>
    </row>
    <row r="385" spans="1:14" x14ac:dyDescent="0.25">
      <c r="A385" s="13">
        <v>45779</v>
      </c>
      <c r="B385" s="25" t="s">
        <v>664</v>
      </c>
      <c r="C385" s="1" t="s">
        <v>20</v>
      </c>
      <c r="D385" s="1" t="s">
        <v>188</v>
      </c>
      <c r="E385" s="1" t="s">
        <v>189</v>
      </c>
      <c r="F385" s="1" t="s">
        <v>145</v>
      </c>
      <c r="G385" s="1">
        <v>2</v>
      </c>
      <c r="H385" s="1" t="s">
        <v>71</v>
      </c>
      <c r="I385" s="1" t="s">
        <v>72</v>
      </c>
      <c r="J385" s="1" t="s">
        <v>156</v>
      </c>
      <c r="K385" s="1">
        <v>16</v>
      </c>
      <c r="L385" s="65">
        <f t="shared" si="5"/>
        <v>0.30360531309297911</v>
      </c>
      <c r="M385" s="1" t="s">
        <v>113</v>
      </c>
      <c r="N385" s="1"/>
    </row>
    <row r="386" spans="1:14" x14ac:dyDescent="0.25">
      <c r="A386" s="13">
        <v>45779</v>
      </c>
      <c r="B386" s="25" t="s">
        <v>664</v>
      </c>
      <c r="C386" s="1" t="s">
        <v>20</v>
      </c>
      <c r="D386" s="1" t="s">
        <v>188</v>
      </c>
      <c r="E386" s="1" t="s">
        <v>189</v>
      </c>
      <c r="F386" s="1" t="s">
        <v>145</v>
      </c>
      <c r="G386" s="1">
        <v>2</v>
      </c>
      <c r="H386" s="1" t="s">
        <v>36</v>
      </c>
      <c r="I386" s="1" t="s">
        <v>37</v>
      </c>
      <c r="J386" s="1" t="s">
        <v>128</v>
      </c>
      <c r="K386" s="1">
        <v>96</v>
      </c>
      <c r="L386" s="65">
        <f t="shared" si="5"/>
        <v>1.8216318785578747</v>
      </c>
      <c r="M386" s="1" t="s">
        <v>109</v>
      </c>
      <c r="N386" s="1"/>
    </row>
    <row r="387" spans="1:14" x14ac:dyDescent="0.25">
      <c r="A387" s="13">
        <v>45779</v>
      </c>
      <c r="B387" s="25" t="s">
        <v>664</v>
      </c>
      <c r="C387" s="1" t="s">
        <v>20</v>
      </c>
      <c r="D387" s="1" t="s">
        <v>188</v>
      </c>
      <c r="E387" s="1" t="s">
        <v>189</v>
      </c>
      <c r="F387" s="1" t="s">
        <v>145</v>
      </c>
      <c r="G387" s="1">
        <v>2</v>
      </c>
      <c r="H387" s="1" t="s">
        <v>73</v>
      </c>
      <c r="I387" s="1" t="s">
        <v>76</v>
      </c>
      <c r="J387" s="1" t="s">
        <v>126</v>
      </c>
      <c r="K387" s="1">
        <v>18</v>
      </c>
      <c r="L387" s="65">
        <f t="shared" si="5"/>
        <v>0.34155597722960152</v>
      </c>
      <c r="M387" s="1" t="s">
        <v>113</v>
      </c>
      <c r="N387" s="1"/>
    </row>
    <row r="388" spans="1:14" x14ac:dyDescent="0.25">
      <c r="A388" s="13">
        <v>45779</v>
      </c>
      <c r="B388" s="25" t="s">
        <v>664</v>
      </c>
      <c r="C388" s="1" t="s">
        <v>20</v>
      </c>
      <c r="D388" s="1" t="s">
        <v>188</v>
      </c>
      <c r="E388" s="1" t="s">
        <v>189</v>
      </c>
      <c r="F388" s="1" t="s">
        <v>145</v>
      </c>
      <c r="G388" s="1">
        <v>2</v>
      </c>
      <c r="H388" s="1" t="s">
        <v>60</v>
      </c>
      <c r="I388" s="1" t="s">
        <v>63</v>
      </c>
      <c r="J388" s="1" t="s">
        <v>112</v>
      </c>
      <c r="K388" s="1">
        <v>12</v>
      </c>
      <c r="L388" s="65">
        <f t="shared" si="5"/>
        <v>0.22770398481973433</v>
      </c>
      <c r="M388" s="1" t="s">
        <v>113</v>
      </c>
      <c r="N388" s="1"/>
    </row>
    <row r="389" spans="1:14" x14ac:dyDescent="0.25">
      <c r="A389" s="13">
        <v>45779</v>
      </c>
      <c r="B389" s="25" t="s">
        <v>664</v>
      </c>
      <c r="C389" s="1" t="s">
        <v>20</v>
      </c>
      <c r="D389" s="1" t="s">
        <v>188</v>
      </c>
      <c r="E389" s="1" t="s">
        <v>189</v>
      </c>
      <c r="F389" s="1" t="s">
        <v>145</v>
      </c>
      <c r="G389" s="1">
        <v>2</v>
      </c>
      <c r="H389" s="1" t="s">
        <v>81</v>
      </c>
      <c r="I389" s="1" t="s">
        <v>83</v>
      </c>
      <c r="J389" s="1" t="s">
        <v>131</v>
      </c>
      <c r="K389" s="1">
        <v>16</v>
      </c>
      <c r="L389" s="65">
        <f t="shared" si="5"/>
        <v>0.30360531309297911</v>
      </c>
      <c r="M389" s="1" t="s">
        <v>116</v>
      </c>
      <c r="N389" s="1"/>
    </row>
    <row r="390" spans="1:14" x14ac:dyDescent="0.25">
      <c r="A390" s="13">
        <v>45779</v>
      </c>
      <c r="B390" s="25" t="s">
        <v>664</v>
      </c>
      <c r="C390" s="1" t="s">
        <v>20</v>
      </c>
      <c r="D390" s="1" t="s">
        <v>188</v>
      </c>
      <c r="E390" s="1" t="s">
        <v>189</v>
      </c>
      <c r="F390" s="1" t="s">
        <v>145</v>
      </c>
      <c r="G390" s="1">
        <v>2</v>
      </c>
      <c r="H390" s="1" t="s">
        <v>81</v>
      </c>
      <c r="I390" s="1" t="s">
        <v>83</v>
      </c>
      <c r="J390" s="1" t="s">
        <v>135</v>
      </c>
      <c r="K390" s="1">
        <v>33</v>
      </c>
      <c r="L390" s="65">
        <f t="shared" si="5"/>
        <v>0.62618595825426948</v>
      </c>
      <c r="M390" s="1" t="s">
        <v>116</v>
      </c>
      <c r="N390" s="1"/>
    </row>
    <row r="391" spans="1:14" x14ac:dyDescent="0.25">
      <c r="A391" s="13">
        <v>45779</v>
      </c>
      <c r="B391" s="25" t="s">
        <v>664</v>
      </c>
      <c r="C391" s="1" t="s">
        <v>20</v>
      </c>
      <c r="D391" s="1" t="s">
        <v>188</v>
      </c>
      <c r="E391" s="1" t="s">
        <v>189</v>
      </c>
      <c r="F391" s="1" t="s">
        <v>145</v>
      </c>
      <c r="G391" s="1">
        <v>2</v>
      </c>
      <c r="H391" s="1" t="s">
        <v>44</v>
      </c>
      <c r="I391" s="1" t="s">
        <v>50</v>
      </c>
      <c r="J391" s="1" t="s">
        <v>190</v>
      </c>
      <c r="K391" s="1">
        <v>2</v>
      </c>
      <c r="L391" s="65">
        <f t="shared" ref="L391:L454" si="6">(K391/$P$7)*100</f>
        <v>3.7950664136622389E-2</v>
      </c>
      <c r="M391" s="1" t="s">
        <v>113</v>
      </c>
      <c r="N391" s="1"/>
    </row>
    <row r="392" spans="1:14" x14ac:dyDescent="0.25">
      <c r="A392" s="13">
        <v>45779</v>
      </c>
      <c r="B392" s="25" t="s">
        <v>664</v>
      </c>
      <c r="C392" s="1" t="s">
        <v>20</v>
      </c>
      <c r="D392" s="1" t="s">
        <v>188</v>
      </c>
      <c r="E392" s="1" t="s">
        <v>189</v>
      </c>
      <c r="F392" s="1" t="s">
        <v>145</v>
      </c>
      <c r="G392" s="1">
        <v>2</v>
      </c>
      <c r="H392" s="1" t="s">
        <v>36</v>
      </c>
      <c r="I392" s="1" t="s">
        <v>38</v>
      </c>
      <c r="J392" s="1" t="s">
        <v>151</v>
      </c>
      <c r="K392" s="1">
        <v>13</v>
      </c>
      <c r="L392" s="65">
        <f t="shared" si="6"/>
        <v>0.24667931688804554</v>
      </c>
      <c r="M392" s="1" t="s">
        <v>109</v>
      </c>
      <c r="N392" s="1" t="s">
        <v>195</v>
      </c>
    </row>
    <row r="393" spans="1:14" x14ac:dyDescent="0.25">
      <c r="A393" s="13">
        <v>45779</v>
      </c>
      <c r="B393" s="25" t="s">
        <v>664</v>
      </c>
      <c r="C393" s="1" t="s">
        <v>20</v>
      </c>
      <c r="D393" s="1" t="s">
        <v>188</v>
      </c>
      <c r="E393" s="1" t="s">
        <v>189</v>
      </c>
      <c r="F393" s="1" t="s">
        <v>145</v>
      </c>
      <c r="G393" s="1">
        <v>2</v>
      </c>
      <c r="H393" s="1" t="s">
        <v>58</v>
      </c>
      <c r="I393" s="1" t="s">
        <v>196</v>
      </c>
      <c r="J393" s="1" t="s">
        <v>197</v>
      </c>
      <c r="K393" s="1">
        <v>1</v>
      </c>
      <c r="L393" s="65">
        <f t="shared" si="6"/>
        <v>1.8975332068311195E-2</v>
      </c>
      <c r="M393" s="1" t="s">
        <v>121</v>
      </c>
      <c r="N393" s="1"/>
    </row>
    <row r="394" spans="1:14" x14ac:dyDescent="0.25">
      <c r="A394" s="13">
        <v>45779</v>
      </c>
      <c r="B394" s="25" t="s">
        <v>664</v>
      </c>
      <c r="C394" s="1" t="s">
        <v>20</v>
      </c>
      <c r="D394" s="1" t="s">
        <v>188</v>
      </c>
      <c r="E394" s="1" t="s">
        <v>189</v>
      </c>
      <c r="F394" s="1" t="s">
        <v>145</v>
      </c>
      <c r="G394" s="1">
        <v>2</v>
      </c>
      <c r="H394" s="1" t="s">
        <v>79</v>
      </c>
      <c r="I394" s="1" t="s">
        <v>80</v>
      </c>
      <c r="J394" s="1" t="s">
        <v>142</v>
      </c>
      <c r="K394" s="1">
        <v>54</v>
      </c>
      <c r="L394" s="65">
        <f t="shared" si="6"/>
        <v>1.0246679316888045</v>
      </c>
      <c r="M394" s="1" t="s">
        <v>113</v>
      </c>
      <c r="N394" s="1"/>
    </row>
    <row r="395" spans="1:14" x14ac:dyDescent="0.25">
      <c r="A395" s="13">
        <v>45779</v>
      </c>
      <c r="B395" s="25" t="s">
        <v>664</v>
      </c>
      <c r="C395" s="1" t="s">
        <v>20</v>
      </c>
      <c r="D395" s="1" t="s">
        <v>188</v>
      </c>
      <c r="E395" s="1" t="s">
        <v>189</v>
      </c>
      <c r="F395" s="1" t="s">
        <v>145</v>
      </c>
      <c r="G395" s="1">
        <v>2</v>
      </c>
      <c r="H395" s="1" t="s">
        <v>60</v>
      </c>
      <c r="I395" s="1" t="s">
        <v>64</v>
      </c>
      <c r="J395" s="1" t="s">
        <v>118</v>
      </c>
      <c r="K395" s="1">
        <v>3</v>
      </c>
      <c r="L395" s="65">
        <f t="shared" si="6"/>
        <v>5.6925996204933584E-2</v>
      </c>
      <c r="M395" s="1" t="s">
        <v>113</v>
      </c>
      <c r="N395" s="1"/>
    </row>
    <row r="396" spans="1:14" x14ac:dyDescent="0.25">
      <c r="A396" s="13">
        <v>45779</v>
      </c>
      <c r="B396" s="25" t="s">
        <v>664</v>
      </c>
      <c r="C396" s="1" t="s">
        <v>20</v>
      </c>
      <c r="D396" s="1" t="s">
        <v>188</v>
      </c>
      <c r="E396" s="1" t="s">
        <v>189</v>
      </c>
      <c r="F396" s="1" t="s">
        <v>145</v>
      </c>
      <c r="G396" s="1">
        <v>2</v>
      </c>
      <c r="H396" s="1" t="s">
        <v>36</v>
      </c>
      <c r="I396" s="1" t="s">
        <v>39</v>
      </c>
      <c r="J396" s="1" t="s">
        <v>148</v>
      </c>
      <c r="K396" s="1">
        <v>9</v>
      </c>
      <c r="L396" s="65">
        <f t="shared" si="6"/>
        <v>0.17077798861480076</v>
      </c>
      <c r="M396" s="1" t="s">
        <v>116</v>
      </c>
      <c r="N396" s="1"/>
    </row>
    <row r="397" spans="1:14" x14ac:dyDescent="0.25">
      <c r="A397" s="13">
        <v>45779</v>
      </c>
      <c r="B397" s="25" t="s">
        <v>664</v>
      </c>
      <c r="C397" s="1" t="s">
        <v>20</v>
      </c>
      <c r="D397" s="1" t="s">
        <v>188</v>
      </c>
      <c r="E397" s="1" t="s">
        <v>189</v>
      </c>
      <c r="F397" s="1" t="s">
        <v>145</v>
      </c>
      <c r="G397" s="1">
        <v>2</v>
      </c>
      <c r="H397" s="1" t="s">
        <v>44</v>
      </c>
      <c r="I397" s="1" t="s">
        <v>52</v>
      </c>
      <c r="J397" s="1" t="s">
        <v>133</v>
      </c>
      <c r="K397" s="1">
        <v>10</v>
      </c>
      <c r="L397" s="65">
        <f t="shared" si="6"/>
        <v>0.18975332068311196</v>
      </c>
      <c r="M397" s="1" t="s">
        <v>119</v>
      </c>
      <c r="N397" s="1"/>
    </row>
    <row r="398" spans="1:14" x14ac:dyDescent="0.25">
      <c r="A398" s="13">
        <v>45779</v>
      </c>
      <c r="B398" s="25" t="s">
        <v>664</v>
      </c>
      <c r="C398" s="1" t="s">
        <v>20</v>
      </c>
      <c r="D398" s="1" t="s">
        <v>188</v>
      </c>
      <c r="E398" s="1" t="s">
        <v>189</v>
      </c>
      <c r="F398" s="1" t="s">
        <v>145</v>
      </c>
      <c r="G398" s="1">
        <v>2</v>
      </c>
      <c r="H398" s="1" t="s">
        <v>54</v>
      </c>
      <c r="I398" s="1" t="s">
        <v>55</v>
      </c>
      <c r="J398" s="1" t="s">
        <v>122</v>
      </c>
      <c r="K398" s="1">
        <v>67</v>
      </c>
      <c r="L398" s="65">
        <f t="shared" si="6"/>
        <v>1.2713472485768502</v>
      </c>
      <c r="M398" s="1" t="s">
        <v>109</v>
      </c>
      <c r="N398" s="1"/>
    </row>
    <row r="399" spans="1:14" x14ac:dyDescent="0.25">
      <c r="A399" s="13">
        <v>45779</v>
      </c>
      <c r="B399" s="25" t="s">
        <v>664</v>
      </c>
      <c r="C399" s="1" t="s">
        <v>20</v>
      </c>
      <c r="D399" s="1" t="s">
        <v>188</v>
      </c>
      <c r="E399" s="1" t="s">
        <v>189</v>
      </c>
      <c r="F399" s="1" t="s">
        <v>145</v>
      </c>
      <c r="G399" s="1">
        <v>2</v>
      </c>
      <c r="H399" s="1" t="s">
        <v>54</v>
      </c>
      <c r="I399" s="1" t="s">
        <v>55</v>
      </c>
      <c r="J399" s="1" t="s">
        <v>120</v>
      </c>
      <c r="K399" s="1">
        <v>59</v>
      </c>
      <c r="L399" s="65">
        <f t="shared" si="6"/>
        <v>1.1195445920303606</v>
      </c>
      <c r="M399" s="1" t="s">
        <v>121</v>
      </c>
      <c r="N399" s="1"/>
    </row>
    <row r="400" spans="1:14" x14ac:dyDescent="0.25">
      <c r="A400" s="13">
        <v>45779</v>
      </c>
      <c r="B400" s="25" t="s">
        <v>664</v>
      </c>
      <c r="C400" s="1" t="s">
        <v>20</v>
      </c>
      <c r="D400" s="1" t="s">
        <v>188</v>
      </c>
      <c r="E400" s="1" t="s">
        <v>189</v>
      </c>
      <c r="F400" s="1" t="s">
        <v>145</v>
      </c>
      <c r="G400" s="1">
        <v>2</v>
      </c>
      <c r="H400" s="1" t="s">
        <v>44</v>
      </c>
      <c r="I400" s="1" t="s">
        <v>198</v>
      </c>
      <c r="J400" s="1" t="s">
        <v>199</v>
      </c>
      <c r="K400" s="1">
        <v>108</v>
      </c>
      <c r="L400" s="65">
        <f t="shared" si="6"/>
        <v>2.0493358633776091</v>
      </c>
      <c r="M400" s="1" t="s">
        <v>200</v>
      </c>
      <c r="N400" s="1" t="s">
        <v>201</v>
      </c>
    </row>
    <row r="401" spans="1:14" x14ac:dyDescent="0.25">
      <c r="A401" s="13">
        <v>45779</v>
      </c>
      <c r="B401" s="25" t="s">
        <v>664</v>
      </c>
      <c r="C401" s="1" t="s">
        <v>20</v>
      </c>
      <c r="D401" s="1" t="s">
        <v>188</v>
      </c>
      <c r="E401" s="1" t="s">
        <v>189</v>
      </c>
      <c r="F401" s="1" t="s">
        <v>145</v>
      </c>
      <c r="G401" s="1">
        <v>2</v>
      </c>
      <c r="H401" s="1" t="s">
        <v>36</v>
      </c>
      <c r="I401" s="1" t="s">
        <v>40</v>
      </c>
      <c r="J401" s="1" t="s">
        <v>40</v>
      </c>
      <c r="K401" s="1">
        <v>1</v>
      </c>
      <c r="L401" s="65">
        <f t="shared" si="6"/>
        <v>1.8975332068311195E-2</v>
      </c>
      <c r="M401" s="1" t="s">
        <v>113</v>
      </c>
      <c r="N401" s="1"/>
    </row>
    <row r="402" spans="1:14" x14ac:dyDescent="0.25">
      <c r="A402" s="13">
        <v>45779</v>
      </c>
      <c r="B402" s="25" t="s">
        <v>664</v>
      </c>
      <c r="C402" s="1" t="s">
        <v>20</v>
      </c>
      <c r="D402" s="1" t="s">
        <v>188</v>
      </c>
      <c r="E402" s="1" t="s">
        <v>189</v>
      </c>
      <c r="F402" s="1" t="s">
        <v>145</v>
      </c>
      <c r="G402" s="1">
        <v>2</v>
      </c>
      <c r="H402" s="1" t="s">
        <v>54</v>
      </c>
      <c r="I402" s="1" t="s">
        <v>56</v>
      </c>
      <c r="J402" s="1" t="s">
        <v>168</v>
      </c>
      <c r="K402" s="1">
        <v>2</v>
      </c>
      <c r="L402" s="65">
        <f t="shared" si="6"/>
        <v>3.7950664136622389E-2</v>
      </c>
      <c r="M402" s="1" t="s">
        <v>109</v>
      </c>
      <c r="N402" s="1"/>
    </row>
    <row r="403" spans="1:14" x14ac:dyDescent="0.25">
      <c r="A403" s="13">
        <v>45779</v>
      </c>
      <c r="B403" s="25" t="s">
        <v>664</v>
      </c>
      <c r="C403" s="1" t="s">
        <v>20</v>
      </c>
      <c r="D403" s="1" t="s">
        <v>188</v>
      </c>
      <c r="E403" s="1" t="s">
        <v>189</v>
      </c>
      <c r="F403" s="1" t="s">
        <v>145</v>
      </c>
      <c r="G403" s="1">
        <v>2</v>
      </c>
      <c r="H403" s="1" t="s">
        <v>36</v>
      </c>
      <c r="I403" s="1" t="s">
        <v>37</v>
      </c>
      <c r="J403" s="1" t="s">
        <v>160</v>
      </c>
      <c r="K403" s="1">
        <v>14</v>
      </c>
      <c r="L403" s="65">
        <f t="shared" si="6"/>
        <v>0.26565464895635671</v>
      </c>
      <c r="M403" s="1" t="s">
        <v>109</v>
      </c>
      <c r="N403" s="1"/>
    </row>
    <row r="404" spans="1:14" x14ac:dyDescent="0.25">
      <c r="A404" s="13">
        <v>45779</v>
      </c>
      <c r="B404" s="25" t="s">
        <v>664</v>
      </c>
      <c r="C404" s="1" t="s">
        <v>20</v>
      </c>
      <c r="D404" s="1" t="s">
        <v>188</v>
      </c>
      <c r="E404" s="1" t="s">
        <v>189</v>
      </c>
      <c r="F404" s="1" t="s">
        <v>145</v>
      </c>
      <c r="G404" s="1">
        <v>2</v>
      </c>
      <c r="H404" s="1" t="s">
        <v>81</v>
      </c>
      <c r="I404" s="1" t="s">
        <v>87</v>
      </c>
      <c r="J404" s="1" t="s">
        <v>155</v>
      </c>
      <c r="K404" s="1">
        <v>5</v>
      </c>
      <c r="L404" s="65">
        <f t="shared" si="6"/>
        <v>9.4876660341555979E-2</v>
      </c>
      <c r="M404" s="1" t="s">
        <v>119</v>
      </c>
      <c r="N404" s="1"/>
    </row>
    <row r="405" spans="1:14" x14ac:dyDescent="0.25">
      <c r="A405" s="13">
        <v>45779</v>
      </c>
      <c r="B405" s="25" t="s">
        <v>664</v>
      </c>
      <c r="C405" s="1" t="s">
        <v>20</v>
      </c>
      <c r="D405" s="1" t="s">
        <v>188</v>
      </c>
      <c r="E405" s="1" t="s">
        <v>189</v>
      </c>
      <c r="F405" s="1" t="s">
        <v>145</v>
      </c>
      <c r="G405" s="1">
        <v>2</v>
      </c>
      <c r="H405" s="1" t="s">
        <v>54</v>
      </c>
      <c r="I405" s="1" t="s">
        <v>55</v>
      </c>
      <c r="J405" s="1" t="s">
        <v>158</v>
      </c>
      <c r="K405" s="1">
        <v>1</v>
      </c>
      <c r="L405" s="65">
        <f t="shared" si="6"/>
        <v>1.8975332068311195E-2</v>
      </c>
      <c r="M405" s="1" t="s">
        <v>121</v>
      </c>
      <c r="N405" s="1"/>
    </row>
    <row r="406" spans="1:14" x14ac:dyDescent="0.25">
      <c r="A406" s="13">
        <v>45779</v>
      </c>
      <c r="B406" s="25" t="s">
        <v>664</v>
      </c>
      <c r="C406" s="1" t="s">
        <v>20</v>
      </c>
      <c r="D406" s="1" t="s">
        <v>188</v>
      </c>
      <c r="E406" s="1" t="s">
        <v>189</v>
      </c>
      <c r="F406" s="1" t="s">
        <v>145</v>
      </c>
      <c r="G406" s="1">
        <v>2</v>
      </c>
      <c r="H406" s="1" t="s">
        <v>44</v>
      </c>
      <c r="I406" s="1" t="s">
        <v>50</v>
      </c>
      <c r="J406" s="1" t="s">
        <v>127</v>
      </c>
      <c r="K406" s="1">
        <v>5</v>
      </c>
      <c r="L406" s="65">
        <f t="shared" si="6"/>
        <v>9.4876660341555979E-2</v>
      </c>
      <c r="M406" s="1" t="s">
        <v>113</v>
      </c>
      <c r="N406" s="1"/>
    </row>
    <row r="407" spans="1:14" x14ac:dyDescent="0.25">
      <c r="A407" s="13">
        <v>45779</v>
      </c>
      <c r="B407" s="25" t="s">
        <v>664</v>
      </c>
      <c r="C407" s="1" t="s">
        <v>20</v>
      </c>
      <c r="D407" s="1" t="s">
        <v>188</v>
      </c>
      <c r="E407" s="1" t="s">
        <v>189</v>
      </c>
      <c r="F407" s="1" t="s">
        <v>145</v>
      </c>
      <c r="G407" s="1">
        <v>2</v>
      </c>
      <c r="H407" s="1" t="s">
        <v>73</v>
      </c>
      <c r="I407" s="1" t="s">
        <v>77</v>
      </c>
      <c r="J407" s="1" t="s">
        <v>77</v>
      </c>
      <c r="K407" s="1">
        <v>3</v>
      </c>
      <c r="L407" s="65">
        <f t="shared" si="6"/>
        <v>5.6925996204933584E-2</v>
      </c>
      <c r="M407" s="1" t="s">
        <v>113</v>
      </c>
      <c r="N407" s="1"/>
    </row>
    <row r="408" spans="1:14" x14ac:dyDescent="0.25">
      <c r="A408" s="13">
        <v>45779</v>
      </c>
      <c r="B408" s="25" t="s">
        <v>664</v>
      </c>
      <c r="C408" s="1" t="s">
        <v>20</v>
      </c>
      <c r="D408" s="1" t="s">
        <v>188</v>
      </c>
      <c r="E408" s="1" t="s">
        <v>189</v>
      </c>
      <c r="F408" s="1" t="s">
        <v>145</v>
      </c>
      <c r="G408" s="1">
        <v>2</v>
      </c>
      <c r="H408" s="1" t="s">
        <v>73</v>
      </c>
      <c r="I408" s="1" t="s">
        <v>78</v>
      </c>
      <c r="J408" s="1" t="s">
        <v>147</v>
      </c>
      <c r="K408" s="1">
        <v>4</v>
      </c>
      <c r="L408" s="65">
        <f t="shared" si="6"/>
        <v>7.5901328273244778E-2</v>
      </c>
      <c r="M408" s="1" t="s">
        <v>113</v>
      </c>
      <c r="N408" s="1"/>
    </row>
    <row r="409" spans="1:14" x14ac:dyDescent="0.25">
      <c r="A409" s="13">
        <v>45779</v>
      </c>
      <c r="B409" s="25" t="s">
        <v>664</v>
      </c>
      <c r="C409" s="1" t="s">
        <v>20</v>
      </c>
      <c r="D409" s="1" t="s">
        <v>188</v>
      </c>
      <c r="E409" s="1" t="s">
        <v>189</v>
      </c>
      <c r="F409" s="1" t="s">
        <v>145</v>
      </c>
      <c r="G409" s="1">
        <v>2</v>
      </c>
      <c r="H409" s="1" t="s">
        <v>81</v>
      </c>
      <c r="I409" s="1" t="s">
        <v>85</v>
      </c>
      <c r="J409" s="1" t="s">
        <v>108</v>
      </c>
      <c r="K409" s="1">
        <v>1</v>
      </c>
      <c r="L409" s="65">
        <f t="shared" si="6"/>
        <v>1.8975332068311195E-2</v>
      </c>
      <c r="M409" s="1" t="s">
        <v>109</v>
      </c>
      <c r="N409" s="1"/>
    </row>
    <row r="410" spans="1:14" x14ac:dyDescent="0.25">
      <c r="A410" s="13">
        <v>45779</v>
      </c>
      <c r="B410" s="25" t="s">
        <v>664</v>
      </c>
      <c r="C410" s="1" t="s">
        <v>20</v>
      </c>
      <c r="D410" s="1" t="s">
        <v>188</v>
      </c>
      <c r="E410" s="1" t="s">
        <v>189</v>
      </c>
      <c r="F410" s="1" t="s">
        <v>145</v>
      </c>
      <c r="G410" s="1">
        <v>2</v>
      </c>
      <c r="H410" s="1" t="s">
        <v>54</v>
      </c>
      <c r="I410" s="1" t="s">
        <v>55</v>
      </c>
      <c r="J410" s="1" t="s">
        <v>202</v>
      </c>
      <c r="K410" s="1">
        <v>1</v>
      </c>
      <c r="L410" s="65">
        <f t="shared" si="6"/>
        <v>1.8975332068311195E-2</v>
      </c>
      <c r="M410" s="1" t="s">
        <v>109</v>
      </c>
      <c r="N410" s="1"/>
    </row>
    <row r="411" spans="1:14" x14ac:dyDescent="0.25">
      <c r="A411" s="13">
        <v>45779</v>
      </c>
      <c r="B411" s="25" t="s">
        <v>664</v>
      </c>
      <c r="C411" s="1" t="s">
        <v>20</v>
      </c>
      <c r="D411" s="1" t="s">
        <v>188</v>
      </c>
      <c r="E411" s="1" t="s">
        <v>189</v>
      </c>
      <c r="F411" s="1" t="s">
        <v>145</v>
      </c>
      <c r="G411" s="1">
        <v>2</v>
      </c>
      <c r="H411" s="1" t="s">
        <v>44</v>
      </c>
      <c r="I411" s="1" t="s">
        <v>46</v>
      </c>
      <c r="J411" s="1" t="s">
        <v>172</v>
      </c>
      <c r="K411" s="1">
        <v>2</v>
      </c>
      <c r="L411" s="65">
        <f t="shared" si="6"/>
        <v>3.7950664136622389E-2</v>
      </c>
      <c r="M411" s="1" t="s">
        <v>113</v>
      </c>
      <c r="N411" s="1"/>
    </row>
    <row r="412" spans="1:14" x14ac:dyDescent="0.25">
      <c r="A412" s="13">
        <v>45779</v>
      </c>
      <c r="B412" s="25" t="s">
        <v>664</v>
      </c>
      <c r="C412" s="1" t="s">
        <v>20</v>
      </c>
      <c r="D412" s="1" t="s">
        <v>188</v>
      </c>
      <c r="E412" s="1" t="s">
        <v>189</v>
      </c>
      <c r="F412" s="1" t="s">
        <v>145</v>
      </c>
      <c r="G412" s="1">
        <v>2</v>
      </c>
      <c r="H412" s="1" t="s">
        <v>60</v>
      </c>
      <c r="I412" s="1" t="s">
        <v>64</v>
      </c>
      <c r="J412" s="1" t="s">
        <v>117</v>
      </c>
      <c r="K412" s="1">
        <v>4</v>
      </c>
      <c r="L412" s="65">
        <f t="shared" si="6"/>
        <v>7.5901328273244778E-2</v>
      </c>
      <c r="M412" s="1" t="s">
        <v>113</v>
      </c>
      <c r="N412" s="1"/>
    </row>
    <row r="413" spans="1:14" x14ac:dyDescent="0.25">
      <c r="A413" s="13">
        <v>45779</v>
      </c>
      <c r="B413" s="25" t="s">
        <v>664</v>
      </c>
      <c r="C413" s="1" t="s">
        <v>20</v>
      </c>
      <c r="D413" s="1" t="s">
        <v>188</v>
      </c>
      <c r="E413" s="1" t="s">
        <v>189</v>
      </c>
      <c r="F413" s="1" t="s">
        <v>145</v>
      </c>
      <c r="G413" s="1">
        <v>2</v>
      </c>
      <c r="H413" s="1" t="s">
        <v>65</v>
      </c>
      <c r="I413" s="1" t="s">
        <v>66</v>
      </c>
      <c r="J413" s="1" t="s">
        <v>139</v>
      </c>
      <c r="K413" s="1">
        <v>1</v>
      </c>
      <c r="L413" s="65">
        <f t="shared" si="6"/>
        <v>1.8975332068311195E-2</v>
      </c>
      <c r="M413" s="1" t="s">
        <v>121</v>
      </c>
      <c r="N413" s="1"/>
    </row>
    <row r="414" spans="1:14" x14ac:dyDescent="0.25">
      <c r="A414" s="13">
        <v>45779</v>
      </c>
      <c r="B414" s="25" t="s">
        <v>664</v>
      </c>
      <c r="C414" s="1" t="s">
        <v>20</v>
      </c>
      <c r="D414" s="1" t="s">
        <v>188</v>
      </c>
      <c r="E414" s="1" t="s">
        <v>189</v>
      </c>
      <c r="F414" s="1" t="s">
        <v>145</v>
      </c>
      <c r="G414" s="1">
        <v>2</v>
      </c>
      <c r="H414" s="1" t="s">
        <v>81</v>
      </c>
      <c r="I414" s="1" t="s">
        <v>203</v>
      </c>
      <c r="J414" s="1" t="s">
        <v>204</v>
      </c>
      <c r="K414" s="1">
        <v>2</v>
      </c>
      <c r="L414" s="65">
        <f t="shared" si="6"/>
        <v>3.7950664136622389E-2</v>
      </c>
      <c r="M414" s="1" t="s">
        <v>121</v>
      </c>
      <c r="N414" s="1"/>
    </row>
    <row r="415" spans="1:14" x14ac:dyDescent="0.25">
      <c r="A415" s="13">
        <v>45779</v>
      </c>
      <c r="B415" s="25" t="s">
        <v>664</v>
      </c>
      <c r="C415" s="1" t="s">
        <v>20</v>
      </c>
      <c r="D415" s="1" t="s">
        <v>188</v>
      </c>
      <c r="E415" s="1" t="s">
        <v>189</v>
      </c>
      <c r="F415" s="1" t="s">
        <v>145</v>
      </c>
      <c r="G415" s="1">
        <v>2</v>
      </c>
      <c r="H415" s="1" t="s">
        <v>81</v>
      </c>
      <c r="I415" s="1" t="s">
        <v>205</v>
      </c>
      <c r="J415" s="1" t="s">
        <v>206</v>
      </c>
      <c r="K415" s="1">
        <v>1</v>
      </c>
      <c r="L415" s="65">
        <f t="shared" si="6"/>
        <v>1.8975332068311195E-2</v>
      </c>
      <c r="M415" s="1" t="s">
        <v>113</v>
      </c>
      <c r="N415" s="1"/>
    </row>
    <row r="416" spans="1:14" x14ac:dyDescent="0.25">
      <c r="A416" s="13">
        <v>45779</v>
      </c>
      <c r="B416" s="25" t="s">
        <v>664</v>
      </c>
      <c r="C416" s="1" t="s">
        <v>20</v>
      </c>
      <c r="D416" s="1" t="s">
        <v>188</v>
      </c>
      <c r="E416" s="1" t="s">
        <v>189</v>
      </c>
      <c r="F416" s="1" t="s">
        <v>145</v>
      </c>
      <c r="G416" s="1">
        <v>2</v>
      </c>
      <c r="H416" s="1" t="s">
        <v>44</v>
      </c>
      <c r="I416" s="1" t="s">
        <v>47</v>
      </c>
      <c r="J416" s="63" t="s">
        <v>114</v>
      </c>
      <c r="K416" s="1">
        <v>1</v>
      </c>
      <c r="L416" s="65">
        <f t="shared" si="6"/>
        <v>1.8975332068311195E-2</v>
      </c>
      <c r="M416" s="1" t="s">
        <v>109</v>
      </c>
      <c r="N416" s="1"/>
    </row>
    <row r="417" spans="1:14" x14ac:dyDescent="0.25">
      <c r="A417" s="13">
        <v>45779</v>
      </c>
      <c r="B417" s="25" t="s">
        <v>664</v>
      </c>
      <c r="C417" s="1" t="s">
        <v>20</v>
      </c>
      <c r="D417" s="1" t="s">
        <v>188</v>
      </c>
      <c r="E417" s="1" t="s">
        <v>189</v>
      </c>
      <c r="F417" s="1" t="s">
        <v>145</v>
      </c>
      <c r="G417" s="1">
        <v>3</v>
      </c>
      <c r="H417" s="1" t="s">
        <v>71</v>
      </c>
      <c r="I417" s="1" t="s">
        <v>72</v>
      </c>
      <c r="J417" s="1" t="s">
        <v>156</v>
      </c>
      <c r="K417" s="1">
        <v>11</v>
      </c>
      <c r="L417" s="65">
        <f t="shared" si="6"/>
        <v>0.20872865275142313</v>
      </c>
      <c r="M417" s="1" t="s">
        <v>113</v>
      </c>
      <c r="N417" s="1"/>
    </row>
    <row r="418" spans="1:14" x14ac:dyDescent="0.25">
      <c r="A418" s="13">
        <v>45779</v>
      </c>
      <c r="B418" s="25" t="s">
        <v>664</v>
      </c>
      <c r="C418" s="1" t="s">
        <v>20</v>
      </c>
      <c r="D418" s="1" t="s">
        <v>188</v>
      </c>
      <c r="E418" s="1" t="s">
        <v>189</v>
      </c>
      <c r="F418" s="1" t="s">
        <v>145</v>
      </c>
      <c r="G418" s="1">
        <v>3</v>
      </c>
      <c r="H418" s="1" t="s">
        <v>73</v>
      </c>
      <c r="I418" s="1" t="s">
        <v>76</v>
      </c>
      <c r="J418" s="1" t="s">
        <v>126</v>
      </c>
      <c r="K418" s="1">
        <v>18</v>
      </c>
      <c r="L418" s="65">
        <f t="shared" si="6"/>
        <v>0.34155597722960152</v>
      </c>
      <c r="M418" s="1" t="s">
        <v>113</v>
      </c>
      <c r="N418" s="1"/>
    </row>
    <row r="419" spans="1:14" x14ac:dyDescent="0.25">
      <c r="A419" s="13">
        <v>45779</v>
      </c>
      <c r="B419" s="25" t="s">
        <v>664</v>
      </c>
      <c r="C419" s="1" t="s">
        <v>20</v>
      </c>
      <c r="D419" s="1" t="s">
        <v>188</v>
      </c>
      <c r="E419" s="1" t="s">
        <v>189</v>
      </c>
      <c r="F419" s="1" t="s">
        <v>145</v>
      </c>
      <c r="G419" s="1">
        <v>3</v>
      </c>
      <c r="H419" s="1" t="s">
        <v>81</v>
      </c>
      <c r="I419" s="1" t="s">
        <v>82</v>
      </c>
      <c r="J419" s="1" t="s">
        <v>138</v>
      </c>
      <c r="K419" s="1">
        <v>1</v>
      </c>
      <c r="L419" s="65">
        <f t="shared" si="6"/>
        <v>1.8975332068311195E-2</v>
      </c>
      <c r="M419" s="1" t="s">
        <v>116</v>
      </c>
      <c r="N419" s="1"/>
    </row>
    <row r="420" spans="1:14" x14ac:dyDescent="0.25">
      <c r="A420" s="13">
        <v>45779</v>
      </c>
      <c r="B420" s="25" t="s">
        <v>664</v>
      </c>
      <c r="C420" s="1" t="s">
        <v>20</v>
      </c>
      <c r="D420" s="1" t="s">
        <v>188</v>
      </c>
      <c r="E420" s="1" t="s">
        <v>189</v>
      </c>
      <c r="F420" s="1" t="s">
        <v>145</v>
      </c>
      <c r="G420" s="1">
        <v>3</v>
      </c>
      <c r="H420" s="1" t="s">
        <v>36</v>
      </c>
      <c r="I420" s="1" t="s">
        <v>38</v>
      </c>
      <c r="J420" s="1" t="s">
        <v>151</v>
      </c>
      <c r="K420" s="1">
        <v>2</v>
      </c>
      <c r="L420" s="65">
        <f t="shared" si="6"/>
        <v>3.7950664136622389E-2</v>
      </c>
      <c r="M420" s="1" t="s">
        <v>109</v>
      </c>
      <c r="N420" s="1"/>
    </row>
    <row r="421" spans="1:14" x14ac:dyDescent="0.25">
      <c r="A421" s="13">
        <v>45779</v>
      </c>
      <c r="B421" s="25" t="s">
        <v>664</v>
      </c>
      <c r="C421" s="1" t="s">
        <v>20</v>
      </c>
      <c r="D421" s="1" t="s">
        <v>188</v>
      </c>
      <c r="E421" s="1" t="s">
        <v>189</v>
      </c>
      <c r="F421" s="1" t="s">
        <v>145</v>
      </c>
      <c r="G421" s="1">
        <v>3</v>
      </c>
      <c r="H421" s="1" t="s">
        <v>79</v>
      </c>
      <c r="I421" s="1" t="s">
        <v>80</v>
      </c>
      <c r="J421" s="1" t="s">
        <v>142</v>
      </c>
      <c r="K421" s="1">
        <v>16</v>
      </c>
      <c r="L421" s="65">
        <f t="shared" si="6"/>
        <v>0.30360531309297911</v>
      </c>
      <c r="M421" s="1" t="s">
        <v>113</v>
      </c>
      <c r="N421" s="1"/>
    </row>
    <row r="422" spans="1:14" x14ac:dyDescent="0.25">
      <c r="A422" s="13">
        <v>45779</v>
      </c>
      <c r="B422" s="25" t="s">
        <v>664</v>
      </c>
      <c r="C422" s="1" t="s">
        <v>20</v>
      </c>
      <c r="D422" s="1" t="s">
        <v>188</v>
      </c>
      <c r="E422" s="1" t="s">
        <v>189</v>
      </c>
      <c r="F422" s="1" t="s">
        <v>145</v>
      </c>
      <c r="G422" s="1">
        <v>3</v>
      </c>
      <c r="H422" s="1" t="s">
        <v>81</v>
      </c>
      <c r="I422" s="1" t="s">
        <v>83</v>
      </c>
      <c r="J422" s="1" t="s">
        <v>131</v>
      </c>
      <c r="K422" s="1">
        <v>18</v>
      </c>
      <c r="L422" s="65">
        <f t="shared" si="6"/>
        <v>0.34155597722960152</v>
      </c>
      <c r="M422" s="1" t="s">
        <v>116</v>
      </c>
      <c r="N422" s="1"/>
    </row>
    <row r="423" spans="1:14" x14ac:dyDescent="0.25">
      <c r="A423" s="13">
        <v>45779</v>
      </c>
      <c r="B423" s="25" t="s">
        <v>664</v>
      </c>
      <c r="C423" s="1" t="s">
        <v>20</v>
      </c>
      <c r="D423" s="1" t="s">
        <v>188</v>
      </c>
      <c r="E423" s="1" t="s">
        <v>189</v>
      </c>
      <c r="F423" s="1" t="s">
        <v>145</v>
      </c>
      <c r="G423" s="1">
        <v>3</v>
      </c>
      <c r="H423" s="1" t="s">
        <v>60</v>
      </c>
      <c r="I423" s="1" t="s">
        <v>63</v>
      </c>
      <c r="J423" s="1" t="s">
        <v>112</v>
      </c>
      <c r="K423" s="1">
        <v>2</v>
      </c>
      <c r="L423" s="65">
        <f t="shared" si="6"/>
        <v>3.7950664136622389E-2</v>
      </c>
      <c r="M423" s="1" t="s">
        <v>113</v>
      </c>
      <c r="N423" s="1"/>
    </row>
    <row r="424" spans="1:14" x14ac:dyDescent="0.25">
      <c r="A424" s="13">
        <v>45779</v>
      </c>
      <c r="B424" s="25" t="s">
        <v>664</v>
      </c>
      <c r="C424" s="1" t="s">
        <v>20</v>
      </c>
      <c r="D424" s="1" t="s">
        <v>188</v>
      </c>
      <c r="E424" s="1" t="s">
        <v>189</v>
      </c>
      <c r="F424" s="1" t="s">
        <v>145</v>
      </c>
      <c r="G424" s="1">
        <v>3</v>
      </c>
      <c r="H424" s="1" t="s">
        <v>36</v>
      </c>
      <c r="I424" s="1" t="s">
        <v>37</v>
      </c>
      <c r="J424" s="1" t="s">
        <v>128</v>
      </c>
      <c r="K424" s="1">
        <v>3</v>
      </c>
      <c r="L424" s="65">
        <f t="shared" si="6"/>
        <v>5.6925996204933584E-2</v>
      </c>
      <c r="M424" s="1" t="s">
        <v>109</v>
      </c>
      <c r="N424" s="1"/>
    </row>
    <row r="425" spans="1:14" x14ac:dyDescent="0.25">
      <c r="A425" s="13">
        <v>45779</v>
      </c>
      <c r="B425" s="25" t="s">
        <v>664</v>
      </c>
      <c r="C425" s="1" t="s">
        <v>20</v>
      </c>
      <c r="D425" s="1" t="s">
        <v>188</v>
      </c>
      <c r="E425" s="1" t="s">
        <v>189</v>
      </c>
      <c r="F425" s="1" t="s">
        <v>145</v>
      </c>
      <c r="G425" s="1">
        <v>3</v>
      </c>
      <c r="H425" s="1" t="s">
        <v>36</v>
      </c>
      <c r="I425" s="1" t="s">
        <v>37</v>
      </c>
      <c r="J425" s="1" t="s">
        <v>160</v>
      </c>
      <c r="K425" s="1">
        <v>10</v>
      </c>
      <c r="L425" s="65">
        <f t="shared" si="6"/>
        <v>0.18975332068311196</v>
      </c>
      <c r="M425" s="1" t="s">
        <v>109</v>
      </c>
      <c r="N425" s="1"/>
    </row>
    <row r="426" spans="1:14" x14ac:dyDescent="0.25">
      <c r="A426" s="13">
        <v>45779</v>
      </c>
      <c r="B426" s="25" t="s">
        <v>664</v>
      </c>
      <c r="C426" s="1" t="s">
        <v>20</v>
      </c>
      <c r="D426" s="1" t="s">
        <v>188</v>
      </c>
      <c r="E426" s="1" t="s">
        <v>189</v>
      </c>
      <c r="F426" s="1" t="s">
        <v>145</v>
      </c>
      <c r="G426" s="1">
        <v>3</v>
      </c>
      <c r="H426" s="1" t="s">
        <v>36</v>
      </c>
      <c r="I426" s="1" t="s">
        <v>207</v>
      </c>
      <c r="J426" s="1" t="s">
        <v>208</v>
      </c>
      <c r="K426" s="1">
        <v>10</v>
      </c>
      <c r="L426" s="65">
        <f t="shared" si="6"/>
        <v>0.18975332068311196</v>
      </c>
      <c r="M426" s="1" t="s">
        <v>109</v>
      </c>
      <c r="N426" s="1"/>
    </row>
    <row r="427" spans="1:14" x14ac:dyDescent="0.25">
      <c r="A427" s="13">
        <v>45779</v>
      </c>
      <c r="B427" s="25" t="s">
        <v>664</v>
      </c>
      <c r="C427" s="1" t="s">
        <v>20</v>
      </c>
      <c r="D427" s="1" t="s">
        <v>188</v>
      </c>
      <c r="E427" s="1" t="s">
        <v>189</v>
      </c>
      <c r="F427" s="1" t="s">
        <v>145</v>
      </c>
      <c r="G427" s="1">
        <v>3</v>
      </c>
      <c r="H427" s="1" t="s">
        <v>73</v>
      </c>
      <c r="I427" s="1" t="s">
        <v>78</v>
      </c>
      <c r="J427" s="1" t="s">
        <v>147</v>
      </c>
      <c r="K427" s="1">
        <v>1</v>
      </c>
      <c r="L427" s="65">
        <f t="shared" si="6"/>
        <v>1.8975332068311195E-2</v>
      </c>
      <c r="M427" s="1" t="s">
        <v>113</v>
      </c>
      <c r="N427" s="1"/>
    </row>
    <row r="428" spans="1:14" x14ac:dyDescent="0.25">
      <c r="A428" s="13">
        <v>45779</v>
      </c>
      <c r="B428" s="25" t="s">
        <v>664</v>
      </c>
      <c r="C428" s="1" t="s">
        <v>20</v>
      </c>
      <c r="D428" s="1" t="s">
        <v>188</v>
      </c>
      <c r="E428" s="1" t="s">
        <v>189</v>
      </c>
      <c r="F428" s="1" t="s">
        <v>145</v>
      </c>
      <c r="G428" s="1">
        <v>3</v>
      </c>
      <c r="H428" s="1" t="s">
        <v>36</v>
      </c>
      <c r="I428" s="1" t="s">
        <v>39</v>
      </c>
      <c r="J428" s="1" t="s">
        <v>148</v>
      </c>
      <c r="K428" s="1">
        <v>5</v>
      </c>
      <c r="L428" s="65">
        <f t="shared" si="6"/>
        <v>9.4876660341555979E-2</v>
      </c>
      <c r="M428" s="1" t="s">
        <v>116</v>
      </c>
      <c r="N428" s="1"/>
    </row>
    <row r="429" spans="1:14" x14ac:dyDescent="0.25">
      <c r="A429" s="13">
        <v>45779</v>
      </c>
      <c r="B429" s="25" t="s">
        <v>664</v>
      </c>
      <c r="C429" s="1" t="s">
        <v>20</v>
      </c>
      <c r="D429" s="1" t="s">
        <v>188</v>
      </c>
      <c r="E429" s="1" t="s">
        <v>189</v>
      </c>
      <c r="F429" s="1" t="s">
        <v>145</v>
      </c>
      <c r="G429" s="1">
        <v>3</v>
      </c>
      <c r="H429" s="1" t="s">
        <v>54</v>
      </c>
      <c r="I429" s="1" t="s">
        <v>55</v>
      </c>
      <c r="J429" s="1" t="s">
        <v>120</v>
      </c>
      <c r="K429" s="1">
        <v>71</v>
      </c>
      <c r="L429" s="65">
        <f t="shared" si="6"/>
        <v>1.3472485768500948</v>
      </c>
      <c r="M429" s="1" t="s">
        <v>121</v>
      </c>
      <c r="N429" s="1"/>
    </row>
    <row r="430" spans="1:14" x14ac:dyDescent="0.25">
      <c r="A430" s="13">
        <v>45779</v>
      </c>
      <c r="B430" s="25" t="s">
        <v>664</v>
      </c>
      <c r="C430" s="1" t="s">
        <v>20</v>
      </c>
      <c r="D430" s="1" t="s">
        <v>188</v>
      </c>
      <c r="E430" s="1" t="s">
        <v>189</v>
      </c>
      <c r="F430" s="1" t="s">
        <v>145</v>
      </c>
      <c r="G430" s="1">
        <v>3</v>
      </c>
      <c r="H430" s="1" t="s">
        <v>36</v>
      </c>
      <c r="I430" s="1" t="s">
        <v>37</v>
      </c>
      <c r="J430" s="1" t="s">
        <v>128</v>
      </c>
      <c r="K430" s="1">
        <v>51</v>
      </c>
      <c r="L430" s="65">
        <f t="shared" si="6"/>
        <v>0.967741935483871</v>
      </c>
      <c r="M430" s="1" t="s">
        <v>109</v>
      </c>
      <c r="N430" s="1"/>
    </row>
    <row r="431" spans="1:14" x14ac:dyDescent="0.25">
      <c r="A431" s="13">
        <v>45779</v>
      </c>
      <c r="B431" s="25" t="s">
        <v>664</v>
      </c>
      <c r="C431" s="1" t="s">
        <v>20</v>
      </c>
      <c r="D431" s="1" t="s">
        <v>188</v>
      </c>
      <c r="E431" s="1" t="s">
        <v>189</v>
      </c>
      <c r="F431" s="1" t="s">
        <v>145</v>
      </c>
      <c r="G431" s="1">
        <v>3</v>
      </c>
      <c r="H431" s="1" t="s">
        <v>44</v>
      </c>
      <c r="I431" s="1" t="s">
        <v>50</v>
      </c>
      <c r="J431" s="1" t="s">
        <v>190</v>
      </c>
      <c r="K431" s="1">
        <v>1</v>
      </c>
      <c r="L431" s="65">
        <f t="shared" si="6"/>
        <v>1.8975332068311195E-2</v>
      </c>
      <c r="M431" s="1" t="s">
        <v>113</v>
      </c>
      <c r="N431" s="1"/>
    </row>
    <row r="432" spans="1:14" x14ac:dyDescent="0.25">
      <c r="A432" s="13">
        <v>45779</v>
      </c>
      <c r="B432" s="25" t="s">
        <v>664</v>
      </c>
      <c r="C432" s="1" t="s">
        <v>20</v>
      </c>
      <c r="D432" s="1" t="s">
        <v>188</v>
      </c>
      <c r="E432" s="1" t="s">
        <v>189</v>
      </c>
      <c r="F432" s="1" t="s">
        <v>145</v>
      </c>
      <c r="G432" s="1">
        <v>3</v>
      </c>
      <c r="H432" s="1" t="s">
        <v>44</v>
      </c>
      <c r="I432" s="1" t="s">
        <v>52</v>
      </c>
      <c r="J432" s="1" t="s">
        <v>133</v>
      </c>
      <c r="K432" s="1">
        <v>2</v>
      </c>
      <c r="L432" s="65">
        <f t="shared" si="6"/>
        <v>3.7950664136622389E-2</v>
      </c>
      <c r="M432" s="1" t="s">
        <v>119</v>
      </c>
      <c r="N432" s="1"/>
    </row>
    <row r="433" spans="1:14" x14ac:dyDescent="0.25">
      <c r="A433" s="13">
        <v>45779</v>
      </c>
      <c r="B433" s="25" t="s">
        <v>664</v>
      </c>
      <c r="C433" s="1" t="s">
        <v>20</v>
      </c>
      <c r="D433" s="1" t="s">
        <v>188</v>
      </c>
      <c r="E433" s="1" t="s">
        <v>189</v>
      </c>
      <c r="F433" s="1" t="s">
        <v>145</v>
      </c>
      <c r="G433" s="1">
        <v>3</v>
      </c>
      <c r="H433" s="1" t="s">
        <v>54</v>
      </c>
      <c r="I433" s="1" t="s">
        <v>55</v>
      </c>
      <c r="J433" s="1" t="s">
        <v>122</v>
      </c>
      <c r="K433" s="1">
        <v>58</v>
      </c>
      <c r="L433" s="65">
        <f t="shared" si="6"/>
        <v>1.1005692599620494</v>
      </c>
      <c r="M433" s="1" t="s">
        <v>109</v>
      </c>
      <c r="N433" s="1"/>
    </row>
    <row r="434" spans="1:14" x14ac:dyDescent="0.25">
      <c r="A434" s="13">
        <v>45779</v>
      </c>
      <c r="B434" s="25" t="s">
        <v>664</v>
      </c>
      <c r="C434" s="1" t="s">
        <v>20</v>
      </c>
      <c r="D434" s="1" t="s">
        <v>188</v>
      </c>
      <c r="E434" s="1" t="s">
        <v>189</v>
      </c>
      <c r="F434" s="1" t="s">
        <v>145</v>
      </c>
      <c r="G434" s="1">
        <v>3</v>
      </c>
      <c r="H434" s="1" t="s">
        <v>81</v>
      </c>
      <c r="I434" s="1" t="s">
        <v>85</v>
      </c>
      <c r="J434" s="1" t="s">
        <v>108</v>
      </c>
      <c r="K434" s="1">
        <v>1</v>
      </c>
      <c r="L434" s="65">
        <f t="shared" si="6"/>
        <v>1.8975332068311195E-2</v>
      </c>
      <c r="M434" s="1" t="s">
        <v>109</v>
      </c>
      <c r="N434" s="1"/>
    </row>
    <row r="435" spans="1:14" x14ac:dyDescent="0.25">
      <c r="A435" s="13">
        <v>45779</v>
      </c>
      <c r="B435" s="25" t="s">
        <v>664</v>
      </c>
      <c r="C435" s="1" t="s">
        <v>20</v>
      </c>
      <c r="D435" s="1" t="s">
        <v>188</v>
      </c>
      <c r="E435" s="1" t="s">
        <v>189</v>
      </c>
      <c r="F435" s="1" t="s">
        <v>145</v>
      </c>
      <c r="G435" s="1">
        <v>3</v>
      </c>
      <c r="H435" s="1" t="s">
        <v>81</v>
      </c>
      <c r="I435" s="1" t="s">
        <v>191</v>
      </c>
      <c r="J435" s="1" t="s">
        <v>192</v>
      </c>
      <c r="K435" s="1">
        <v>3</v>
      </c>
      <c r="L435" s="65">
        <f t="shared" si="6"/>
        <v>5.6925996204933584E-2</v>
      </c>
      <c r="M435" s="1" t="s">
        <v>109</v>
      </c>
      <c r="N435" s="1"/>
    </row>
    <row r="436" spans="1:14" x14ac:dyDescent="0.25">
      <c r="A436" s="13">
        <v>45779</v>
      </c>
      <c r="B436" s="25" t="s">
        <v>664</v>
      </c>
      <c r="C436" s="1" t="s">
        <v>20</v>
      </c>
      <c r="D436" s="1" t="s">
        <v>188</v>
      </c>
      <c r="E436" s="1" t="s">
        <v>189</v>
      </c>
      <c r="F436" s="1" t="s">
        <v>145</v>
      </c>
      <c r="G436" s="1">
        <v>3</v>
      </c>
      <c r="H436" s="1" t="s">
        <v>54</v>
      </c>
      <c r="I436" s="1" t="s">
        <v>55</v>
      </c>
      <c r="J436" s="1" t="s">
        <v>158</v>
      </c>
      <c r="K436" s="1">
        <v>11</v>
      </c>
      <c r="L436" s="65">
        <f t="shared" si="6"/>
        <v>0.20872865275142313</v>
      </c>
      <c r="M436" s="1" t="s">
        <v>121</v>
      </c>
      <c r="N436" s="1"/>
    </row>
    <row r="437" spans="1:14" x14ac:dyDescent="0.25">
      <c r="A437" s="13">
        <v>45779</v>
      </c>
      <c r="B437" s="25" t="s">
        <v>664</v>
      </c>
      <c r="C437" s="1" t="s">
        <v>20</v>
      </c>
      <c r="D437" s="1" t="s">
        <v>188</v>
      </c>
      <c r="E437" s="1" t="s">
        <v>189</v>
      </c>
      <c r="F437" s="1" t="s">
        <v>145</v>
      </c>
      <c r="G437" s="1">
        <v>3</v>
      </c>
      <c r="H437" s="1" t="s">
        <v>44</v>
      </c>
      <c r="I437" s="1" t="s">
        <v>47</v>
      </c>
      <c r="J437" s="1" t="s">
        <v>124</v>
      </c>
      <c r="K437" s="1">
        <v>8</v>
      </c>
      <c r="L437" s="65">
        <f t="shared" si="6"/>
        <v>0.15180265654648956</v>
      </c>
      <c r="M437" s="1" t="s">
        <v>113</v>
      </c>
      <c r="N437" s="1"/>
    </row>
    <row r="438" spans="1:14" x14ac:dyDescent="0.25">
      <c r="A438" s="13">
        <v>45779</v>
      </c>
      <c r="B438" s="25" t="s">
        <v>664</v>
      </c>
      <c r="C438" s="1" t="s">
        <v>20</v>
      </c>
      <c r="D438" s="1" t="s">
        <v>188</v>
      </c>
      <c r="E438" s="1" t="s">
        <v>189</v>
      </c>
      <c r="F438" s="1" t="s">
        <v>159</v>
      </c>
      <c r="G438" s="1">
        <v>1</v>
      </c>
      <c r="H438" s="1" t="s">
        <v>71</v>
      </c>
      <c r="I438" s="1" t="s">
        <v>72</v>
      </c>
      <c r="J438" s="1" t="s">
        <v>156</v>
      </c>
      <c r="K438" s="1">
        <v>1</v>
      </c>
      <c r="L438" s="65">
        <f t="shared" si="6"/>
        <v>1.8975332068311195E-2</v>
      </c>
      <c r="M438" s="1" t="s">
        <v>113</v>
      </c>
      <c r="N438" s="1"/>
    </row>
    <row r="439" spans="1:14" x14ac:dyDescent="0.25">
      <c r="A439" s="13">
        <v>45779</v>
      </c>
      <c r="B439" s="25" t="s">
        <v>664</v>
      </c>
      <c r="C439" s="1" t="s">
        <v>20</v>
      </c>
      <c r="D439" s="1" t="s">
        <v>188</v>
      </c>
      <c r="E439" s="1" t="s">
        <v>189</v>
      </c>
      <c r="F439" s="1" t="s">
        <v>159</v>
      </c>
      <c r="G439" s="1">
        <v>1</v>
      </c>
      <c r="H439" s="1" t="s">
        <v>60</v>
      </c>
      <c r="I439" s="1" t="s">
        <v>63</v>
      </c>
      <c r="J439" s="1" t="s">
        <v>112</v>
      </c>
      <c r="K439" s="1">
        <v>8</v>
      </c>
      <c r="L439" s="65">
        <f t="shared" si="6"/>
        <v>0.15180265654648956</v>
      </c>
      <c r="M439" s="1" t="s">
        <v>113</v>
      </c>
      <c r="N439" s="1"/>
    </row>
    <row r="440" spans="1:14" x14ac:dyDescent="0.25">
      <c r="A440" s="13">
        <v>45779</v>
      </c>
      <c r="B440" s="25" t="s">
        <v>664</v>
      </c>
      <c r="C440" s="1" t="s">
        <v>20</v>
      </c>
      <c r="D440" s="1" t="s">
        <v>188</v>
      </c>
      <c r="E440" s="1" t="s">
        <v>189</v>
      </c>
      <c r="F440" s="1" t="s">
        <v>159</v>
      </c>
      <c r="G440" s="1">
        <v>1</v>
      </c>
      <c r="H440" s="1" t="s">
        <v>73</v>
      </c>
      <c r="I440" s="1" t="s">
        <v>77</v>
      </c>
      <c r="J440" s="1" t="s">
        <v>77</v>
      </c>
      <c r="K440" s="1">
        <v>5</v>
      </c>
      <c r="L440" s="65">
        <f t="shared" si="6"/>
        <v>9.4876660341555979E-2</v>
      </c>
      <c r="M440" s="1" t="s">
        <v>113</v>
      </c>
      <c r="N440" s="1"/>
    </row>
    <row r="441" spans="1:14" x14ac:dyDescent="0.25">
      <c r="A441" s="13">
        <v>45779</v>
      </c>
      <c r="B441" s="25" t="s">
        <v>664</v>
      </c>
      <c r="C441" s="1" t="s">
        <v>20</v>
      </c>
      <c r="D441" s="1" t="s">
        <v>188</v>
      </c>
      <c r="E441" s="1" t="s">
        <v>189</v>
      </c>
      <c r="F441" s="1" t="s">
        <v>159</v>
      </c>
      <c r="G441" s="1">
        <v>1</v>
      </c>
      <c r="H441" s="1" t="s">
        <v>81</v>
      </c>
      <c r="I441" s="1" t="s">
        <v>86</v>
      </c>
      <c r="J441" s="1" t="s">
        <v>146</v>
      </c>
      <c r="K441" s="1">
        <v>1</v>
      </c>
      <c r="L441" s="65">
        <f t="shared" si="6"/>
        <v>1.8975332068311195E-2</v>
      </c>
      <c r="M441" s="1" t="s">
        <v>116</v>
      </c>
      <c r="N441" s="1"/>
    </row>
    <row r="442" spans="1:14" x14ac:dyDescent="0.25">
      <c r="A442" s="13">
        <v>45779</v>
      </c>
      <c r="B442" s="25" t="s">
        <v>664</v>
      </c>
      <c r="C442" s="1" t="s">
        <v>20</v>
      </c>
      <c r="D442" s="1" t="s">
        <v>188</v>
      </c>
      <c r="E442" s="1" t="s">
        <v>189</v>
      </c>
      <c r="F442" s="1" t="s">
        <v>159</v>
      </c>
      <c r="G442" s="1">
        <v>1</v>
      </c>
      <c r="H442" s="1" t="s">
        <v>79</v>
      </c>
      <c r="I442" s="1" t="s">
        <v>80</v>
      </c>
      <c r="J442" s="1" t="s">
        <v>142</v>
      </c>
      <c r="K442" s="1">
        <v>14</v>
      </c>
      <c r="L442" s="65">
        <f t="shared" si="6"/>
        <v>0.26565464895635671</v>
      </c>
      <c r="M442" s="1" t="s">
        <v>113</v>
      </c>
      <c r="N442" s="1"/>
    </row>
    <row r="443" spans="1:14" x14ac:dyDescent="0.25">
      <c r="A443" s="13">
        <v>45779</v>
      </c>
      <c r="B443" s="25" t="s">
        <v>664</v>
      </c>
      <c r="C443" s="1" t="s">
        <v>20</v>
      </c>
      <c r="D443" s="1" t="s">
        <v>188</v>
      </c>
      <c r="E443" s="1" t="s">
        <v>189</v>
      </c>
      <c r="F443" s="1" t="s">
        <v>159</v>
      </c>
      <c r="G443" s="1">
        <v>1</v>
      </c>
      <c r="H443" s="1" t="s">
        <v>44</v>
      </c>
      <c r="I443" s="1" t="s">
        <v>48</v>
      </c>
      <c r="J443" s="1" t="s">
        <v>170</v>
      </c>
      <c r="K443" s="1">
        <v>3</v>
      </c>
      <c r="L443" s="65">
        <f t="shared" si="6"/>
        <v>5.6925996204933584E-2</v>
      </c>
      <c r="M443" s="1" t="s">
        <v>109</v>
      </c>
      <c r="N443" s="1"/>
    </row>
    <row r="444" spans="1:14" x14ac:dyDescent="0.25">
      <c r="A444" s="13">
        <v>45779</v>
      </c>
      <c r="B444" s="25" t="s">
        <v>664</v>
      </c>
      <c r="C444" s="1" t="s">
        <v>20</v>
      </c>
      <c r="D444" s="1" t="s">
        <v>188</v>
      </c>
      <c r="E444" s="1" t="s">
        <v>189</v>
      </c>
      <c r="F444" s="1" t="s">
        <v>159</v>
      </c>
      <c r="G444" s="1">
        <v>1</v>
      </c>
      <c r="H444" s="1" t="s">
        <v>54</v>
      </c>
      <c r="I444" s="1" t="s">
        <v>55</v>
      </c>
      <c r="J444" s="1" t="s">
        <v>122</v>
      </c>
      <c r="K444" s="1">
        <v>7</v>
      </c>
      <c r="L444" s="65">
        <f t="shared" si="6"/>
        <v>0.13282732447817835</v>
      </c>
      <c r="M444" s="1" t="s">
        <v>109</v>
      </c>
      <c r="N444" s="1"/>
    </row>
    <row r="445" spans="1:14" x14ac:dyDescent="0.25">
      <c r="A445" s="13">
        <v>45779</v>
      </c>
      <c r="B445" s="25" t="s">
        <v>664</v>
      </c>
      <c r="C445" s="1" t="s">
        <v>20</v>
      </c>
      <c r="D445" s="1" t="s">
        <v>188</v>
      </c>
      <c r="E445" s="1" t="s">
        <v>189</v>
      </c>
      <c r="F445" s="1" t="s">
        <v>159</v>
      </c>
      <c r="G445" s="1">
        <v>1</v>
      </c>
      <c r="H445" s="1" t="s">
        <v>54</v>
      </c>
      <c r="I445" s="1" t="s">
        <v>56</v>
      </c>
      <c r="J445" s="1" t="s">
        <v>168</v>
      </c>
      <c r="K445" s="1">
        <v>7</v>
      </c>
      <c r="L445" s="65">
        <f t="shared" si="6"/>
        <v>0.13282732447817835</v>
      </c>
      <c r="M445" s="1" t="s">
        <v>109</v>
      </c>
      <c r="N445" s="1"/>
    </row>
    <row r="446" spans="1:14" x14ac:dyDescent="0.25">
      <c r="A446" s="13">
        <v>45779</v>
      </c>
      <c r="B446" s="25" t="s">
        <v>664</v>
      </c>
      <c r="C446" s="1" t="s">
        <v>20</v>
      </c>
      <c r="D446" s="1" t="s">
        <v>188</v>
      </c>
      <c r="E446" s="1" t="s">
        <v>189</v>
      </c>
      <c r="F446" s="1" t="s">
        <v>159</v>
      </c>
      <c r="G446" s="1">
        <v>1</v>
      </c>
      <c r="H446" s="1" t="s">
        <v>36</v>
      </c>
      <c r="I446" s="1" t="s">
        <v>39</v>
      </c>
      <c r="J446" s="1" t="s">
        <v>148</v>
      </c>
      <c r="K446" s="1">
        <v>1</v>
      </c>
      <c r="L446" s="65">
        <f t="shared" si="6"/>
        <v>1.8975332068311195E-2</v>
      </c>
      <c r="M446" s="1" t="s">
        <v>116</v>
      </c>
      <c r="N446" s="1"/>
    </row>
    <row r="447" spans="1:14" x14ac:dyDescent="0.25">
      <c r="A447" s="13">
        <v>45779</v>
      </c>
      <c r="B447" s="25" t="s">
        <v>664</v>
      </c>
      <c r="C447" s="1" t="s">
        <v>20</v>
      </c>
      <c r="D447" s="1" t="s">
        <v>188</v>
      </c>
      <c r="E447" s="1" t="s">
        <v>189</v>
      </c>
      <c r="F447" s="1" t="s">
        <v>159</v>
      </c>
      <c r="G447" s="1">
        <v>1</v>
      </c>
      <c r="H447" s="1" t="s">
        <v>81</v>
      </c>
      <c r="I447" s="1" t="s">
        <v>85</v>
      </c>
      <c r="J447" s="1" t="s">
        <v>108</v>
      </c>
      <c r="K447" s="1">
        <v>11</v>
      </c>
      <c r="L447" s="65">
        <f t="shared" si="6"/>
        <v>0.20872865275142313</v>
      </c>
      <c r="M447" s="1" t="s">
        <v>109</v>
      </c>
      <c r="N447" s="1"/>
    </row>
    <row r="448" spans="1:14" x14ac:dyDescent="0.25">
      <c r="A448" s="13">
        <v>45779</v>
      </c>
      <c r="B448" s="25" t="s">
        <v>664</v>
      </c>
      <c r="C448" s="1" t="s">
        <v>20</v>
      </c>
      <c r="D448" s="1" t="s">
        <v>188</v>
      </c>
      <c r="E448" s="1" t="s">
        <v>189</v>
      </c>
      <c r="F448" s="1" t="s">
        <v>159</v>
      </c>
      <c r="G448" s="1">
        <v>1</v>
      </c>
      <c r="H448" s="1" t="s">
        <v>81</v>
      </c>
      <c r="I448" s="1" t="s">
        <v>83</v>
      </c>
      <c r="J448" s="1" t="s">
        <v>135</v>
      </c>
      <c r="K448" s="1">
        <v>15</v>
      </c>
      <c r="L448" s="65">
        <f t="shared" si="6"/>
        <v>0.28462998102466791</v>
      </c>
      <c r="M448" s="1" t="s">
        <v>116</v>
      </c>
      <c r="N448" s="1"/>
    </row>
    <row r="449" spans="1:14" x14ac:dyDescent="0.25">
      <c r="A449" s="13">
        <v>45779</v>
      </c>
      <c r="B449" s="25" t="s">
        <v>664</v>
      </c>
      <c r="C449" s="1" t="s">
        <v>20</v>
      </c>
      <c r="D449" s="1" t="s">
        <v>188</v>
      </c>
      <c r="E449" s="1" t="s">
        <v>189</v>
      </c>
      <c r="F449" s="1" t="s">
        <v>159</v>
      </c>
      <c r="G449" s="1">
        <v>1</v>
      </c>
      <c r="H449" s="1" t="s">
        <v>81</v>
      </c>
      <c r="I449" s="1" t="s">
        <v>83</v>
      </c>
      <c r="J449" s="1" t="s">
        <v>131</v>
      </c>
      <c r="K449" s="1">
        <v>15</v>
      </c>
      <c r="L449" s="65">
        <f t="shared" si="6"/>
        <v>0.28462998102466791</v>
      </c>
      <c r="M449" s="1" t="s">
        <v>116</v>
      </c>
      <c r="N449" s="1"/>
    </row>
    <row r="450" spans="1:14" x14ac:dyDescent="0.25">
      <c r="A450" s="13">
        <v>45779</v>
      </c>
      <c r="B450" s="25" t="s">
        <v>664</v>
      </c>
      <c r="C450" s="1" t="s">
        <v>20</v>
      </c>
      <c r="D450" s="1" t="s">
        <v>188</v>
      </c>
      <c r="E450" s="1" t="s">
        <v>189</v>
      </c>
      <c r="F450" s="1" t="s">
        <v>159</v>
      </c>
      <c r="G450" s="1">
        <v>1</v>
      </c>
      <c r="H450" s="1" t="s">
        <v>81</v>
      </c>
      <c r="I450" s="1" t="s">
        <v>82</v>
      </c>
      <c r="J450" s="1" t="s">
        <v>138</v>
      </c>
      <c r="K450" s="1">
        <v>5</v>
      </c>
      <c r="L450" s="65">
        <f t="shared" si="6"/>
        <v>9.4876660341555979E-2</v>
      </c>
      <c r="M450" s="1" t="s">
        <v>116</v>
      </c>
      <c r="N450" s="1"/>
    </row>
    <row r="451" spans="1:14" x14ac:dyDescent="0.25">
      <c r="A451" s="13">
        <v>45779</v>
      </c>
      <c r="B451" s="25" t="s">
        <v>664</v>
      </c>
      <c r="C451" s="1" t="s">
        <v>20</v>
      </c>
      <c r="D451" s="1" t="s">
        <v>188</v>
      </c>
      <c r="E451" s="1" t="s">
        <v>189</v>
      </c>
      <c r="F451" s="1" t="s">
        <v>159</v>
      </c>
      <c r="G451" s="1">
        <v>1</v>
      </c>
      <c r="H451" s="1" t="s">
        <v>73</v>
      </c>
      <c r="I451" s="1" t="s">
        <v>77</v>
      </c>
      <c r="J451" s="1" t="s">
        <v>152</v>
      </c>
      <c r="K451" s="1">
        <v>5</v>
      </c>
      <c r="L451" s="65">
        <f t="shared" si="6"/>
        <v>9.4876660341555979E-2</v>
      </c>
      <c r="M451" s="1" t="s">
        <v>113</v>
      </c>
      <c r="N451" s="1"/>
    </row>
    <row r="452" spans="1:14" x14ac:dyDescent="0.25">
      <c r="A452" s="13">
        <v>45779</v>
      </c>
      <c r="B452" s="25" t="s">
        <v>664</v>
      </c>
      <c r="C452" s="1" t="s">
        <v>20</v>
      </c>
      <c r="D452" s="1" t="s">
        <v>188</v>
      </c>
      <c r="E452" s="1" t="s">
        <v>189</v>
      </c>
      <c r="F452" s="1" t="s">
        <v>159</v>
      </c>
      <c r="G452" s="1">
        <v>1</v>
      </c>
      <c r="H452" s="1" t="s">
        <v>73</v>
      </c>
      <c r="I452" s="1" t="s">
        <v>76</v>
      </c>
      <c r="J452" s="1" t="s">
        <v>126</v>
      </c>
      <c r="K452" s="1">
        <v>8</v>
      </c>
      <c r="L452" s="65">
        <f t="shared" si="6"/>
        <v>0.15180265654648956</v>
      </c>
      <c r="M452" s="1" t="s">
        <v>113</v>
      </c>
      <c r="N452" s="1"/>
    </row>
    <row r="453" spans="1:14" x14ac:dyDescent="0.25">
      <c r="A453" s="13">
        <v>45779</v>
      </c>
      <c r="B453" s="25" t="s">
        <v>664</v>
      </c>
      <c r="C453" s="1" t="s">
        <v>20</v>
      </c>
      <c r="D453" s="1" t="s">
        <v>188</v>
      </c>
      <c r="E453" s="1" t="s">
        <v>189</v>
      </c>
      <c r="F453" s="1" t="s">
        <v>159</v>
      </c>
      <c r="G453" s="1">
        <v>1</v>
      </c>
      <c r="H453" s="1" t="s">
        <v>44</v>
      </c>
      <c r="I453" s="1" t="s">
        <v>52</v>
      </c>
      <c r="J453" s="1" t="s">
        <v>133</v>
      </c>
      <c r="K453" s="1">
        <v>5</v>
      </c>
      <c r="L453" s="65">
        <f t="shared" si="6"/>
        <v>9.4876660341555979E-2</v>
      </c>
      <c r="M453" s="1" t="s">
        <v>119</v>
      </c>
      <c r="N453" s="1"/>
    </row>
    <row r="454" spans="1:14" x14ac:dyDescent="0.25">
      <c r="A454" s="13">
        <v>45779</v>
      </c>
      <c r="B454" s="25" t="s">
        <v>664</v>
      </c>
      <c r="C454" s="1" t="s">
        <v>20</v>
      </c>
      <c r="D454" s="1" t="s">
        <v>188</v>
      </c>
      <c r="E454" s="1" t="s">
        <v>189</v>
      </c>
      <c r="F454" s="1" t="s">
        <v>159</v>
      </c>
      <c r="G454" s="1">
        <v>1</v>
      </c>
      <c r="H454" s="1" t="s">
        <v>65</v>
      </c>
      <c r="I454" s="1" t="s">
        <v>66</v>
      </c>
      <c r="J454" s="1" t="s">
        <v>139</v>
      </c>
      <c r="K454" s="1">
        <v>3</v>
      </c>
      <c r="L454" s="65">
        <f t="shared" si="6"/>
        <v>5.6925996204933584E-2</v>
      </c>
      <c r="M454" s="1" t="s">
        <v>121</v>
      </c>
      <c r="N454" s="1"/>
    </row>
    <row r="455" spans="1:14" x14ac:dyDescent="0.25">
      <c r="A455" s="13">
        <v>45779</v>
      </c>
      <c r="B455" s="25" t="s">
        <v>664</v>
      </c>
      <c r="C455" s="1" t="s">
        <v>20</v>
      </c>
      <c r="D455" s="1" t="s">
        <v>188</v>
      </c>
      <c r="E455" s="1" t="s">
        <v>189</v>
      </c>
      <c r="F455" s="1" t="s">
        <v>159</v>
      </c>
      <c r="G455" s="1">
        <v>1</v>
      </c>
      <c r="H455" s="1" t="s">
        <v>58</v>
      </c>
      <c r="I455" s="1" t="s">
        <v>196</v>
      </c>
      <c r="J455" s="1" t="s">
        <v>197</v>
      </c>
      <c r="K455" s="1">
        <v>21</v>
      </c>
      <c r="L455" s="65">
        <f t="shared" ref="L455:L518" si="7">(K455/$P$7)*100</f>
        <v>0.39848197343453506</v>
      </c>
      <c r="M455" s="1" t="s">
        <v>121</v>
      </c>
      <c r="N455" s="1"/>
    </row>
    <row r="456" spans="1:14" x14ac:dyDescent="0.25">
      <c r="A456" s="13">
        <v>45779</v>
      </c>
      <c r="B456" s="25" t="s">
        <v>664</v>
      </c>
      <c r="C456" s="1" t="s">
        <v>20</v>
      </c>
      <c r="D456" s="1" t="s">
        <v>188</v>
      </c>
      <c r="E456" s="1" t="s">
        <v>189</v>
      </c>
      <c r="F456" s="1" t="s">
        <v>159</v>
      </c>
      <c r="G456" s="1">
        <v>1</v>
      </c>
      <c r="H456" s="1" t="s">
        <v>36</v>
      </c>
      <c r="I456" s="1" t="s">
        <v>37</v>
      </c>
      <c r="J456" s="1" t="s">
        <v>128</v>
      </c>
      <c r="K456" s="1">
        <v>14</v>
      </c>
      <c r="L456" s="65">
        <f t="shared" si="7"/>
        <v>0.26565464895635671</v>
      </c>
      <c r="M456" s="1" t="s">
        <v>109</v>
      </c>
      <c r="N456" s="1"/>
    </row>
    <row r="457" spans="1:14" x14ac:dyDescent="0.25">
      <c r="A457" s="13">
        <v>45779</v>
      </c>
      <c r="B457" s="25" t="s">
        <v>664</v>
      </c>
      <c r="C457" s="1" t="s">
        <v>20</v>
      </c>
      <c r="D457" s="1" t="s">
        <v>188</v>
      </c>
      <c r="E457" s="1" t="s">
        <v>189</v>
      </c>
      <c r="F457" s="1" t="s">
        <v>159</v>
      </c>
      <c r="G457" s="1">
        <v>1</v>
      </c>
      <c r="H457" s="1" t="s">
        <v>36</v>
      </c>
      <c r="I457" s="1" t="s">
        <v>40</v>
      </c>
      <c r="J457" s="1" t="s">
        <v>40</v>
      </c>
      <c r="K457" s="1">
        <v>1</v>
      </c>
      <c r="L457" s="65">
        <f t="shared" si="7"/>
        <v>1.8975332068311195E-2</v>
      </c>
      <c r="M457" s="1" t="s">
        <v>113</v>
      </c>
      <c r="N457" s="1"/>
    </row>
    <row r="458" spans="1:14" x14ac:dyDescent="0.25">
      <c r="A458" s="13">
        <v>45779</v>
      </c>
      <c r="B458" s="25" t="s">
        <v>664</v>
      </c>
      <c r="C458" s="1" t="s">
        <v>20</v>
      </c>
      <c r="D458" s="1" t="s">
        <v>188</v>
      </c>
      <c r="E458" s="1" t="s">
        <v>189</v>
      </c>
      <c r="F458" s="1" t="s">
        <v>159</v>
      </c>
      <c r="G458" s="1">
        <v>1</v>
      </c>
      <c r="H458" s="1" t="s">
        <v>73</v>
      </c>
      <c r="I458" s="1" t="s">
        <v>78</v>
      </c>
      <c r="J458" s="1" t="s">
        <v>147</v>
      </c>
      <c r="K458" s="1">
        <v>2</v>
      </c>
      <c r="L458" s="65">
        <f t="shared" si="7"/>
        <v>3.7950664136622389E-2</v>
      </c>
      <c r="M458" s="1" t="s">
        <v>113</v>
      </c>
      <c r="N458" s="1"/>
    </row>
    <row r="459" spans="1:14" x14ac:dyDescent="0.25">
      <c r="A459" s="13">
        <v>45779</v>
      </c>
      <c r="B459" s="25" t="s">
        <v>664</v>
      </c>
      <c r="C459" s="1" t="s">
        <v>20</v>
      </c>
      <c r="D459" s="1" t="s">
        <v>188</v>
      </c>
      <c r="E459" s="1" t="s">
        <v>189</v>
      </c>
      <c r="F459" s="1" t="s">
        <v>159</v>
      </c>
      <c r="G459" s="1">
        <v>1</v>
      </c>
      <c r="H459" s="1" t="s">
        <v>44</v>
      </c>
      <c r="I459" s="1" t="s">
        <v>209</v>
      </c>
      <c r="J459" s="1" t="s">
        <v>210</v>
      </c>
      <c r="K459" s="1">
        <v>4</v>
      </c>
      <c r="L459" s="65">
        <f t="shared" si="7"/>
        <v>7.5901328273244778E-2</v>
      </c>
      <c r="M459" s="1" t="s">
        <v>111</v>
      </c>
      <c r="N459" s="1"/>
    </row>
    <row r="460" spans="1:14" x14ac:dyDescent="0.25">
      <c r="A460" s="13">
        <v>45779</v>
      </c>
      <c r="B460" s="25" t="s">
        <v>664</v>
      </c>
      <c r="C460" s="1" t="s">
        <v>20</v>
      </c>
      <c r="D460" s="1" t="s">
        <v>188</v>
      </c>
      <c r="E460" s="1" t="s">
        <v>189</v>
      </c>
      <c r="F460" s="1" t="s">
        <v>159</v>
      </c>
      <c r="G460" s="1">
        <v>1</v>
      </c>
      <c r="H460" s="1" t="s">
        <v>44</v>
      </c>
      <c r="I460" s="1" t="s">
        <v>211</v>
      </c>
      <c r="J460" s="1" t="s">
        <v>211</v>
      </c>
      <c r="K460" s="1">
        <v>1</v>
      </c>
      <c r="L460" s="65">
        <f t="shared" si="7"/>
        <v>1.8975332068311195E-2</v>
      </c>
      <c r="M460" s="1" t="s">
        <v>200</v>
      </c>
    </row>
    <row r="461" spans="1:14" x14ac:dyDescent="0.25">
      <c r="A461" s="13">
        <v>45779</v>
      </c>
      <c r="B461" s="25" t="s">
        <v>664</v>
      </c>
      <c r="C461" s="1" t="s">
        <v>20</v>
      </c>
      <c r="D461" s="1" t="s">
        <v>188</v>
      </c>
      <c r="E461" s="1" t="s">
        <v>189</v>
      </c>
      <c r="F461" s="1" t="s">
        <v>159</v>
      </c>
      <c r="G461" s="1">
        <v>1</v>
      </c>
      <c r="H461" s="1" t="s">
        <v>73</v>
      </c>
      <c r="I461" s="1" t="s">
        <v>74</v>
      </c>
      <c r="J461" s="1" t="s">
        <v>140</v>
      </c>
      <c r="K461" s="1">
        <v>1</v>
      </c>
      <c r="L461" s="65">
        <f t="shared" si="7"/>
        <v>1.8975332068311195E-2</v>
      </c>
      <c r="M461" s="1" t="s">
        <v>113</v>
      </c>
      <c r="N461" s="1"/>
    </row>
    <row r="462" spans="1:14" x14ac:dyDescent="0.25">
      <c r="A462" s="13">
        <v>45779</v>
      </c>
      <c r="B462" s="25" t="s">
        <v>664</v>
      </c>
      <c r="C462" s="1" t="s">
        <v>20</v>
      </c>
      <c r="D462" s="1" t="s">
        <v>188</v>
      </c>
      <c r="E462" s="1" t="s">
        <v>189</v>
      </c>
      <c r="F462" s="1" t="s">
        <v>159</v>
      </c>
      <c r="G462" s="1">
        <v>1</v>
      </c>
      <c r="H462" s="1" t="s">
        <v>54</v>
      </c>
      <c r="I462" s="1" t="s">
        <v>57</v>
      </c>
      <c r="J462" s="1" t="s">
        <v>141</v>
      </c>
      <c r="K462" s="1">
        <v>8</v>
      </c>
      <c r="L462" s="65">
        <f t="shared" si="7"/>
        <v>0.15180265654648956</v>
      </c>
      <c r="M462" s="1" t="s">
        <v>109</v>
      </c>
      <c r="N462" s="1"/>
    </row>
    <row r="463" spans="1:14" x14ac:dyDescent="0.25">
      <c r="A463" s="13">
        <v>45779</v>
      </c>
      <c r="B463" s="25" t="s">
        <v>664</v>
      </c>
      <c r="C463" s="1" t="s">
        <v>20</v>
      </c>
      <c r="D463" s="1" t="s">
        <v>188</v>
      </c>
      <c r="E463" s="1" t="s">
        <v>189</v>
      </c>
      <c r="F463" s="1" t="s">
        <v>159</v>
      </c>
      <c r="G463" s="1">
        <v>1</v>
      </c>
      <c r="H463" s="1" t="s">
        <v>81</v>
      </c>
      <c r="I463" s="1" t="s">
        <v>191</v>
      </c>
      <c r="J463" s="1" t="s">
        <v>192</v>
      </c>
      <c r="K463" s="1">
        <v>5</v>
      </c>
      <c r="L463" s="65">
        <f t="shared" si="7"/>
        <v>9.4876660341555979E-2</v>
      </c>
      <c r="M463" s="1" t="s">
        <v>109</v>
      </c>
      <c r="N463" s="1"/>
    </row>
    <row r="464" spans="1:14" x14ac:dyDescent="0.25">
      <c r="A464" s="13">
        <v>45779</v>
      </c>
      <c r="B464" s="25" t="s">
        <v>664</v>
      </c>
      <c r="C464" s="1" t="s">
        <v>20</v>
      </c>
      <c r="D464" s="1" t="s">
        <v>188</v>
      </c>
      <c r="E464" s="1" t="s">
        <v>189</v>
      </c>
      <c r="F464" s="1" t="s">
        <v>159</v>
      </c>
      <c r="G464" s="1">
        <v>1</v>
      </c>
      <c r="H464" s="1" t="s">
        <v>67</v>
      </c>
      <c r="I464" s="1" t="s">
        <v>193</v>
      </c>
      <c r="J464" s="1" t="s">
        <v>194</v>
      </c>
      <c r="K464" s="1">
        <v>6</v>
      </c>
      <c r="L464" s="65">
        <f t="shared" si="7"/>
        <v>0.11385199240986717</v>
      </c>
      <c r="M464" s="1" t="s">
        <v>121</v>
      </c>
      <c r="N464" s="1"/>
    </row>
    <row r="465" spans="1:14" x14ac:dyDescent="0.25">
      <c r="A465" s="13">
        <v>45779</v>
      </c>
      <c r="B465" s="25" t="s">
        <v>664</v>
      </c>
      <c r="C465" s="1" t="s">
        <v>20</v>
      </c>
      <c r="D465" s="1" t="s">
        <v>188</v>
      </c>
      <c r="E465" s="1" t="s">
        <v>189</v>
      </c>
      <c r="F465" s="1" t="s">
        <v>159</v>
      </c>
      <c r="G465" s="1">
        <v>1</v>
      </c>
      <c r="H465" s="1" t="s">
        <v>44</v>
      </c>
      <c r="I465" s="1" t="s">
        <v>50</v>
      </c>
      <c r="J465" s="1" t="s">
        <v>127</v>
      </c>
      <c r="K465" s="1">
        <v>1</v>
      </c>
      <c r="L465" s="65">
        <f t="shared" si="7"/>
        <v>1.8975332068311195E-2</v>
      </c>
      <c r="M465" s="1" t="s">
        <v>113</v>
      </c>
      <c r="N465" s="1"/>
    </row>
    <row r="466" spans="1:14" x14ac:dyDescent="0.25">
      <c r="A466" s="13">
        <v>45779</v>
      </c>
      <c r="B466" s="25" t="s">
        <v>664</v>
      </c>
      <c r="C466" s="1" t="s">
        <v>20</v>
      </c>
      <c r="D466" s="1" t="s">
        <v>188</v>
      </c>
      <c r="E466" s="1" t="s">
        <v>189</v>
      </c>
      <c r="F466" s="1" t="s">
        <v>159</v>
      </c>
      <c r="G466" s="1">
        <v>1</v>
      </c>
      <c r="H466" s="1" t="s">
        <v>54</v>
      </c>
      <c r="I466" s="1" t="s">
        <v>55</v>
      </c>
      <c r="J466" s="1" t="s">
        <v>120</v>
      </c>
      <c r="K466" s="1">
        <v>1</v>
      </c>
      <c r="L466" s="65">
        <f t="shared" si="7"/>
        <v>1.8975332068311195E-2</v>
      </c>
      <c r="M466" s="1" t="s">
        <v>121</v>
      </c>
      <c r="N466" s="1"/>
    </row>
    <row r="467" spans="1:14" x14ac:dyDescent="0.25">
      <c r="A467" s="13">
        <v>45779</v>
      </c>
      <c r="B467" s="25" t="s">
        <v>664</v>
      </c>
      <c r="C467" s="1" t="s">
        <v>20</v>
      </c>
      <c r="D467" s="1" t="s">
        <v>188</v>
      </c>
      <c r="E467" s="1" t="s">
        <v>189</v>
      </c>
      <c r="F467" s="1" t="s">
        <v>159</v>
      </c>
      <c r="G467" s="1">
        <v>1</v>
      </c>
      <c r="H467" s="1" t="s">
        <v>54</v>
      </c>
      <c r="I467" s="1" t="s">
        <v>56</v>
      </c>
      <c r="J467" s="1" t="s">
        <v>132</v>
      </c>
      <c r="K467" s="1">
        <v>1</v>
      </c>
      <c r="L467" s="65">
        <f t="shared" si="7"/>
        <v>1.8975332068311195E-2</v>
      </c>
      <c r="M467" s="1" t="s">
        <v>109</v>
      </c>
      <c r="N467" s="1"/>
    </row>
    <row r="468" spans="1:14" x14ac:dyDescent="0.25">
      <c r="A468" s="13">
        <v>45779</v>
      </c>
      <c r="B468" s="25" t="s">
        <v>664</v>
      </c>
      <c r="C468" s="1" t="s">
        <v>20</v>
      </c>
      <c r="D468" s="1" t="s">
        <v>188</v>
      </c>
      <c r="E468" s="1" t="s">
        <v>189</v>
      </c>
      <c r="F468" s="1" t="s">
        <v>159</v>
      </c>
      <c r="G468" s="1">
        <v>2</v>
      </c>
      <c r="H468" s="1" t="s">
        <v>36</v>
      </c>
      <c r="I468" s="1" t="s">
        <v>37</v>
      </c>
      <c r="J468" s="1" t="s">
        <v>128</v>
      </c>
      <c r="K468" s="1">
        <v>19</v>
      </c>
      <c r="L468" s="65">
        <f t="shared" si="7"/>
        <v>0.36053130929791272</v>
      </c>
      <c r="M468" s="1" t="s">
        <v>109</v>
      </c>
      <c r="N468" s="1"/>
    </row>
    <row r="469" spans="1:14" x14ac:dyDescent="0.25">
      <c r="A469" s="13">
        <v>45779</v>
      </c>
      <c r="B469" s="25" t="s">
        <v>664</v>
      </c>
      <c r="C469" s="1" t="s">
        <v>20</v>
      </c>
      <c r="D469" s="1" t="s">
        <v>188</v>
      </c>
      <c r="E469" s="1" t="s">
        <v>189</v>
      </c>
      <c r="F469" s="1" t="s">
        <v>159</v>
      </c>
      <c r="G469" s="1">
        <v>2</v>
      </c>
      <c r="H469" s="1" t="s">
        <v>58</v>
      </c>
      <c r="I469" s="1" t="s">
        <v>196</v>
      </c>
      <c r="J469" s="1" t="s">
        <v>197</v>
      </c>
      <c r="K469" s="1">
        <v>2</v>
      </c>
      <c r="L469" s="65">
        <f t="shared" si="7"/>
        <v>3.7950664136622389E-2</v>
      </c>
      <c r="M469" s="1" t="s">
        <v>121</v>
      </c>
      <c r="N469" s="1"/>
    </row>
    <row r="470" spans="1:14" x14ac:dyDescent="0.25">
      <c r="A470" s="13">
        <v>45779</v>
      </c>
      <c r="B470" s="25" t="s">
        <v>664</v>
      </c>
      <c r="C470" s="1" t="s">
        <v>20</v>
      </c>
      <c r="D470" s="1" t="s">
        <v>188</v>
      </c>
      <c r="E470" s="1" t="s">
        <v>189</v>
      </c>
      <c r="F470" s="1" t="s">
        <v>159</v>
      </c>
      <c r="G470" s="1">
        <v>2</v>
      </c>
      <c r="H470" s="1" t="s">
        <v>60</v>
      </c>
      <c r="I470" s="1" t="s">
        <v>63</v>
      </c>
      <c r="J470" s="1" t="s">
        <v>112</v>
      </c>
      <c r="K470" s="1">
        <v>8</v>
      </c>
      <c r="L470" s="65">
        <f t="shared" si="7"/>
        <v>0.15180265654648956</v>
      </c>
      <c r="M470" s="1" t="s">
        <v>113</v>
      </c>
      <c r="N470" s="1"/>
    </row>
    <row r="471" spans="1:14" x14ac:dyDescent="0.25">
      <c r="A471" s="13">
        <v>45779</v>
      </c>
      <c r="B471" s="25" t="s">
        <v>664</v>
      </c>
      <c r="C471" s="1" t="s">
        <v>20</v>
      </c>
      <c r="D471" s="1" t="s">
        <v>188</v>
      </c>
      <c r="E471" s="1" t="s">
        <v>189</v>
      </c>
      <c r="F471" s="1" t="s">
        <v>159</v>
      </c>
      <c r="G471" s="1">
        <v>2</v>
      </c>
      <c r="H471" s="1" t="s">
        <v>73</v>
      </c>
      <c r="I471" s="1" t="s">
        <v>76</v>
      </c>
      <c r="J471" s="1" t="s">
        <v>126</v>
      </c>
      <c r="K471" s="1">
        <v>6</v>
      </c>
      <c r="L471" s="65">
        <f t="shared" si="7"/>
        <v>0.11385199240986717</v>
      </c>
      <c r="M471" s="1" t="s">
        <v>113</v>
      </c>
      <c r="N471" s="1"/>
    </row>
    <row r="472" spans="1:14" x14ac:dyDescent="0.25">
      <c r="A472" s="13">
        <v>45779</v>
      </c>
      <c r="B472" s="25" t="s">
        <v>664</v>
      </c>
      <c r="C472" s="1" t="s">
        <v>20</v>
      </c>
      <c r="D472" s="1" t="s">
        <v>188</v>
      </c>
      <c r="E472" s="1" t="s">
        <v>189</v>
      </c>
      <c r="F472" s="1" t="s">
        <v>159</v>
      </c>
      <c r="G472" s="1">
        <v>2</v>
      </c>
      <c r="H472" s="1" t="s">
        <v>79</v>
      </c>
      <c r="I472" s="1" t="s">
        <v>80</v>
      </c>
      <c r="J472" s="1" t="s">
        <v>142</v>
      </c>
      <c r="K472" s="1">
        <v>16</v>
      </c>
      <c r="L472" s="65">
        <f t="shared" si="7"/>
        <v>0.30360531309297911</v>
      </c>
      <c r="M472" s="1" t="s">
        <v>113</v>
      </c>
      <c r="N472" s="1"/>
    </row>
    <row r="473" spans="1:14" x14ac:dyDescent="0.25">
      <c r="A473" s="13">
        <v>45779</v>
      </c>
      <c r="B473" s="25" t="s">
        <v>664</v>
      </c>
      <c r="C473" s="1" t="s">
        <v>20</v>
      </c>
      <c r="D473" s="1" t="s">
        <v>188</v>
      </c>
      <c r="E473" s="1" t="s">
        <v>189</v>
      </c>
      <c r="F473" s="1" t="s">
        <v>159</v>
      </c>
      <c r="G473" s="1">
        <v>2</v>
      </c>
      <c r="H473" s="1" t="s">
        <v>54</v>
      </c>
      <c r="I473" s="1" t="s">
        <v>56</v>
      </c>
      <c r="J473" s="1" t="s">
        <v>132</v>
      </c>
      <c r="K473" s="1">
        <v>8</v>
      </c>
      <c r="L473" s="65">
        <f t="shared" si="7"/>
        <v>0.15180265654648956</v>
      </c>
      <c r="M473" s="1" t="s">
        <v>109</v>
      </c>
      <c r="N473" s="1"/>
    </row>
    <row r="474" spans="1:14" x14ac:dyDescent="0.25">
      <c r="A474" s="13">
        <v>45779</v>
      </c>
      <c r="B474" s="25" t="s">
        <v>664</v>
      </c>
      <c r="C474" s="1" t="s">
        <v>20</v>
      </c>
      <c r="D474" s="1" t="s">
        <v>188</v>
      </c>
      <c r="E474" s="1" t="s">
        <v>189</v>
      </c>
      <c r="F474" s="1" t="s">
        <v>159</v>
      </c>
      <c r="G474" s="1">
        <v>2</v>
      </c>
      <c r="H474" s="1" t="s">
        <v>81</v>
      </c>
      <c r="I474" s="1" t="s">
        <v>83</v>
      </c>
      <c r="J474" s="1" t="s">
        <v>131</v>
      </c>
      <c r="K474" s="1">
        <v>3</v>
      </c>
      <c r="L474" s="65">
        <f t="shared" si="7"/>
        <v>5.6925996204933584E-2</v>
      </c>
      <c r="M474" s="1" t="s">
        <v>116</v>
      </c>
      <c r="N474" s="1"/>
    </row>
    <row r="475" spans="1:14" x14ac:dyDescent="0.25">
      <c r="A475" s="13">
        <v>45779</v>
      </c>
      <c r="B475" s="25" t="s">
        <v>664</v>
      </c>
      <c r="C475" s="1" t="s">
        <v>20</v>
      </c>
      <c r="D475" s="1" t="s">
        <v>188</v>
      </c>
      <c r="E475" s="1" t="s">
        <v>189</v>
      </c>
      <c r="F475" s="1" t="s">
        <v>159</v>
      </c>
      <c r="G475" s="1">
        <v>2</v>
      </c>
      <c r="H475" s="1" t="s">
        <v>81</v>
      </c>
      <c r="I475" s="1" t="s">
        <v>83</v>
      </c>
      <c r="J475" s="1" t="s">
        <v>135</v>
      </c>
      <c r="K475" s="1">
        <v>9</v>
      </c>
      <c r="L475" s="65">
        <f t="shared" si="7"/>
        <v>0.17077798861480076</v>
      </c>
      <c r="M475" s="1" t="s">
        <v>116</v>
      </c>
      <c r="N475" s="1"/>
    </row>
    <row r="476" spans="1:14" x14ac:dyDescent="0.25">
      <c r="A476" s="13">
        <v>45779</v>
      </c>
      <c r="B476" s="25" t="s">
        <v>664</v>
      </c>
      <c r="C476" s="1" t="s">
        <v>20</v>
      </c>
      <c r="D476" s="1" t="s">
        <v>188</v>
      </c>
      <c r="E476" s="1" t="s">
        <v>189</v>
      </c>
      <c r="F476" s="1" t="s">
        <v>159</v>
      </c>
      <c r="G476" s="1">
        <v>2</v>
      </c>
      <c r="H476" s="1" t="s">
        <v>81</v>
      </c>
      <c r="I476" s="1" t="s">
        <v>85</v>
      </c>
      <c r="J476" s="1" t="s">
        <v>108</v>
      </c>
      <c r="K476" s="1">
        <v>2</v>
      </c>
      <c r="L476" s="65">
        <f t="shared" si="7"/>
        <v>3.7950664136622389E-2</v>
      </c>
      <c r="M476" s="1" t="s">
        <v>115</v>
      </c>
      <c r="N476" s="1" t="s">
        <v>212</v>
      </c>
    </row>
    <row r="477" spans="1:14" x14ac:dyDescent="0.25">
      <c r="A477" s="13">
        <v>45779</v>
      </c>
      <c r="B477" s="25" t="s">
        <v>664</v>
      </c>
      <c r="C477" s="1" t="s">
        <v>20</v>
      </c>
      <c r="D477" s="1" t="s">
        <v>188</v>
      </c>
      <c r="E477" s="1" t="s">
        <v>189</v>
      </c>
      <c r="F477" s="1" t="s">
        <v>159</v>
      </c>
      <c r="G477" s="1">
        <v>2</v>
      </c>
      <c r="H477" s="1" t="s">
        <v>54</v>
      </c>
      <c r="I477" s="1" t="s">
        <v>55</v>
      </c>
      <c r="J477" s="1" t="s">
        <v>122</v>
      </c>
      <c r="K477" s="1">
        <v>19</v>
      </c>
      <c r="L477" s="65">
        <f t="shared" si="7"/>
        <v>0.36053130929791272</v>
      </c>
      <c r="M477" s="1" t="s">
        <v>109</v>
      </c>
      <c r="N477" s="1"/>
    </row>
    <row r="478" spans="1:14" x14ac:dyDescent="0.25">
      <c r="A478" s="13">
        <v>45779</v>
      </c>
      <c r="B478" s="25" t="s">
        <v>664</v>
      </c>
      <c r="C478" s="1" t="s">
        <v>20</v>
      </c>
      <c r="D478" s="1" t="s">
        <v>188</v>
      </c>
      <c r="E478" s="1" t="s">
        <v>189</v>
      </c>
      <c r="F478" s="1" t="s">
        <v>159</v>
      </c>
      <c r="G478" s="1">
        <v>2</v>
      </c>
      <c r="H478" s="1" t="s">
        <v>54</v>
      </c>
      <c r="I478" s="1" t="s">
        <v>55</v>
      </c>
      <c r="J478" s="1" t="s">
        <v>158</v>
      </c>
      <c r="K478" s="1">
        <v>1</v>
      </c>
      <c r="L478" s="65">
        <f t="shared" si="7"/>
        <v>1.8975332068311195E-2</v>
      </c>
      <c r="M478" s="1" t="s">
        <v>121</v>
      </c>
      <c r="N478" s="1"/>
    </row>
    <row r="479" spans="1:14" x14ac:dyDescent="0.25">
      <c r="A479" s="13">
        <v>45779</v>
      </c>
      <c r="B479" s="25" t="s">
        <v>664</v>
      </c>
      <c r="C479" s="1" t="s">
        <v>20</v>
      </c>
      <c r="D479" s="1" t="s">
        <v>188</v>
      </c>
      <c r="E479" s="1" t="s">
        <v>189</v>
      </c>
      <c r="F479" s="1" t="s">
        <v>159</v>
      </c>
      <c r="G479" s="1">
        <v>2</v>
      </c>
      <c r="H479" s="1" t="s">
        <v>81</v>
      </c>
      <c r="I479" s="1" t="s">
        <v>191</v>
      </c>
      <c r="J479" s="1" t="s">
        <v>192</v>
      </c>
      <c r="K479" s="1">
        <v>6</v>
      </c>
      <c r="L479" s="65">
        <f t="shared" si="7"/>
        <v>0.11385199240986717</v>
      </c>
      <c r="M479" s="1" t="s">
        <v>109</v>
      </c>
      <c r="N479" s="1"/>
    </row>
    <row r="480" spans="1:14" x14ac:dyDescent="0.25">
      <c r="A480" s="13">
        <v>45779</v>
      </c>
      <c r="B480" s="25" t="s">
        <v>664</v>
      </c>
      <c r="C480" s="1" t="s">
        <v>20</v>
      </c>
      <c r="D480" s="1" t="s">
        <v>188</v>
      </c>
      <c r="E480" s="1" t="s">
        <v>189</v>
      </c>
      <c r="F480" s="1" t="s">
        <v>159</v>
      </c>
      <c r="G480" s="1">
        <v>2</v>
      </c>
      <c r="H480" s="1" t="s">
        <v>60</v>
      </c>
      <c r="I480" s="1" t="s">
        <v>64</v>
      </c>
      <c r="J480" s="1" t="s">
        <v>117</v>
      </c>
      <c r="K480" s="1">
        <v>4</v>
      </c>
      <c r="L480" s="65">
        <f t="shared" si="7"/>
        <v>7.5901328273244778E-2</v>
      </c>
      <c r="M480" s="1" t="s">
        <v>113</v>
      </c>
      <c r="N480" s="1"/>
    </row>
    <row r="481" spans="1:14" x14ac:dyDescent="0.25">
      <c r="A481" s="13">
        <v>45779</v>
      </c>
      <c r="B481" s="25" t="s">
        <v>664</v>
      </c>
      <c r="C481" s="1" t="s">
        <v>20</v>
      </c>
      <c r="D481" s="1" t="s">
        <v>188</v>
      </c>
      <c r="E481" s="1" t="s">
        <v>189</v>
      </c>
      <c r="F481" s="1" t="s">
        <v>159</v>
      </c>
      <c r="G481" s="1">
        <v>2</v>
      </c>
      <c r="H481" s="1" t="s">
        <v>36</v>
      </c>
      <c r="I481" s="1" t="s">
        <v>37</v>
      </c>
      <c r="J481" s="1" t="s">
        <v>160</v>
      </c>
      <c r="K481" s="1">
        <v>3</v>
      </c>
      <c r="L481" s="65">
        <f t="shared" si="7"/>
        <v>5.6925996204933584E-2</v>
      </c>
      <c r="M481" s="1" t="s">
        <v>109</v>
      </c>
      <c r="N481" s="1"/>
    </row>
    <row r="482" spans="1:14" x14ac:dyDescent="0.25">
      <c r="A482" s="13">
        <v>45779</v>
      </c>
      <c r="B482" s="25" t="s">
        <v>664</v>
      </c>
      <c r="C482" s="1" t="s">
        <v>20</v>
      </c>
      <c r="D482" s="1" t="s">
        <v>188</v>
      </c>
      <c r="E482" s="1" t="s">
        <v>189</v>
      </c>
      <c r="F482" s="1" t="s">
        <v>159</v>
      </c>
      <c r="G482" s="1">
        <v>2</v>
      </c>
      <c r="H482" s="1" t="s">
        <v>54</v>
      </c>
      <c r="I482" s="1" t="s">
        <v>55</v>
      </c>
      <c r="J482" s="1" t="s">
        <v>120</v>
      </c>
      <c r="K482" s="1">
        <v>25</v>
      </c>
      <c r="L482" s="65">
        <f t="shared" si="7"/>
        <v>0.47438330170777987</v>
      </c>
      <c r="M482" s="1" t="s">
        <v>121</v>
      </c>
      <c r="N482" s="1"/>
    </row>
    <row r="483" spans="1:14" x14ac:dyDescent="0.25">
      <c r="A483" s="13">
        <v>45779</v>
      </c>
      <c r="B483" s="25" t="s">
        <v>664</v>
      </c>
      <c r="C483" s="1" t="s">
        <v>20</v>
      </c>
      <c r="D483" s="1" t="s">
        <v>188</v>
      </c>
      <c r="E483" s="1" t="s">
        <v>189</v>
      </c>
      <c r="F483" s="1" t="s">
        <v>159</v>
      </c>
      <c r="G483" s="1">
        <v>2</v>
      </c>
      <c r="H483" s="1" t="s">
        <v>44</v>
      </c>
      <c r="I483" s="1" t="s">
        <v>47</v>
      </c>
      <c r="J483" s="1" t="s">
        <v>124</v>
      </c>
      <c r="K483" s="1">
        <v>1</v>
      </c>
      <c r="L483" s="65">
        <f t="shared" si="7"/>
        <v>1.8975332068311195E-2</v>
      </c>
      <c r="M483" s="1" t="s">
        <v>113</v>
      </c>
      <c r="N483" s="1"/>
    </row>
    <row r="484" spans="1:14" x14ac:dyDescent="0.25">
      <c r="A484" s="13">
        <v>45779</v>
      </c>
      <c r="B484" s="25" t="s">
        <v>664</v>
      </c>
      <c r="C484" s="1" t="s">
        <v>20</v>
      </c>
      <c r="D484" s="1" t="s">
        <v>188</v>
      </c>
      <c r="E484" s="1" t="s">
        <v>189</v>
      </c>
      <c r="F484" s="1" t="s">
        <v>159</v>
      </c>
      <c r="G484" s="1">
        <v>2</v>
      </c>
      <c r="H484" s="1" t="s">
        <v>81</v>
      </c>
      <c r="I484" s="1" t="s">
        <v>87</v>
      </c>
      <c r="J484" s="1" t="s">
        <v>155</v>
      </c>
      <c r="K484" s="1">
        <v>3</v>
      </c>
      <c r="L484" s="65">
        <f t="shared" si="7"/>
        <v>5.6925996204933584E-2</v>
      </c>
      <c r="M484" s="1" t="s">
        <v>119</v>
      </c>
      <c r="N484" s="1"/>
    </row>
    <row r="485" spans="1:14" x14ac:dyDescent="0.25">
      <c r="A485" s="13">
        <v>45779</v>
      </c>
      <c r="B485" s="25" t="s">
        <v>664</v>
      </c>
      <c r="C485" s="1" t="s">
        <v>20</v>
      </c>
      <c r="D485" s="1" t="s">
        <v>188</v>
      </c>
      <c r="E485" s="1" t="s">
        <v>189</v>
      </c>
      <c r="F485" s="1" t="s">
        <v>159</v>
      </c>
      <c r="G485" s="1">
        <v>2</v>
      </c>
      <c r="H485" s="1" t="s">
        <v>67</v>
      </c>
      <c r="I485" s="1" t="s">
        <v>193</v>
      </c>
      <c r="J485" s="1" t="s">
        <v>194</v>
      </c>
      <c r="K485" s="1">
        <v>2</v>
      </c>
      <c r="L485" s="65">
        <f t="shared" si="7"/>
        <v>3.7950664136622389E-2</v>
      </c>
      <c r="M485" s="1" t="s">
        <v>121</v>
      </c>
      <c r="N485" s="1"/>
    </row>
    <row r="486" spans="1:14" x14ac:dyDescent="0.25">
      <c r="A486" s="13">
        <v>45779</v>
      </c>
      <c r="B486" s="25" t="s">
        <v>664</v>
      </c>
      <c r="C486" s="1" t="s">
        <v>20</v>
      </c>
      <c r="D486" s="1" t="s">
        <v>188</v>
      </c>
      <c r="E486" s="1" t="s">
        <v>189</v>
      </c>
      <c r="F486" s="1" t="s">
        <v>159</v>
      </c>
      <c r="G486" s="1">
        <v>2</v>
      </c>
      <c r="H486" s="1" t="s">
        <v>54</v>
      </c>
      <c r="I486" s="1" t="s">
        <v>57</v>
      </c>
      <c r="J486" s="1" t="s">
        <v>141</v>
      </c>
      <c r="K486" s="1">
        <v>5</v>
      </c>
      <c r="L486" s="65">
        <f t="shared" si="7"/>
        <v>9.4876660341555979E-2</v>
      </c>
      <c r="M486" s="1" t="s">
        <v>109</v>
      </c>
      <c r="N486" s="1"/>
    </row>
    <row r="487" spans="1:14" x14ac:dyDescent="0.25">
      <c r="A487" s="13">
        <v>45779</v>
      </c>
      <c r="B487" s="25" t="s">
        <v>664</v>
      </c>
      <c r="C487" s="1" t="s">
        <v>20</v>
      </c>
      <c r="D487" s="1" t="s">
        <v>188</v>
      </c>
      <c r="E487" s="1" t="s">
        <v>189</v>
      </c>
      <c r="F487" s="1" t="s">
        <v>159</v>
      </c>
      <c r="G487" s="1">
        <v>2</v>
      </c>
      <c r="H487" s="1" t="s">
        <v>81</v>
      </c>
      <c r="I487" s="1" t="s">
        <v>86</v>
      </c>
      <c r="J487" s="1" t="s">
        <v>146</v>
      </c>
      <c r="K487" s="1">
        <v>2</v>
      </c>
      <c r="L487" s="65">
        <f t="shared" si="7"/>
        <v>3.7950664136622389E-2</v>
      </c>
      <c r="M487" s="1" t="s">
        <v>116</v>
      </c>
      <c r="N487" s="1"/>
    </row>
    <row r="488" spans="1:14" x14ac:dyDescent="0.25">
      <c r="A488" s="13">
        <v>45779</v>
      </c>
      <c r="B488" s="25" t="s">
        <v>664</v>
      </c>
      <c r="C488" s="1" t="s">
        <v>20</v>
      </c>
      <c r="D488" s="1" t="s">
        <v>188</v>
      </c>
      <c r="E488" s="1" t="s">
        <v>189</v>
      </c>
      <c r="F488" s="1" t="s">
        <v>159</v>
      </c>
      <c r="G488" s="1">
        <v>2</v>
      </c>
      <c r="H488" s="1" t="s">
        <v>44</v>
      </c>
      <c r="I488" s="1" t="s">
        <v>52</v>
      </c>
      <c r="J488" s="1" t="s">
        <v>133</v>
      </c>
      <c r="K488" s="1">
        <v>3</v>
      </c>
      <c r="L488" s="65">
        <f t="shared" si="7"/>
        <v>5.6925996204933584E-2</v>
      </c>
      <c r="M488" s="1" t="s">
        <v>119</v>
      </c>
      <c r="N488" s="1"/>
    </row>
    <row r="489" spans="1:14" x14ac:dyDescent="0.25">
      <c r="A489" s="13">
        <v>45779</v>
      </c>
      <c r="B489" s="25" t="s">
        <v>664</v>
      </c>
      <c r="C489" s="1" t="s">
        <v>20</v>
      </c>
      <c r="D489" s="1" t="s">
        <v>188</v>
      </c>
      <c r="E489" s="1" t="s">
        <v>189</v>
      </c>
      <c r="F489" s="1" t="s">
        <v>159</v>
      </c>
      <c r="G489" s="1">
        <v>2</v>
      </c>
      <c r="H489" s="1" t="s">
        <v>54</v>
      </c>
      <c r="I489" s="1" t="s">
        <v>56</v>
      </c>
      <c r="J489" s="1" t="s">
        <v>168</v>
      </c>
      <c r="K489" s="1">
        <v>2</v>
      </c>
      <c r="L489" s="65">
        <f t="shared" si="7"/>
        <v>3.7950664136622389E-2</v>
      </c>
      <c r="M489" s="1" t="s">
        <v>109</v>
      </c>
      <c r="N489" s="1"/>
    </row>
    <row r="490" spans="1:14" x14ac:dyDescent="0.25">
      <c r="A490" s="13">
        <v>45779</v>
      </c>
      <c r="B490" s="25" t="s">
        <v>664</v>
      </c>
      <c r="C490" s="1" t="s">
        <v>20</v>
      </c>
      <c r="D490" s="1" t="s">
        <v>188</v>
      </c>
      <c r="E490" s="1" t="s">
        <v>189</v>
      </c>
      <c r="F490" s="1" t="s">
        <v>159</v>
      </c>
      <c r="G490" s="1">
        <v>2</v>
      </c>
      <c r="H490" s="1" t="s">
        <v>60</v>
      </c>
      <c r="I490" s="1" t="s">
        <v>64</v>
      </c>
      <c r="J490" s="1" t="s">
        <v>213</v>
      </c>
      <c r="K490" s="1">
        <v>4</v>
      </c>
      <c r="L490" s="65">
        <f t="shared" si="7"/>
        <v>7.5901328273244778E-2</v>
      </c>
      <c r="M490" s="1" t="s">
        <v>200</v>
      </c>
      <c r="N490" s="1"/>
    </row>
    <row r="491" spans="1:14" x14ac:dyDescent="0.25">
      <c r="A491" s="13">
        <v>45779</v>
      </c>
      <c r="B491" s="25" t="s">
        <v>664</v>
      </c>
      <c r="C491" s="1" t="s">
        <v>20</v>
      </c>
      <c r="D491" s="1" t="s">
        <v>188</v>
      </c>
      <c r="E491" s="1" t="s">
        <v>189</v>
      </c>
      <c r="F491" s="1" t="s">
        <v>159</v>
      </c>
      <c r="G491" s="1">
        <v>2</v>
      </c>
      <c r="H491" s="1" t="s">
        <v>44</v>
      </c>
      <c r="I491" s="1" t="s">
        <v>47</v>
      </c>
      <c r="J491" s="63" t="s">
        <v>114</v>
      </c>
      <c r="K491" s="1">
        <v>2</v>
      </c>
      <c r="L491" s="65">
        <f t="shared" si="7"/>
        <v>3.7950664136622389E-2</v>
      </c>
      <c r="M491" s="1" t="s">
        <v>109</v>
      </c>
      <c r="N491" s="1"/>
    </row>
    <row r="492" spans="1:14" x14ac:dyDescent="0.25">
      <c r="A492" s="13">
        <v>45779</v>
      </c>
      <c r="B492" s="25" t="s">
        <v>664</v>
      </c>
      <c r="C492" s="1" t="s">
        <v>20</v>
      </c>
      <c r="D492" s="1" t="s">
        <v>188</v>
      </c>
      <c r="E492" s="1" t="s">
        <v>189</v>
      </c>
      <c r="F492" s="1" t="s">
        <v>159</v>
      </c>
      <c r="G492" s="1">
        <v>2</v>
      </c>
      <c r="H492" s="1" t="s">
        <v>81</v>
      </c>
      <c r="I492" s="1" t="s">
        <v>82</v>
      </c>
      <c r="J492" s="1" t="s">
        <v>138</v>
      </c>
      <c r="K492" s="1">
        <v>3</v>
      </c>
      <c r="L492" s="65">
        <f t="shared" si="7"/>
        <v>5.6925996204933584E-2</v>
      </c>
      <c r="M492" s="1" t="s">
        <v>116</v>
      </c>
      <c r="N492" s="1"/>
    </row>
    <row r="493" spans="1:14" x14ac:dyDescent="0.25">
      <c r="A493" s="13">
        <v>45779</v>
      </c>
      <c r="B493" s="25" t="s">
        <v>664</v>
      </c>
      <c r="C493" s="1" t="s">
        <v>20</v>
      </c>
      <c r="D493" s="1" t="s">
        <v>188</v>
      </c>
      <c r="E493" s="1" t="s">
        <v>189</v>
      </c>
      <c r="F493" s="1" t="s">
        <v>159</v>
      </c>
      <c r="G493" s="1">
        <v>2</v>
      </c>
      <c r="H493" s="1" t="s">
        <v>36</v>
      </c>
      <c r="I493" s="1" t="s">
        <v>40</v>
      </c>
      <c r="J493" s="1" t="s">
        <v>40</v>
      </c>
      <c r="K493" s="1">
        <v>1</v>
      </c>
      <c r="L493" s="65">
        <f t="shared" si="7"/>
        <v>1.8975332068311195E-2</v>
      </c>
      <c r="M493" s="1" t="s">
        <v>113</v>
      </c>
      <c r="N493" s="1"/>
    </row>
    <row r="494" spans="1:14" x14ac:dyDescent="0.25">
      <c r="A494" s="13">
        <v>45779</v>
      </c>
      <c r="B494" s="25" t="s">
        <v>664</v>
      </c>
      <c r="C494" s="1" t="s">
        <v>20</v>
      </c>
      <c r="D494" s="1" t="s">
        <v>188</v>
      </c>
      <c r="E494" s="1" t="s">
        <v>189</v>
      </c>
      <c r="F494" s="1" t="s">
        <v>159</v>
      </c>
      <c r="G494" s="1">
        <v>2</v>
      </c>
      <c r="H494" s="1" t="s">
        <v>65</v>
      </c>
      <c r="I494" s="1" t="s">
        <v>66</v>
      </c>
      <c r="J494" s="1" t="s">
        <v>139</v>
      </c>
      <c r="K494" s="1">
        <v>2</v>
      </c>
      <c r="L494" s="65">
        <f t="shared" si="7"/>
        <v>3.7950664136622389E-2</v>
      </c>
      <c r="M494" s="1" t="s">
        <v>121</v>
      </c>
      <c r="N494" s="1"/>
    </row>
    <row r="495" spans="1:14" x14ac:dyDescent="0.25">
      <c r="A495" s="13">
        <v>45779</v>
      </c>
      <c r="B495" s="25" t="s">
        <v>664</v>
      </c>
      <c r="C495" s="1" t="s">
        <v>20</v>
      </c>
      <c r="D495" s="1" t="s">
        <v>188</v>
      </c>
      <c r="E495" s="1" t="s">
        <v>189</v>
      </c>
      <c r="F495" s="1" t="s">
        <v>159</v>
      </c>
      <c r="G495" s="1">
        <v>2</v>
      </c>
      <c r="H495" s="1" t="s">
        <v>81</v>
      </c>
      <c r="I495" s="1" t="s">
        <v>84</v>
      </c>
      <c r="J495" s="1" t="s">
        <v>187</v>
      </c>
      <c r="K495" s="1">
        <v>1</v>
      </c>
      <c r="L495" s="65">
        <f t="shared" si="7"/>
        <v>1.8975332068311195E-2</v>
      </c>
      <c r="M495" s="1" t="s">
        <v>109</v>
      </c>
      <c r="N495" s="1"/>
    </row>
    <row r="496" spans="1:14" x14ac:dyDescent="0.25">
      <c r="A496" s="13">
        <v>45779</v>
      </c>
      <c r="B496" s="25" t="s">
        <v>664</v>
      </c>
      <c r="C496" s="1" t="s">
        <v>20</v>
      </c>
      <c r="D496" s="1" t="s">
        <v>188</v>
      </c>
      <c r="E496" s="1" t="s">
        <v>189</v>
      </c>
      <c r="F496" s="1" t="s">
        <v>159</v>
      </c>
      <c r="G496" s="1">
        <v>3</v>
      </c>
      <c r="H496" s="1" t="s">
        <v>81</v>
      </c>
      <c r="I496" s="1" t="s">
        <v>191</v>
      </c>
      <c r="J496" s="1" t="s">
        <v>192</v>
      </c>
      <c r="K496" s="1">
        <v>13</v>
      </c>
      <c r="L496" s="65">
        <f t="shared" si="7"/>
        <v>0.24667931688804554</v>
      </c>
      <c r="M496" s="1" t="s">
        <v>109</v>
      </c>
      <c r="N496" s="1"/>
    </row>
    <row r="497" spans="1:14" x14ac:dyDescent="0.25">
      <c r="A497" s="13">
        <v>45779</v>
      </c>
      <c r="B497" s="25" t="s">
        <v>664</v>
      </c>
      <c r="C497" s="1" t="s">
        <v>20</v>
      </c>
      <c r="D497" s="1" t="s">
        <v>188</v>
      </c>
      <c r="E497" s="1" t="s">
        <v>189</v>
      </c>
      <c r="F497" s="1" t="s">
        <v>159</v>
      </c>
      <c r="G497" s="1">
        <v>3</v>
      </c>
      <c r="H497" s="1" t="s">
        <v>73</v>
      </c>
      <c r="I497" s="1" t="s">
        <v>76</v>
      </c>
      <c r="J497" s="1" t="s">
        <v>126</v>
      </c>
      <c r="K497" s="1">
        <v>9</v>
      </c>
      <c r="L497" s="65">
        <f t="shared" si="7"/>
        <v>0.17077798861480076</v>
      </c>
      <c r="M497" s="1" t="s">
        <v>113</v>
      </c>
      <c r="N497" s="1"/>
    </row>
    <row r="498" spans="1:14" x14ac:dyDescent="0.25">
      <c r="A498" s="13">
        <v>45779</v>
      </c>
      <c r="B498" s="25" t="s">
        <v>664</v>
      </c>
      <c r="C498" s="1" t="s">
        <v>20</v>
      </c>
      <c r="D498" s="1" t="s">
        <v>188</v>
      </c>
      <c r="E498" s="1" t="s">
        <v>189</v>
      </c>
      <c r="F498" s="1" t="s">
        <v>159</v>
      </c>
      <c r="G498" s="1">
        <v>3</v>
      </c>
      <c r="H498" s="1" t="s">
        <v>65</v>
      </c>
      <c r="I498" s="1" t="s">
        <v>66</v>
      </c>
      <c r="J498" s="1" t="s">
        <v>139</v>
      </c>
      <c r="K498" s="1">
        <v>5</v>
      </c>
      <c r="L498" s="65">
        <f t="shared" si="7"/>
        <v>9.4876660341555979E-2</v>
      </c>
      <c r="M498" s="1" t="s">
        <v>121</v>
      </c>
      <c r="N498" s="1"/>
    </row>
    <row r="499" spans="1:14" x14ac:dyDescent="0.25">
      <c r="A499" s="13">
        <v>45779</v>
      </c>
      <c r="B499" s="25" t="s">
        <v>664</v>
      </c>
      <c r="C499" s="1" t="s">
        <v>20</v>
      </c>
      <c r="D499" s="1" t="s">
        <v>188</v>
      </c>
      <c r="E499" s="1" t="s">
        <v>189</v>
      </c>
      <c r="F499" s="1" t="s">
        <v>159</v>
      </c>
      <c r="G499" s="1">
        <v>3</v>
      </c>
      <c r="H499" s="1" t="s">
        <v>41</v>
      </c>
      <c r="I499" s="1" t="s">
        <v>42</v>
      </c>
      <c r="J499" s="1" t="s">
        <v>161</v>
      </c>
      <c r="K499" s="1">
        <v>6</v>
      </c>
      <c r="L499" s="65">
        <f t="shared" si="7"/>
        <v>0.11385199240986717</v>
      </c>
      <c r="M499" s="1" t="s">
        <v>109</v>
      </c>
      <c r="N499" s="1"/>
    </row>
    <row r="500" spans="1:14" x14ac:dyDescent="0.25">
      <c r="A500" s="13">
        <v>45779</v>
      </c>
      <c r="B500" s="25" t="s">
        <v>664</v>
      </c>
      <c r="C500" s="1" t="s">
        <v>20</v>
      </c>
      <c r="D500" s="1" t="s">
        <v>188</v>
      </c>
      <c r="E500" s="1" t="s">
        <v>189</v>
      </c>
      <c r="F500" s="1" t="s">
        <v>159</v>
      </c>
      <c r="G500" s="1">
        <v>3</v>
      </c>
      <c r="H500" s="1" t="s">
        <v>60</v>
      </c>
      <c r="I500" s="1" t="s">
        <v>63</v>
      </c>
      <c r="J500" s="1" t="s">
        <v>112</v>
      </c>
      <c r="K500" s="1">
        <v>21</v>
      </c>
      <c r="L500" s="65">
        <f t="shared" si="7"/>
        <v>0.39848197343453506</v>
      </c>
      <c r="M500" s="1" t="s">
        <v>113</v>
      </c>
      <c r="N500" s="1"/>
    </row>
    <row r="501" spans="1:14" x14ac:dyDescent="0.25">
      <c r="A501" s="13">
        <v>45779</v>
      </c>
      <c r="B501" s="25" t="s">
        <v>664</v>
      </c>
      <c r="C501" s="1" t="s">
        <v>20</v>
      </c>
      <c r="D501" s="1" t="s">
        <v>188</v>
      </c>
      <c r="E501" s="1" t="s">
        <v>189</v>
      </c>
      <c r="F501" s="1" t="s">
        <v>159</v>
      </c>
      <c r="G501" s="1">
        <v>3</v>
      </c>
      <c r="H501" s="1" t="s">
        <v>81</v>
      </c>
      <c r="I501" s="1" t="s">
        <v>83</v>
      </c>
      <c r="J501" s="1" t="s">
        <v>135</v>
      </c>
      <c r="K501" s="1">
        <v>44</v>
      </c>
      <c r="L501" s="65">
        <f t="shared" si="7"/>
        <v>0.83491461100569253</v>
      </c>
      <c r="M501" s="1" t="s">
        <v>116</v>
      </c>
      <c r="N501" s="1"/>
    </row>
    <row r="502" spans="1:14" x14ac:dyDescent="0.25">
      <c r="A502" s="13">
        <v>45779</v>
      </c>
      <c r="B502" s="25" t="s">
        <v>664</v>
      </c>
      <c r="C502" s="1" t="s">
        <v>20</v>
      </c>
      <c r="D502" s="1" t="s">
        <v>188</v>
      </c>
      <c r="E502" s="1" t="s">
        <v>189</v>
      </c>
      <c r="F502" s="1" t="s">
        <v>159</v>
      </c>
      <c r="G502" s="1">
        <v>3</v>
      </c>
      <c r="H502" s="1" t="s">
        <v>81</v>
      </c>
      <c r="I502" s="1" t="s">
        <v>83</v>
      </c>
      <c r="J502" s="1" t="s">
        <v>131</v>
      </c>
      <c r="K502" s="1">
        <v>27</v>
      </c>
      <c r="L502" s="65">
        <f t="shared" si="7"/>
        <v>0.51233396584440227</v>
      </c>
      <c r="M502" s="1" t="s">
        <v>116</v>
      </c>
      <c r="N502" s="1"/>
    </row>
    <row r="503" spans="1:14" x14ac:dyDescent="0.25">
      <c r="A503" s="13">
        <v>45779</v>
      </c>
      <c r="B503" s="25" t="s">
        <v>664</v>
      </c>
      <c r="C503" s="1" t="s">
        <v>20</v>
      </c>
      <c r="D503" s="1" t="s">
        <v>188</v>
      </c>
      <c r="E503" s="1" t="s">
        <v>189</v>
      </c>
      <c r="F503" s="1" t="s">
        <v>159</v>
      </c>
      <c r="G503" s="1">
        <v>3</v>
      </c>
      <c r="H503" s="1" t="s">
        <v>79</v>
      </c>
      <c r="I503" s="1" t="s">
        <v>80</v>
      </c>
      <c r="J503" s="1" t="s">
        <v>142</v>
      </c>
      <c r="K503" s="1">
        <v>47</v>
      </c>
      <c r="L503" s="65">
        <f t="shared" si="7"/>
        <v>0.89184060721062619</v>
      </c>
      <c r="M503" s="1" t="s">
        <v>113</v>
      </c>
      <c r="N503" s="1"/>
    </row>
    <row r="504" spans="1:14" x14ac:dyDescent="0.25">
      <c r="A504" s="13">
        <v>45779</v>
      </c>
      <c r="B504" s="25" t="s">
        <v>664</v>
      </c>
      <c r="C504" s="1" t="s">
        <v>20</v>
      </c>
      <c r="D504" s="1" t="s">
        <v>188</v>
      </c>
      <c r="E504" s="1" t="s">
        <v>189</v>
      </c>
      <c r="F504" s="1" t="s">
        <v>159</v>
      </c>
      <c r="G504" s="1">
        <v>3</v>
      </c>
      <c r="H504" s="1" t="s">
        <v>44</v>
      </c>
      <c r="I504" s="1" t="s">
        <v>52</v>
      </c>
      <c r="J504" s="1" t="s">
        <v>133</v>
      </c>
      <c r="K504" s="1">
        <v>35</v>
      </c>
      <c r="L504" s="65">
        <f t="shared" si="7"/>
        <v>0.66413662239089188</v>
      </c>
      <c r="M504" s="1" t="s">
        <v>119</v>
      </c>
      <c r="N504" s="1"/>
    </row>
    <row r="505" spans="1:14" x14ac:dyDescent="0.25">
      <c r="A505" s="13">
        <v>45779</v>
      </c>
      <c r="B505" s="25" t="s">
        <v>664</v>
      </c>
      <c r="C505" s="1" t="s">
        <v>20</v>
      </c>
      <c r="D505" s="1" t="s">
        <v>188</v>
      </c>
      <c r="E505" s="1" t="s">
        <v>189</v>
      </c>
      <c r="F505" s="1" t="s">
        <v>159</v>
      </c>
      <c r="G505" s="1">
        <v>3</v>
      </c>
      <c r="H505" s="1" t="s">
        <v>73</v>
      </c>
      <c r="I505" s="1" t="s">
        <v>74</v>
      </c>
      <c r="J505" s="1" t="s">
        <v>140</v>
      </c>
      <c r="K505" s="1">
        <v>3</v>
      </c>
      <c r="L505" s="65">
        <f t="shared" si="7"/>
        <v>5.6925996204933584E-2</v>
      </c>
      <c r="M505" s="1" t="s">
        <v>113</v>
      </c>
      <c r="N505" s="1"/>
    </row>
    <row r="506" spans="1:14" x14ac:dyDescent="0.25">
      <c r="A506" s="13">
        <v>45779</v>
      </c>
      <c r="B506" s="25" t="s">
        <v>664</v>
      </c>
      <c r="C506" s="1" t="s">
        <v>20</v>
      </c>
      <c r="D506" s="1" t="s">
        <v>188</v>
      </c>
      <c r="E506" s="1" t="s">
        <v>189</v>
      </c>
      <c r="F506" s="1" t="s">
        <v>159</v>
      </c>
      <c r="G506" s="1">
        <v>3</v>
      </c>
      <c r="H506" s="1" t="s">
        <v>54</v>
      </c>
      <c r="I506" s="1" t="s">
        <v>55</v>
      </c>
      <c r="J506" s="1" t="s">
        <v>120</v>
      </c>
      <c r="K506" s="1">
        <v>141</v>
      </c>
      <c r="L506" s="65">
        <f t="shared" si="7"/>
        <v>2.6755218216318788</v>
      </c>
      <c r="M506" s="1" t="s">
        <v>121</v>
      </c>
      <c r="N506" s="1"/>
    </row>
    <row r="507" spans="1:14" x14ac:dyDescent="0.25">
      <c r="A507" s="13">
        <v>45779</v>
      </c>
      <c r="B507" s="25" t="s">
        <v>664</v>
      </c>
      <c r="C507" s="1" t="s">
        <v>20</v>
      </c>
      <c r="D507" s="1" t="s">
        <v>188</v>
      </c>
      <c r="E507" s="1" t="s">
        <v>189</v>
      </c>
      <c r="F507" s="1" t="s">
        <v>159</v>
      </c>
      <c r="G507" s="1">
        <v>3</v>
      </c>
      <c r="H507" s="1" t="s">
        <v>54</v>
      </c>
      <c r="I507" s="1" t="s">
        <v>55</v>
      </c>
      <c r="J507" s="1" t="s">
        <v>202</v>
      </c>
      <c r="K507" s="1">
        <v>44</v>
      </c>
      <c r="L507" s="65">
        <f t="shared" si="7"/>
        <v>0.83491461100569253</v>
      </c>
      <c r="M507" s="1" t="s">
        <v>109</v>
      </c>
      <c r="N507" s="1"/>
    </row>
    <row r="508" spans="1:14" x14ac:dyDescent="0.25">
      <c r="A508" s="13">
        <v>45779</v>
      </c>
      <c r="B508" s="25" t="s">
        <v>664</v>
      </c>
      <c r="C508" s="1" t="s">
        <v>20</v>
      </c>
      <c r="D508" s="1" t="s">
        <v>188</v>
      </c>
      <c r="E508" s="1" t="s">
        <v>189</v>
      </c>
      <c r="F508" s="1" t="s">
        <v>159</v>
      </c>
      <c r="G508" s="1">
        <v>3</v>
      </c>
      <c r="H508" s="1" t="s">
        <v>73</v>
      </c>
      <c r="I508" s="1" t="s">
        <v>77</v>
      </c>
      <c r="J508" s="1" t="s">
        <v>214</v>
      </c>
      <c r="K508" s="1">
        <v>12</v>
      </c>
      <c r="L508" s="65">
        <f t="shared" si="7"/>
        <v>0.22770398481973433</v>
      </c>
      <c r="M508" s="1" t="s">
        <v>113</v>
      </c>
      <c r="N508" s="1" t="s">
        <v>215</v>
      </c>
    </row>
    <row r="509" spans="1:14" x14ac:dyDescent="0.25">
      <c r="A509" s="13">
        <v>45779</v>
      </c>
      <c r="B509" s="25" t="s">
        <v>664</v>
      </c>
      <c r="C509" s="1" t="s">
        <v>20</v>
      </c>
      <c r="D509" s="1" t="s">
        <v>188</v>
      </c>
      <c r="E509" s="1" t="s">
        <v>189</v>
      </c>
      <c r="F509" s="1" t="s">
        <v>159</v>
      </c>
      <c r="G509" s="1">
        <v>3</v>
      </c>
      <c r="H509" s="1" t="s">
        <v>54</v>
      </c>
      <c r="I509" s="1" t="s">
        <v>55</v>
      </c>
      <c r="J509" s="1" t="s">
        <v>122</v>
      </c>
      <c r="K509" s="1">
        <v>65</v>
      </c>
      <c r="L509" s="65">
        <f t="shared" si="7"/>
        <v>1.2333965844402277</v>
      </c>
      <c r="M509" s="1" t="s">
        <v>109</v>
      </c>
      <c r="N509" s="1"/>
    </row>
    <row r="510" spans="1:14" x14ac:dyDescent="0.25">
      <c r="A510" s="13">
        <v>45779</v>
      </c>
      <c r="B510" s="25" t="s">
        <v>664</v>
      </c>
      <c r="C510" s="1" t="s">
        <v>20</v>
      </c>
      <c r="D510" s="1" t="s">
        <v>188</v>
      </c>
      <c r="E510" s="1" t="s">
        <v>189</v>
      </c>
      <c r="F510" s="1" t="s">
        <v>159</v>
      </c>
      <c r="G510" s="1">
        <v>3</v>
      </c>
      <c r="H510" s="1" t="s">
        <v>81</v>
      </c>
      <c r="I510" s="1" t="s">
        <v>85</v>
      </c>
      <c r="J510" s="1" t="s">
        <v>108</v>
      </c>
      <c r="K510" s="1">
        <v>5</v>
      </c>
      <c r="L510" s="65">
        <f t="shared" si="7"/>
        <v>9.4876660341555979E-2</v>
      </c>
      <c r="M510" s="1" t="s">
        <v>109</v>
      </c>
      <c r="N510" s="1"/>
    </row>
    <row r="511" spans="1:14" x14ac:dyDescent="0.25">
      <c r="A511" s="13">
        <v>45779</v>
      </c>
      <c r="B511" s="25" t="s">
        <v>664</v>
      </c>
      <c r="C511" s="1" t="s">
        <v>20</v>
      </c>
      <c r="D511" s="1" t="s">
        <v>188</v>
      </c>
      <c r="E511" s="1" t="s">
        <v>189</v>
      </c>
      <c r="F511" s="1" t="s">
        <v>159</v>
      </c>
      <c r="G511" s="1">
        <v>3</v>
      </c>
      <c r="H511" s="1" t="s">
        <v>44</v>
      </c>
      <c r="I511" s="1" t="s">
        <v>198</v>
      </c>
      <c r="J511" s="1" t="s">
        <v>199</v>
      </c>
      <c r="K511" s="1">
        <v>80</v>
      </c>
      <c r="L511" s="65">
        <f t="shared" si="7"/>
        <v>1.5180265654648957</v>
      </c>
      <c r="M511" s="1" t="s">
        <v>200</v>
      </c>
      <c r="N511" s="1" t="s">
        <v>201</v>
      </c>
    </row>
    <row r="512" spans="1:14" x14ac:dyDescent="0.25">
      <c r="A512" s="13">
        <v>45779</v>
      </c>
      <c r="B512" s="25" t="s">
        <v>664</v>
      </c>
      <c r="C512" s="1" t="s">
        <v>20</v>
      </c>
      <c r="D512" s="1" t="s">
        <v>188</v>
      </c>
      <c r="E512" s="1" t="s">
        <v>189</v>
      </c>
      <c r="F512" s="1" t="s">
        <v>159</v>
      </c>
      <c r="G512" s="1">
        <v>3</v>
      </c>
      <c r="H512" s="1" t="s">
        <v>54</v>
      </c>
      <c r="I512" s="1" t="s">
        <v>56</v>
      </c>
      <c r="J512" s="1" t="s">
        <v>168</v>
      </c>
      <c r="K512" s="1">
        <v>37</v>
      </c>
      <c r="L512" s="65">
        <f t="shared" si="7"/>
        <v>0.70208728652751429</v>
      </c>
      <c r="M512" s="1" t="s">
        <v>109</v>
      </c>
      <c r="N512" s="1"/>
    </row>
    <row r="513" spans="1:14" x14ac:dyDescent="0.25">
      <c r="A513" s="13">
        <v>45779</v>
      </c>
      <c r="B513" s="25" t="s">
        <v>664</v>
      </c>
      <c r="C513" s="1" t="s">
        <v>20</v>
      </c>
      <c r="D513" s="1" t="s">
        <v>188</v>
      </c>
      <c r="E513" s="1" t="s">
        <v>189</v>
      </c>
      <c r="F513" s="1" t="s">
        <v>159</v>
      </c>
      <c r="G513" s="1">
        <v>3</v>
      </c>
      <c r="H513" s="1" t="s">
        <v>81</v>
      </c>
      <c r="I513" s="1" t="s">
        <v>87</v>
      </c>
      <c r="J513" s="1" t="s">
        <v>155</v>
      </c>
      <c r="K513" s="1">
        <v>3</v>
      </c>
      <c r="L513" s="65">
        <f t="shared" si="7"/>
        <v>5.6925996204933584E-2</v>
      </c>
      <c r="M513" s="1" t="s">
        <v>119</v>
      </c>
      <c r="N513" s="1"/>
    </row>
    <row r="514" spans="1:14" x14ac:dyDescent="0.25">
      <c r="A514" s="13">
        <v>45779</v>
      </c>
      <c r="B514" s="25" t="s">
        <v>664</v>
      </c>
      <c r="C514" s="1" t="s">
        <v>20</v>
      </c>
      <c r="D514" s="1" t="s">
        <v>188</v>
      </c>
      <c r="E514" s="1" t="s">
        <v>189</v>
      </c>
      <c r="F514" s="1" t="s">
        <v>159</v>
      </c>
      <c r="G514" s="1">
        <v>3</v>
      </c>
      <c r="H514" s="1" t="s">
        <v>44</v>
      </c>
      <c r="I514" s="1" t="s">
        <v>47</v>
      </c>
      <c r="J514" s="63" t="s">
        <v>114</v>
      </c>
      <c r="K514" s="1">
        <v>8</v>
      </c>
      <c r="L514" s="65">
        <f t="shared" si="7"/>
        <v>0.15180265654648956</v>
      </c>
      <c r="M514" s="1" t="s">
        <v>109</v>
      </c>
      <c r="N514" s="1"/>
    </row>
    <row r="515" spans="1:14" x14ac:dyDescent="0.25">
      <c r="A515" s="13">
        <v>45779</v>
      </c>
      <c r="B515" s="25" t="s">
        <v>664</v>
      </c>
      <c r="C515" s="1" t="s">
        <v>20</v>
      </c>
      <c r="D515" s="1" t="s">
        <v>188</v>
      </c>
      <c r="E515" s="1" t="s">
        <v>189</v>
      </c>
      <c r="F515" s="1" t="s">
        <v>159</v>
      </c>
      <c r="G515" s="1">
        <v>3</v>
      </c>
      <c r="H515" s="1" t="s">
        <v>36</v>
      </c>
      <c r="I515" s="1" t="s">
        <v>37</v>
      </c>
      <c r="J515" s="1" t="s">
        <v>128</v>
      </c>
      <c r="K515" s="1">
        <v>29</v>
      </c>
      <c r="L515" s="65">
        <f t="shared" si="7"/>
        <v>0.55028462998102468</v>
      </c>
      <c r="M515" s="1" t="s">
        <v>109</v>
      </c>
      <c r="N515" s="1"/>
    </row>
    <row r="516" spans="1:14" x14ac:dyDescent="0.25">
      <c r="A516" s="13">
        <v>45779</v>
      </c>
      <c r="B516" s="25" t="s">
        <v>664</v>
      </c>
      <c r="C516" s="1" t="s">
        <v>20</v>
      </c>
      <c r="D516" s="1" t="s">
        <v>188</v>
      </c>
      <c r="E516" s="1" t="s">
        <v>189</v>
      </c>
      <c r="F516" s="1" t="s">
        <v>159</v>
      </c>
      <c r="G516" s="1">
        <v>3</v>
      </c>
      <c r="H516" s="1" t="s">
        <v>36</v>
      </c>
      <c r="I516" s="1" t="s">
        <v>38</v>
      </c>
      <c r="J516" s="1" t="s">
        <v>151</v>
      </c>
      <c r="K516" s="1">
        <v>6</v>
      </c>
      <c r="L516" s="65">
        <f t="shared" si="7"/>
        <v>0.11385199240986717</v>
      </c>
      <c r="M516" s="1" t="s">
        <v>109</v>
      </c>
      <c r="N516" s="1" t="s">
        <v>195</v>
      </c>
    </row>
    <row r="517" spans="1:14" x14ac:dyDescent="0.25">
      <c r="A517" s="13">
        <v>45779</v>
      </c>
      <c r="B517" s="25" t="s">
        <v>664</v>
      </c>
      <c r="C517" s="1" t="s">
        <v>20</v>
      </c>
      <c r="D517" s="1" t="s">
        <v>188</v>
      </c>
      <c r="E517" s="1" t="s">
        <v>189</v>
      </c>
      <c r="F517" s="1" t="s">
        <v>216</v>
      </c>
      <c r="G517" s="1">
        <v>1</v>
      </c>
      <c r="H517" s="1" t="s">
        <v>81</v>
      </c>
      <c r="I517" s="1" t="s">
        <v>82</v>
      </c>
      <c r="J517" s="1" t="s">
        <v>138</v>
      </c>
      <c r="K517" s="1">
        <v>4</v>
      </c>
      <c r="L517" s="65">
        <f t="shared" si="7"/>
        <v>7.5901328273244778E-2</v>
      </c>
      <c r="M517" s="1" t="s">
        <v>116</v>
      </c>
      <c r="N517" s="1"/>
    </row>
    <row r="518" spans="1:14" x14ac:dyDescent="0.25">
      <c r="A518" s="13">
        <v>45779</v>
      </c>
      <c r="B518" s="25" t="s">
        <v>664</v>
      </c>
      <c r="C518" s="1" t="s">
        <v>20</v>
      </c>
      <c r="D518" s="1" t="s">
        <v>188</v>
      </c>
      <c r="E518" s="1" t="s">
        <v>189</v>
      </c>
      <c r="F518" s="1" t="s">
        <v>216</v>
      </c>
      <c r="G518" s="1">
        <v>1</v>
      </c>
      <c r="H518" s="1" t="s">
        <v>54</v>
      </c>
      <c r="I518" s="1" t="s">
        <v>55</v>
      </c>
      <c r="J518" s="1" t="s">
        <v>217</v>
      </c>
      <c r="K518" s="1">
        <v>6</v>
      </c>
      <c r="L518" s="65">
        <f t="shared" si="7"/>
        <v>0.11385199240986717</v>
      </c>
      <c r="M518" s="1" t="s">
        <v>109</v>
      </c>
      <c r="N518" s="1"/>
    </row>
    <row r="519" spans="1:14" x14ac:dyDescent="0.25">
      <c r="A519" s="13">
        <v>45779</v>
      </c>
      <c r="B519" s="25" t="s">
        <v>664</v>
      </c>
      <c r="C519" s="1" t="s">
        <v>20</v>
      </c>
      <c r="D519" s="1" t="s">
        <v>188</v>
      </c>
      <c r="E519" s="1" t="s">
        <v>189</v>
      </c>
      <c r="F519" s="1" t="s">
        <v>216</v>
      </c>
      <c r="G519" s="1">
        <v>1</v>
      </c>
      <c r="H519" s="1" t="s">
        <v>36</v>
      </c>
      <c r="I519" s="1" t="s">
        <v>37</v>
      </c>
      <c r="J519" s="1" t="s">
        <v>218</v>
      </c>
      <c r="K519" s="1">
        <v>1</v>
      </c>
      <c r="L519" s="65">
        <f t="shared" ref="L519:L582" si="8">(K519/$P$7)*100</f>
        <v>1.8975332068311195E-2</v>
      </c>
      <c r="M519" s="1" t="s">
        <v>109</v>
      </c>
      <c r="N519" s="1"/>
    </row>
    <row r="520" spans="1:14" x14ac:dyDescent="0.25">
      <c r="A520" s="13">
        <v>45779</v>
      </c>
      <c r="B520" s="25" t="s">
        <v>664</v>
      </c>
      <c r="C520" s="1" t="s">
        <v>20</v>
      </c>
      <c r="D520" s="1" t="s">
        <v>188</v>
      </c>
      <c r="E520" s="1" t="s">
        <v>189</v>
      </c>
      <c r="F520" s="1" t="s">
        <v>216</v>
      </c>
      <c r="G520" s="1">
        <v>1</v>
      </c>
      <c r="H520" s="1" t="s">
        <v>54</v>
      </c>
      <c r="I520" s="1" t="s">
        <v>55</v>
      </c>
      <c r="J520" s="1" t="s">
        <v>120</v>
      </c>
      <c r="K520" s="1">
        <v>3</v>
      </c>
      <c r="L520" s="65">
        <f t="shared" si="8"/>
        <v>5.6925996204933584E-2</v>
      </c>
      <c r="M520" s="1" t="s">
        <v>121</v>
      </c>
      <c r="N520" s="1"/>
    </row>
    <row r="521" spans="1:14" x14ac:dyDescent="0.25">
      <c r="A521" s="13">
        <v>45779</v>
      </c>
      <c r="B521" s="25" t="s">
        <v>664</v>
      </c>
      <c r="C521" s="1" t="s">
        <v>20</v>
      </c>
      <c r="D521" s="1" t="s">
        <v>188</v>
      </c>
      <c r="E521" s="1" t="s">
        <v>189</v>
      </c>
      <c r="F521" s="1" t="s">
        <v>216</v>
      </c>
      <c r="G521" s="1">
        <v>1</v>
      </c>
      <c r="H521" s="1" t="s">
        <v>60</v>
      </c>
      <c r="I521" s="1" t="s">
        <v>64</v>
      </c>
      <c r="J521" s="1" t="s">
        <v>117</v>
      </c>
      <c r="K521" s="1">
        <v>7</v>
      </c>
      <c r="L521" s="65">
        <f t="shared" si="8"/>
        <v>0.13282732447817835</v>
      </c>
      <c r="M521" s="1" t="s">
        <v>113</v>
      </c>
      <c r="N521" s="1"/>
    </row>
    <row r="522" spans="1:14" x14ac:dyDescent="0.25">
      <c r="A522" s="13">
        <v>45779</v>
      </c>
      <c r="B522" s="25" t="s">
        <v>664</v>
      </c>
      <c r="C522" s="1" t="s">
        <v>20</v>
      </c>
      <c r="D522" s="1" t="s">
        <v>188</v>
      </c>
      <c r="E522" s="1" t="s">
        <v>189</v>
      </c>
      <c r="F522" s="1" t="s">
        <v>216</v>
      </c>
      <c r="G522" s="1">
        <v>1</v>
      </c>
      <c r="H522" s="1" t="s">
        <v>81</v>
      </c>
      <c r="I522" s="1" t="s">
        <v>85</v>
      </c>
      <c r="J522" s="1" t="s">
        <v>108</v>
      </c>
      <c r="K522" s="1">
        <v>1</v>
      </c>
      <c r="L522" s="65">
        <f t="shared" si="8"/>
        <v>1.8975332068311195E-2</v>
      </c>
      <c r="M522" s="1" t="s">
        <v>109</v>
      </c>
      <c r="N522" s="1"/>
    </row>
    <row r="523" spans="1:14" x14ac:dyDescent="0.25">
      <c r="A523" s="13">
        <v>45779</v>
      </c>
      <c r="B523" s="25" t="s">
        <v>664</v>
      </c>
      <c r="C523" s="1" t="s">
        <v>20</v>
      </c>
      <c r="D523" s="1" t="s">
        <v>188</v>
      </c>
      <c r="E523" s="1" t="s">
        <v>189</v>
      </c>
      <c r="F523" s="1" t="s">
        <v>216</v>
      </c>
      <c r="G523" s="1">
        <v>1</v>
      </c>
      <c r="H523" s="1" t="s">
        <v>58</v>
      </c>
      <c r="I523" s="1" t="s">
        <v>196</v>
      </c>
      <c r="J523" s="1" t="s">
        <v>197</v>
      </c>
      <c r="K523" s="1">
        <v>4</v>
      </c>
      <c r="L523" s="65">
        <f t="shared" si="8"/>
        <v>7.5901328273244778E-2</v>
      </c>
      <c r="M523" s="1" t="s">
        <v>121</v>
      </c>
      <c r="N523" s="1"/>
    </row>
    <row r="524" spans="1:14" x14ac:dyDescent="0.25">
      <c r="A524" s="13">
        <v>45779</v>
      </c>
      <c r="B524" s="25" t="s">
        <v>664</v>
      </c>
      <c r="C524" s="1" t="s">
        <v>20</v>
      </c>
      <c r="D524" s="1" t="s">
        <v>188</v>
      </c>
      <c r="E524" s="1" t="s">
        <v>189</v>
      </c>
      <c r="F524" s="1" t="s">
        <v>216</v>
      </c>
      <c r="G524" s="1">
        <v>1</v>
      </c>
      <c r="H524" s="1" t="s">
        <v>81</v>
      </c>
      <c r="I524" s="1" t="s">
        <v>191</v>
      </c>
      <c r="J524" s="1" t="s">
        <v>192</v>
      </c>
      <c r="K524" s="1">
        <v>1</v>
      </c>
      <c r="L524" s="65">
        <f t="shared" si="8"/>
        <v>1.8975332068311195E-2</v>
      </c>
      <c r="M524" s="1" t="s">
        <v>109</v>
      </c>
      <c r="N524" s="1"/>
    </row>
    <row r="525" spans="1:14" x14ac:dyDescent="0.25">
      <c r="A525" s="13">
        <v>45779</v>
      </c>
      <c r="B525" s="25" t="s">
        <v>664</v>
      </c>
      <c r="C525" s="1" t="s">
        <v>20</v>
      </c>
      <c r="D525" s="1" t="s">
        <v>188</v>
      </c>
      <c r="E525" s="1" t="s">
        <v>189</v>
      </c>
      <c r="F525" s="1" t="s">
        <v>216</v>
      </c>
      <c r="G525" s="1">
        <v>1</v>
      </c>
      <c r="H525" s="1" t="s">
        <v>36</v>
      </c>
      <c r="I525" s="1" t="s">
        <v>207</v>
      </c>
      <c r="J525" s="1" t="s">
        <v>208</v>
      </c>
      <c r="K525" s="1">
        <v>1</v>
      </c>
      <c r="L525" s="65">
        <f t="shared" si="8"/>
        <v>1.8975332068311195E-2</v>
      </c>
      <c r="M525" s="1" t="s">
        <v>109</v>
      </c>
      <c r="N525" s="1"/>
    </row>
    <row r="526" spans="1:14" x14ac:dyDescent="0.25">
      <c r="A526" s="13">
        <v>45779</v>
      </c>
      <c r="B526" s="25" t="s">
        <v>664</v>
      </c>
      <c r="C526" s="1" t="s">
        <v>20</v>
      </c>
      <c r="D526" s="1" t="s">
        <v>188</v>
      </c>
      <c r="E526" s="1" t="s">
        <v>189</v>
      </c>
      <c r="F526" s="1" t="s">
        <v>216</v>
      </c>
      <c r="G526" s="1">
        <v>1</v>
      </c>
      <c r="H526" s="1" t="s">
        <v>44</v>
      </c>
      <c r="I526" s="1" t="s">
        <v>209</v>
      </c>
      <c r="J526" s="1" t="s">
        <v>210</v>
      </c>
      <c r="K526" s="1">
        <v>47</v>
      </c>
      <c r="L526" s="65">
        <f t="shared" si="8"/>
        <v>0.89184060721062619</v>
      </c>
      <c r="M526" s="1" t="s">
        <v>111</v>
      </c>
      <c r="N526" s="1"/>
    </row>
    <row r="527" spans="1:14" x14ac:dyDescent="0.25">
      <c r="A527" s="13">
        <v>45779</v>
      </c>
      <c r="B527" s="25" t="s">
        <v>664</v>
      </c>
      <c r="C527" s="1" t="s">
        <v>20</v>
      </c>
      <c r="D527" s="1" t="s">
        <v>188</v>
      </c>
      <c r="E527" s="1" t="s">
        <v>189</v>
      </c>
      <c r="F527" s="1" t="s">
        <v>216</v>
      </c>
      <c r="G527" s="1">
        <v>1</v>
      </c>
      <c r="H527" s="1" t="s">
        <v>44</v>
      </c>
      <c r="I527" s="1" t="s">
        <v>48</v>
      </c>
      <c r="J527" s="1" t="s">
        <v>170</v>
      </c>
      <c r="K527" s="1">
        <v>4</v>
      </c>
      <c r="L527" s="65">
        <f t="shared" si="8"/>
        <v>7.5901328273244778E-2</v>
      </c>
      <c r="M527" s="1" t="s">
        <v>109</v>
      </c>
      <c r="N527" s="1"/>
    </row>
    <row r="528" spans="1:14" x14ac:dyDescent="0.25">
      <c r="A528" s="13">
        <v>45779</v>
      </c>
      <c r="B528" s="25" t="s">
        <v>664</v>
      </c>
      <c r="C528" s="1" t="s">
        <v>20</v>
      </c>
      <c r="D528" s="1" t="s">
        <v>188</v>
      </c>
      <c r="E528" s="1" t="s">
        <v>189</v>
      </c>
      <c r="F528" s="1" t="s">
        <v>216</v>
      </c>
      <c r="G528" s="1">
        <v>2</v>
      </c>
      <c r="H528" s="1" t="s">
        <v>60</v>
      </c>
      <c r="I528" s="1" t="s">
        <v>63</v>
      </c>
      <c r="J528" s="1" t="s">
        <v>112</v>
      </c>
      <c r="K528" s="1">
        <v>33</v>
      </c>
      <c r="L528" s="65">
        <f t="shared" si="8"/>
        <v>0.62618595825426948</v>
      </c>
      <c r="M528" s="1" t="s">
        <v>113</v>
      </c>
      <c r="N528" s="1"/>
    </row>
    <row r="529" spans="1:14" x14ac:dyDescent="0.25">
      <c r="A529" s="13">
        <v>45779</v>
      </c>
      <c r="B529" s="25" t="s">
        <v>664</v>
      </c>
      <c r="C529" s="1" t="s">
        <v>20</v>
      </c>
      <c r="D529" s="1" t="s">
        <v>188</v>
      </c>
      <c r="E529" s="1" t="s">
        <v>189</v>
      </c>
      <c r="F529" s="1" t="s">
        <v>216</v>
      </c>
      <c r="G529" s="1">
        <v>2</v>
      </c>
      <c r="H529" s="1" t="s">
        <v>81</v>
      </c>
      <c r="I529" s="1" t="s">
        <v>82</v>
      </c>
      <c r="J529" s="1" t="s">
        <v>138</v>
      </c>
      <c r="K529" s="1">
        <v>1</v>
      </c>
      <c r="L529" s="65">
        <f t="shared" si="8"/>
        <v>1.8975332068311195E-2</v>
      </c>
      <c r="M529" s="1" t="s">
        <v>116</v>
      </c>
      <c r="N529" s="1"/>
    </row>
    <row r="530" spans="1:14" x14ac:dyDescent="0.25">
      <c r="A530" s="13">
        <v>45779</v>
      </c>
      <c r="B530" s="25" t="s">
        <v>664</v>
      </c>
      <c r="C530" s="1" t="s">
        <v>20</v>
      </c>
      <c r="D530" s="1" t="s">
        <v>188</v>
      </c>
      <c r="E530" s="1" t="s">
        <v>189</v>
      </c>
      <c r="F530" s="1" t="s">
        <v>216</v>
      </c>
      <c r="G530" s="1">
        <v>2</v>
      </c>
      <c r="H530" s="1" t="s">
        <v>60</v>
      </c>
      <c r="I530" s="1" t="s">
        <v>64</v>
      </c>
      <c r="J530" s="1" t="s">
        <v>118</v>
      </c>
      <c r="K530" s="1">
        <v>6</v>
      </c>
      <c r="L530" s="65">
        <f t="shared" si="8"/>
        <v>0.11385199240986717</v>
      </c>
      <c r="M530" s="1" t="s">
        <v>113</v>
      </c>
      <c r="N530" s="1"/>
    </row>
    <row r="531" spans="1:14" x14ac:dyDescent="0.25">
      <c r="A531" s="13">
        <v>45779</v>
      </c>
      <c r="B531" s="25" t="s">
        <v>664</v>
      </c>
      <c r="C531" s="1" t="s">
        <v>20</v>
      </c>
      <c r="D531" s="1" t="s">
        <v>188</v>
      </c>
      <c r="E531" s="1" t="s">
        <v>189</v>
      </c>
      <c r="F531" s="1" t="s">
        <v>216</v>
      </c>
      <c r="G531" s="1">
        <v>2</v>
      </c>
      <c r="H531" s="1" t="s">
        <v>36</v>
      </c>
      <c r="I531" s="1" t="s">
        <v>37</v>
      </c>
      <c r="J531" s="1" t="s">
        <v>128</v>
      </c>
      <c r="K531" s="1">
        <v>3</v>
      </c>
      <c r="L531" s="65">
        <f t="shared" si="8"/>
        <v>5.6925996204933584E-2</v>
      </c>
      <c r="M531" s="1" t="s">
        <v>109</v>
      </c>
      <c r="N531" s="1"/>
    </row>
    <row r="532" spans="1:14" x14ac:dyDescent="0.25">
      <c r="A532" s="13">
        <v>45779</v>
      </c>
      <c r="B532" s="25" t="s">
        <v>664</v>
      </c>
      <c r="C532" s="1" t="s">
        <v>20</v>
      </c>
      <c r="D532" s="1" t="s">
        <v>188</v>
      </c>
      <c r="E532" s="1" t="s">
        <v>189</v>
      </c>
      <c r="F532" s="1" t="s">
        <v>216</v>
      </c>
      <c r="G532" s="1">
        <v>2</v>
      </c>
      <c r="H532" s="1" t="s">
        <v>81</v>
      </c>
      <c r="I532" s="1" t="s">
        <v>85</v>
      </c>
      <c r="J532" s="1" t="s">
        <v>108</v>
      </c>
      <c r="K532" s="1">
        <v>5</v>
      </c>
      <c r="L532" s="65">
        <f t="shared" si="8"/>
        <v>9.4876660341555979E-2</v>
      </c>
      <c r="M532" s="1" t="s">
        <v>109</v>
      </c>
      <c r="N532" s="1"/>
    </row>
    <row r="533" spans="1:14" x14ac:dyDescent="0.25">
      <c r="A533" s="13">
        <v>45779</v>
      </c>
      <c r="B533" s="25" t="s">
        <v>664</v>
      </c>
      <c r="C533" s="1" t="s">
        <v>20</v>
      </c>
      <c r="D533" s="1" t="s">
        <v>188</v>
      </c>
      <c r="E533" s="1" t="s">
        <v>189</v>
      </c>
      <c r="F533" s="1" t="s">
        <v>216</v>
      </c>
      <c r="G533" s="1">
        <v>2</v>
      </c>
      <c r="H533" s="1" t="s">
        <v>79</v>
      </c>
      <c r="I533" s="1" t="s">
        <v>80</v>
      </c>
      <c r="J533" s="1" t="s">
        <v>142</v>
      </c>
      <c r="K533" s="1">
        <v>3</v>
      </c>
      <c r="L533" s="65">
        <f t="shared" si="8"/>
        <v>5.6925996204933584E-2</v>
      </c>
      <c r="M533" s="1" t="s">
        <v>113</v>
      </c>
      <c r="N533" s="1"/>
    </row>
    <row r="534" spans="1:14" x14ac:dyDescent="0.25">
      <c r="A534" s="13">
        <v>45779</v>
      </c>
      <c r="B534" s="25" t="s">
        <v>664</v>
      </c>
      <c r="C534" s="1" t="s">
        <v>20</v>
      </c>
      <c r="D534" s="1" t="s">
        <v>188</v>
      </c>
      <c r="E534" s="1" t="s">
        <v>189</v>
      </c>
      <c r="F534" s="1" t="s">
        <v>216</v>
      </c>
      <c r="G534" s="1">
        <v>2</v>
      </c>
      <c r="H534" s="1" t="s">
        <v>44</v>
      </c>
      <c r="I534" s="1" t="s">
        <v>47</v>
      </c>
      <c r="J534" s="63" t="s">
        <v>114</v>
      </c>
      <c r="K534" s="1">
        <v>4</v>
      </c>
      <c r="L534" s="65">
        <f t="shared" si="8"/>
        <v>7.5901328273244778E-2</v>
      </c>
      <c r="M534" s="1" t="s">
        <v>109</v>
      </c>
      <c r="N534" s="1"/>
    </row>
    <row r="535" spans="1:14" x14ac:dyDescent="0.25">
      <c r="A535" s="13">
        <v>45779</v>
      </c>
      <c r="B535" s="25" t="s">
        <v>664</v>
      </c>
      <c r="C535" s="1" t="s">
        <v>20</v>
      </c>
      <c r="D535" s="1" t="s">
        <v>188</v>
      </c>
      <c r="E535" s="1" t="s">
        <v>189</v>
      </c>
      <c r="F535" s="1" t="s">
        <v>216</v>
      </c>
      <c r="G535" s="1">
        <v>2</v>
      </c>
      <c r="H535" s="1" t="s">
        <v>54</v>
      </c>
      <c r="I535" s="1" t="s">
        <v>55</v>
      </c>
      <c r="J535" s="1" t="s">
        <v>120</v>
      </c>
      <c r="K535" s="1">
        <v>6</v>
      </c>
      <c r="L535" s="65">
        <f t="shared" si="8"/>
        <v>0.11385199240986717</v>
      </c>
      <c r="M535" s="1" t="s">
        <v>121</v>
      </c>
      <c r="N535" s="1"/>
    </row>
    <row r="536" spans="1:14" x14ac:dyDescent="0.25">
      <c r="A536" s="13">
        <v>45779</v>
      </c>
      <c r="B536" s="25" t="s">
        <v>664</v>
      </c>
      <c r="C536" s="1" t="s">
        <v>20</v>
      </c>
      <c r="D536" s="1" t="s">
        <v>188</v>
      </c>
      <c r="E536" s="1" t="s">
        <v>189</v>
      </c>
      <c r="F536" s="1" t="s">
        <v>216</v>
      </c>
      <c r="G536" s="1">
        <v>2</v>
      </c>
      <c r="H536" s="1" t="s">
        <v>60</v>
      </c>
      <c r="I536" s="1" t="s">
        <v>64</v>
      </c>
      <c r="J536" s="1" t="s">
        <v>117</v>
      </c>
      <c r="K536" s="1">
        <v>3</v>
      </c>
      <c r="L536" s="65">
        <f t="shared" si="8"/>
        <v>5.6925996204933584E-2</v>
      </c>
      <c r="M536" s="1" t="s">
        <v>113</v>
      </c>
      <c r="N536" s="1"/>
    </row>
    <row r="537" spans="1:14" x14ac:dyDescent="0.25">
      <c r="A537" s="13">
        <v>45779</v>
      </c>
      <c r="B537" s="25" t="s">
        <v>664</v>
      </c>
      <c r="C537" s="1" t="s">
        <v>20</v>
      </c>
      <c r="D537" s="1" t="s">
        <v>188</v>
      </c>
      <c r="E537" s="1" t="s">
        <v>189</v>
      </c>
      <c r="F537" s="1" t="s">
        <v>216</v>
      </c>
      <c r="G537" s="1">
        <v>2</v>
      </c>
      <c r="H537" s="1" t="s">
        <v>36</v>
      </c>
      <c r="I537" s="1" t="s">
        <v>37</v>
      </c>
      <c r="J537" s="1" t="s">
        <v>128</v>
      </c>
      <c r="K537" s="1">
        <v>4</v>
      </c>
      <c r="L537" s="65">
        <f t="shared" si="8"/>
        <v>7.5901328273244778E-2</v>
      </c>
      <c r="M537" s="1" t="s">
        <v>109</v>
      </c>
      <c r="N537" s="1"/>
    </row>
    <row r="538" spans="1:14" x14ac:dyDescent="0.25">
      <c r="A538" s="13">
        <v>45779</v>
      </c>
      <c r="B538" s="25" t="s">
        <v>664</v>
      </c>
      <c r="C538" s="1" t="s">
        <v>20</v>
      </c>
      <c r="D538" s="1" t="s">
        <v>188</v>
      </c>
      <c r="E538" s="1" t="s">
        <v>189</v>
      </c>
      <c r="F538" s="1" t="s">
        <v>216</v>
      </c>
      <c r="G538" s="1">
        <v>2</v>
      </c>
      <c r="H538" s="1" t="s">
        <v>44</v>
      </c>
      <c r="I538" s="1" t="s">
        <v>47</v>
      </c>
      <c r="J538" s="1" t="s">
        <v>124</v>
      </c>
      <c r="K538" s="1">
        <v>4</v>
      </c>
      <c r="L538" s="65">
        <f t="shared" si="8"/>
        <v>7.5901328273244778E-2</v>
      </c>
      <c r="M538" s="1" t="s">
        <v>113</v>
      </c>
      <c r="N538" s="1"/>
    </row>
    <row r="539" spans="1:14" x14ac:dyDescent="0.25">
      <c r="A539" s="13">
        <v>45779</v>
      </c>
      <c r="B539" s="25" t="s">
        <v>664</v>
      </c>
      <c r="C539" s="1" t="s">
        <v>20</v>
      </c>
      <c r="D539" s="1" t="s">
        <v>188</v>
      </c>
      <c r="E539" s="1" t="s">
        <v>189</v>
      </c>
      <c r="F539" s="1" t="s">
        <v>216</v>
      </c>
      <c r="G539" s="1">
        <v>2</v>
      </c>
      <c r="H539" s="1" t="s">
        <v>44</v>
      </c>
      <c r="I539" s="1" t="s">
        <v>45</v>
      </c>
      <c r="J539" s="1" t="s">
        <v>164</v>
      </c>
      <c r="K539" s="1">
        <v>2</v>
      </c>
      <c r="L539" s="65">
        <f t="shared" si="8"/>
        <v>3.7950664136622389E-2</v>
      </c>
      <c r="M539" s="1" t="s">
        <v>121</v>
      </c>
      <c r="N539" s="1"/>
    </row>
    <row r="540" spans="1:14" x14ac:dyDescent="0.25">
      <c r="A540" s="13">
        <v>45780</v>
      </c>
      <c r="B540" s="1" t="s">
        <v>32</v>
      </c>
      <c r="C540" s="1" t="s">
        <v>219</v>
      </c>
      <c r="D540" s="1" t="s">
        <v>220</v>
      </c>
      <c r="E540" s="1" t="s">
        <v>221</v>
      </c>
      <c r="F540" s="1" t="s">
        <v>222</v>
      </c>
      <c r="G540" s="1">
        <v>1</v>
      </c>
      <c r="H540" s="1" t="s">
        <v>81</v>
      </c>
      <c r="I540" s="1" t="s">
        <v>82</v>
      </c>
      <c r="J540" s="1" t="s">
        <v>138</v>
      </c>
      <c r="K540" s="1">
        <v>10</v>
      </c>
      <c r="L540" s="65">
        <f t="shared" si="8"/>
        <v>0.18975332068311196</v>
      </c>
      <c r="M540" s="1" t="s">
        <v>116</v>
      </c>
      <c r="N540" s="1"/>
    </row>
    <row r="541" spans="1:14" x14ac:dyDescent="0.25">
      <c r="A541" s="13">
        <v>45780</v>
      </c>
      <c r="B541" s="1" t="s">
        <v>32</v>
      </c>
      <c r="C541" s="1" t="s">
        <v>219</v>
      </c>
      <c r="D541" s="1" t="s">
        <v>220</v>
      </c>
      <c r="E541" s="1" t="s">
        <v>221</v>
      </c>
      <c r="F541" s="1" t="s">
        <v>222</v>
      </c>
      <c r="G541" s="1">
        <v>1</v>
      </c>
      <c r="H541" s="1" t="s">
        <v>81</v>
      </c>
      <c r="I541" s="1" t="s">
        <v>85</v>
      </c>
      <c r="J541" s="1" t="s">
        <v>108</v>
      </c>
      <c r="K541" s="1">
        <v>5</v>
      </c>
      <c r="L541" s="65">
        <f t="shared" si="8"/>
        <v>9.4876660341555979E-2</v>
      </c>
      <c r="M541" s="1" t="s">
        <v>109</v>
      </c>
      <c r="N541" s="1"/>
    </row>
    <row r="542" spans="1:14" x14ac:dyDescent="0.25">
      <c r="A542" s="13">
        <v>45780</v>
      </c>
      <c r="B542" s="1" t="s">
        <v>32</v>
      </c>
      <c r="C542" s="1" t="s">
        <v>219</v>
      </c>
      <c r="D542" s="1" t="s">
        <v>220</v>
      </c>
      <c r="E542" s="1" t="s">
        <v>221</v>
      </c>
      <c r="F542" s="1" t="s">
        <v>222</v>
      </c>
      <c r="G542" s="1">
        <v>1</v>
      </c>
      <c r="H542" s="1" t="s">
        <v>60</v>
      </c>
      <c r="I542" s="1" t="s">
        <v>63</v>
      </c>
      <c r="J542" s="1" t="s">
        <v>112</v>
      </c>
      <c r="K542" s="1">
        <v>2</v>
      </c>
      <c r="L542" s="65">
        <f t="shared" si="8"/>
        <v>3.7950664136622389E-2</v>
      </c>
      <c r="M542" s="1" t="s">
        <v>113</v>
      </c>
      <c r="N542" s="1"/>
    </row>
    <row r="543" spans="1:14" x14ac:dyDescent="0.25">
      <c r="A543" s="13">
        <v>45780</v>
      </c>
      <c r="B543" s="1" t="s">
        <v>32</v>
      </c>
      <c r="C543" s="1" t="s">
        <v>219</v>
      </c>
      <c r="D543" s="1" t="s">
        <v>220</v>
      </c>
      <c r="E543" s="1" t="s">
        <v>221</v>
      </c>
      <c r="F543" s="1" t="s">
        <v>222</v>
      </c>
      <c r="G543" s="1">
        <v>1</v>
      </c>
      <c r="H543" s="1" t="s">
        <v>36</v>
      </c>
      <c r="I543" s="1" t="s">
        <v>39</v>
      </c>
      <c r="J543" s="1" t="s">
        <v>148</v>
      </c>
      <c r="K543" s="1">
        <v>11</v>
      </c>
      <c r="L543" s="65">
        <f t="shared" si="8"/>
        <v>0.20872865275142313</v>
      </c>
      <c r="M543" s="1" t="s">
        <v>116</v>
      </c>
      <c r="N543" s="1"/>
    </row>
    <row r="544" spans="1:14" x14ac:dyDescent="0.25">
      <c r="A544" s="13">
        <v>45780</v>
      </c>
      <c r="B544" s="1" t="s">
        <v>32</v>
      </c>
      <c r="C544" s="1" t="s">
        <v>219</v>
      </c>
      <c r="D544" s="1" t="s">
        <v>220</v>
      </c>
      <c r="E544" s="1" t="s">
        <v>221</v>
      </c>
      <c r="F544" s="1" t="s">
        <v>222</v>
      </c>
      <c r="G544" s="53">
        <v>1</v>
      </c>
      <c r="H544" s="1" t="s">
        <v>36</v>
      </c>
      <c r="I544" s="1" t="s">
        <v>37</v>
      </c>
      <c r="J544" s="1" t="s">
        <v>160</v>
      </c>
      <c r="K544" s="1">
        <v>4</v>
      </c>
      <c r="L544" s="65">
        <f t="shared" si="8"/>
        <v>7.5901328273244778E-2</v>
      </c>
      <c r="M544" s="1" t="s">
        <v>109</v>
      </c>
      <c r="N544" s="1"/>
    </row>
    <row r="545" spans="1:14" x14ac:dyDescent="0.25">
      <c r="A545" s="13">
        <v>45780</v>
      </c>
      <c r="B545" s="1" t="s">
        <v>32</v>
      </c>
      <c r="C545" s="1" t="s">
        <v>219</v>
      </c>
      <c r="D545" s="1" t="s">
        <v>220</v>
      </c>
      <c r="E545" s="1" t="s">
        <v>221</v>
      </c>
      <c r="F545" s="1" t="s">
        <v>222</v>
      </c>
      <c r="G545" s="53">
        <v>1</v>
      </c>
      <c r="H545" s="1" t="s">
        <v>79</v>
      </c>
      <c r="I545" s="1" t="s">
        <v>80</v>
      </c>
      <c r="J545" s="1" t="s">
        <v>142</v>
      </c>
      <c r="K545" s="1">
        <v>3</v>
      </c>
      <c r="L545" s="65">
        <f t="shared" si="8"/>
        <v>5.6925996204933584E-2</v>
      </c>
      <c r="M545" s="1" t="s">
        <v>113</v>
      </c>
      <c r="N545" s="1"/>
    </row>
    <row r="546" spans="1:14" x14ac:dyDescent="0.25">
      <c r="A546" s="13">
        <v>45780</v>
      </c>
      <c r="B546" s="1" t="s">
        <v>32</v>
      </c>
      <c r="C546" s="1" t="s">
        <v>219</v>
      </c>
      <c r="D546" s="1" t="s">
        <v>220</v>
      </c>
      <c r="E546" s="1" t="s">
        <v>221</v>
      </c>
      <c r="F546" s="1" t="s">
        <v>222</v>
      </c>
      <c r="G546" s="53">
        <v>1</v>
      </c>
      <c r="H546" s="1" t="s">
        <v>81</v>
      </c>
      <c r="I546" s="1" t="s">
        <v>87</v>
      </c>
      <c r="J546" s="1" t="s">
        <v>155</v>
      </c>
      <c r="K546" s="1">
        <v>1</v>
      </c>
      <c r="L546" s="65">
        <f t="shared" si="8"/>
        <v>1.8975332068311195E-2</v>
      </c>
      <c r="M546" s="1" t="s">
        <v>119</v>
      </c>
      <c r="N546" s="1"/>
    </row>
    <row r="547" spans="1:14" x14ac:dyDescent="0.25">
      <c r="A547" s="13">
        <v>45780</v>
      </c>
      <c r="B547" s="1" t="s">
        <v>32</v>
      </c>
      <c r="C547" s="1" t="s">
        <v>219</v>
      </c>
      <c r="D547" s="1" t="s">
        <v>220</v>
      </c>
      <c r="E547" s="1" t="s">
        <v>221</v>
      </c>
      <c r="F547" s="1" t="s">
        <v>222</v>
      </c>
      <c r="G547" s="53">
        <v>1</v>
      </c>
      <c r="H547" s="1" t="s">
        <v>36</v>
      </c>
      <c r="I547" s="1" t="s">
        <v>37</v>
      </c>
      <c r="J547" s="1" t="s">
        <v>160</v>
      </c>
      <c r="K547" s="1">
        <v>2</v>
      </c>
      <c r="L547" s="65">
        <f t="shared" si="8"/>
        <v>3.7950664136622389E-2</v>
      </c>
      <c r="M547" s="1" t="s">
        <v>109</v>
      </c>
      <c r="N547" s="1"/>
    </row>
    <row r="548" spans="1:14" x14ac:dyDescent="0.25">
      <c r="A548" s="13">
        <v>45780</v>
      </c>
      <c r="B548" s="1" t="s">
        <v>32</v>
      </c>
      <c r="C548" s="1" t="s">
        <v>219</v>
      </c>
      <c r="D548" s="1" t="s">
        <v>220</v>
      </c>
      <c r="E548" s="1" t="s">
        <v>221</v>
      </c>
      <c r="F548" s="1" t="s">
        <v>222</v>
      </c>
      <c r="G548" s="53">
        <v>1</v>
      </c>
      <c r="H548" s="1" t="s">
        <v>54</v>
      </c>
      <c r="I548" s="1" t="s">
        <v>55</v>
      </c>
      <c r="J548" s="1" t="s">
        <v>120</v>
      </c>
      <c r="K548" s="1">
        <v>4</v>
      </c>
      <c r="L548" s="65">
        <f t="shared" si="8"/>
        <v>7.5901328273244778E-2</v>
      </c>
      <c r="M548" s="1" t="s">
        <v>121</v>
      </c>
      <c r="N548" s="1"/>
    </row>
    <row r="549" spans="1:14" x14ac:dyDescent="0.25">
      <c r="A549" s="13">
        <v>45780</v>
      </c>
      <c r="B549" s="1" t="s">
        <v>32</v>
      </c>
      <c r="C549" s="1" t="s">
        <v>219</v>
      </c>
      <c r="D549" s="1" t="s">
        <v>220</v>
      </c>
      <c r="E549" s="1" t="s">
        <v>221</v>
      </c>
      <c r="F549" s="1" t="s">
        <v>222</v>
      </c>
      <c r="G549" s="53">
        <v>1</v>
      </c>
      <c r="H549" s="1" t="s">
        <v>36</v>
      </c>
      <c r="I549" s="1" t="s">
        <v>37</v>
      </c>
      <c r="J549" s="1" t="s">
        <v>128</v>
      </c>
      <c r="K549" s="1">
        <v>6</v>
      </c>
      <c r="L549" s="65">
        <f t="shared" si="8"/>
        <v>0.11385199240986717</v>
      </c>
      <c r="M549" s="1" t="s">
        <v>109</v>
      </c>
      <c r="N549" s="1"/>
    </row>
    <row r="550" spans="1:14" x14ac:dyDescent="0.25">
      <c r="A550" s="13">
        <v>45780</v>
      </c>
      <c r="B550" s="1" t="s">
        <v>32</v>
      </c>
      <c r="C550" s="1" t="s">
        <v>219</v>
      </c>
      <c r="D550" s="1" t="s">
        <v>220</v>
      </c>
      <c r="E550" s="1" t="s">
        <v>221</v>
      </c>
      <c r="F550" s="1" t="s">
        <v>222</v>
      </c>
      <c r="G550" s="53">
        <v>1</v>
      </c>
      <c r="H550" s="1" t="s">
        <v>60</v>
      </c>
      <c r="I550" s="1" t="s">
        <v>63</v>
      </c>
      <c r="J550" s="1" t="s">
        <v>112</v>
      </c>
      <c r="K550" s="1">
        <v>1</v>
      </c>
      <c r="L550" s="65">
        <f t="shared" si="8"/>
        <v>1.8975332068311195E-2</v>
      </c>
      <c r="M550" s="1" t="s">
        <v>113</v>
      </c>
      <c r="N550" s="1"/>
    </row>
    <row r="551" spans="1:14" x14ac:dyDescent="0.25">
      <c r="A551" s="13">
        <v>45780</v>
      </c>
      <c r="B551" s="1" t="s">
        <v>32</v>
      </c>
      <c r="C551" s="1" t="s">
        <v>219</v>
      </c>
      <c r="D551" s="1" t="s">
        <v>220</v>
      </c>
      <c r="E551" s="1" t="s">
        <v>221</v>
      </c>
      <c r="F551" s="1" t="s">
        <v>222</v>
      </c>
      <c r="G551" s="53">
        <v>1</v>
      </c>
      <c r="H551" s="1" t="s">
        <v>81</v>
      </c>
      <c r="I551" s="1" t="s">
        <v>83</v>
      </c>
      <c r="J551" s="1" t="s">
        <v>131</v>
      </c>
      <c r="K551" s="1">
        <v>1</v>
      </c>
      <c r="L551" s="65">
        <f t="shared" si="8"/>
        <v>1.8975332068311195E-2</v>
      </c>
      <c r="M551" s="1" t="s">
        <v>116</v>
      </c>
      <c r="N551" s="1"/>
    </row>
    <row r="552" spans="1:14" x14ac:dyDescent="0.25">
      <c r="A552" s="13">
        <v>45780</v>
      </c>
      <c r="B552" s="1" t="s">
        <v>32</v>
      </c>
      <c r="C552" s="1" t="s">
        <v>219</v>
      </c>
      <c r="D552" s="1" t="s">
        <v>220</v>
      </c>
      <c r="E552" s="1" t="s">
        <v>221</v>
      </c>
      <c r="F552" s="1" t="s">
        <v>222</v>
      </c>
      <c r="G552" s="53">
        <v>1</v>
      </c>
      <c r="H552" s="1" t="s">
        <v>44</v>
      </c>
      <c r="I552" s="1" t="s">
        <v>47</v>
      </c>
      <c r="J552" s="63" t="s">
        <v>114</v>
      </c>
      <c r="K552" s="1">
        <v>7</v>
      </c>
      <c r="L552" s="65">
        <f t="shared" si="8"/>
        <v>0.13282732447817835</v>
      </c>
      <c r="M552" s="1" t="s">
        <v>109</v>
      </c>
      <c r="N552" s="1"/>
    </row>
    <row r="553" spans="1:14" x14ac:dyDescent="0.25">
      <c r="A553" s="13">
        <v>45780</v>
      </c>
      <c r="B553" s="1" t="s">
        <v>32</v>
      </c>
      <c r="C553" s="1" t="s">
        <v>219</v>
      </c>
      <c r="D553" s="1" t="s">
        <v>220</v>
      </c>
      <c r="E553" s="1" t="s">
        <v>221</v>
      </c>
      <c r="F553" s="1" t="s">
        <v>222</v>
      </c>
      <c r="G553" s="53">
        <v>1</v>
      </c>
      <c r="H553" s="1" t="s">
        <v>54</v>
      </c>
      <c r="I553" s="1" t="s">
        <v>55</v>
      </c>
      <c r="J553" s="1" t="s">
        <v>122</v>
      </c>
      <c r="K553" s="1">
        <v>2</v>
      </c>
      <c r="L553" s="65">
        <f t="shared" si="8"/>
        <v>3.7950664136622389E-2</v>
      </c>
      <c r="M553" s="1" t="s">
        <v>109</v>
      </c>
      <c r="N553" s="1"/>
    </row>
    <row r="554" spans="1:14" x14ac:dyDescent="0.25">
      <c r="A554" s="13">
        <v>45780</v>
      </c>
      <c r="B554" s="1" t="s">
        <v>32</v>
      </c>
      <c r="C554" s="1" t="s">
        <v>219</v>
      </c>
      <c r="D554" s="1" t="s">
        <v>220</v>
      </c>
      <c r="E554" s="1" t="s">
        <v>221</v>
      </c>
      <c r="F554" s="1" t="s">
        <v>222</v>
      </c>
      <c r="G554" s="53">
        <v>1</v>
      </c>
      <c r="H554" s="1" t="s">
        <v>44</v>
      </c>
      <c r="I554" s="1" t="s">
        <v>47</v>
      </c>
      <c r="J554" s="1" t="s">
        <v>124</v>
      </c>
      <c r="K554" s="1">
        <v>9</v>
      </c>
      <c r="L554" s="65">
        <f t="shared" si="8"/>
        <v>0.17077798861480076</v>
      </c>
      <c r="M554" s="1" t="s">
        <v>113</v>
      </c>
      <c r="N554" s="1"/>
    </row>
    <row r="555" spans="1:14" x14ac:dyDescent="0.25">
      <c r="A555" s="13">
        <v>45780</v>
      </c>
      <c r="B555" s="1" t="s">
        <v>32</v>
      </c>
      <c r="C555" s="1" t="s">
        <v>219</v>
      </c>
      <c r="D555" s="1" t="s">
        <v>220</v>
      </c>
      <c r="E555" s="1" t="s">
        <v>221</v>
      </c>
      <c r="F555" s="1" t="s">
        <v>222</v>
      </c>
      <c r="G555" s="53">
        <v>1</v>
      </c>
      <c r="H555" s="1" t="s">
        <v>44</v>
      </c>
      <c r="I555" s="1" t="s">
        <v>47</v>
      </c>
      <c r="J555" s="1" t="s">
        <v>150</v>
      </c>
      <c r="K555" s="1">
        <v>1</v>
      </c>
      <c r="L555" s="65">
        <f t="shared" si="8"/>
        <v>1.8975332068311195E-2</v>
      </c>
      <c r="M555" s="1" t="s">
        <v>109</v>
      </c>
      <c r="N555" s="1"/>
    </row>
    <row r="556" spans="1:14" x14ac:dyDescent="0.25">
      <c r="A556" s="13">
        <v>45780</v>
      </c>
      <c r="B556" s="1" t="s">
        <v>32</v>
      </c>
      <c r="C556" s="1" t="s">
        <v>219</v>
      </c>
      <c r="D556" s="1" t="s">
        <v>220</v>
      </c>
      <c r="E556" s="1" t="s">
        <v>221</v>
      </c>
      <c r="F556" s="1" t="s">
        <v>222</v>
      </c>
      <c r="G556" s="53">
        <v>1</v>
      </c>
      <c r="H556" s="1" t="s">
        <v>44</v>
      </c>
      <c r="I556" s="1" t="s">
        <v>50</v>
      </c>
      <c r="J556" s="1" t="s">
        <v>127</v>
      </c>
      <c r="K556" s="1">
        <v>6</v>
      </c>
      <c r="L556" s="65">
        <f t="shared" si="8"/>
        <v>0.11385199240986717</v>
      </c>
      <c r="M556" s="1" t="s">
        <v>113</v>
      </c>
      <c r="N556" s="1"/>
    </row>
    <row r="557" spans="1:14" x14ac:dyDescent="0.25">
      <c r="A557" s="13">
        <v>45780</v>
      </c>
      <c r="B557" s="1" t="s">
        <v>32</v>
      </c>
      <c r="C557" s="1" t="s">
        <v>219</v>
      </c>
      <c r="D557" s="1" t="s">
        <v>220</v>
      </c>
      <c r="E557" s="1" t="s">
        <v>221</v>
      </c>
      <c r="F557" s="1" t="s">
        <v>107</v>
      </c>
      <c r="G557" s="53">
        <v>1</v>
      </c>
      <c r="H557" s="1" t="s">
        <v>60</v>
      </c>
      <c r="I557" s="1" t="s">
        <v>63</v>
      </c>
      <c r="J557" s="1" t="s">
        <v>112</v>
      </c>
      <c r="K557" s="1">
        <v>1</v>
      </c>
      <c r="L557" s="65">
        <f t="shared" si="8"/>
        <v>1.8975332068311195E-2</v>
      </c>
      <c r="M557" s="1" t="s">
        <v>113</v>
      </c>
      <c r="N557" s="1"/>
    </row>
    <row r="558" spans="1:14" ht="15" customHeight="1" x14ac:dyDescent="0.25">
      <c r="A558" s="13">
        <v>45780</v>
      </c>
      <c r="B558" s="1" t="s">
        <v>32</v>
      </c>
      <c r="C558" s="1" t="s">
        <v>219</v>
      </c>
      <c r="D558" s="1" t="s">
        <v>220</v>
      </c>
      <c r="E558" s="1" t="s">
        <v>221</v>
      </c>
      <c r="F558" s="1" t="s">
        <v>107</v>
      </c>
      <c r="G558" s="53">
        <v>1</v>
      </c>
      <c r="H558" s="1" t="s">
        <v>79</v>
      </c>
      <c r="I558" s="1" t="s">
        <v>80</v>
      </c>
      <c r="J558" s="1" t="s">
        <v>142</v>
      </c>
      <c r="K558" s="1">
        <v>1</v>
      </c>
      <c r="L558" s="65">
        <f t="shared" si="8"/>
        <v>1.8975332068311195E-2</v>
      </c>
      <c r="M558" s="1" t="s">
        <v>113</v>
      </c>
      <c r="N558" s="1"/>
    </row>
    <row r="559" spans="1:14" x14ac:dyDescent="0.25">
      <c r="A559" s="13">
        <v>45780</v>
      </c>
      <c r="B559" s="1" t="s">
        <v>32</v>
      </c>
      <c r="C559" s="1" t="s">
        <v>219</v>
      </c>
      <c r="D559" s="1" t="s">
        <v>220</v>
      </c>
      <c r="E559" s="1" t="s">
        <v>221</v>
      </c>
      <c r="F559" s="1" t="s">
        <v>107</v>
      </c>
      <c r="G559" s="53">
        <v>1</v>
      </c>
      <c r="H559" s="1" t="s">
        <v>60</v>
      </c>
      <c r="I559" s="1" t="s">
        <v>64</v>
      </c>
      <c r="J559" s="1" t="s">
        <v>118</v>
      </c>
      <c r="K559" s="1">
        <v>3</v>
      </c>
      <c r="L559" s="65">
        <f t="shared" si="8"/>
        <v>5.6925996204933584E-2</v>
      </c>
      <c r="M559" s="1" t="s">
        <v>113</v>
      </c>
      <c r="N559" s="1"/>
    </row>
    <row r="560" spans="1:14" ht="15" customHeight="1" x14ac:dyDescent="0.25">
      <c r="A560" s="13">
        <v>45780</v>
      </c>
      <c r="B560" s="1" t="s">
        <v>32</v>
      </c>
      <c r="C560" s="1" t="s">
        <v>219</v>
      </c>
      <c r="D560" s="1" t="s">
        <v>220</v>
      </c>
      <c r="E560" s="1" t="s">
        <v>221</v>
      </c>
      <c r="F560" s="1" t="s">
        <v>145</v>
      </c>
      <c r="G560" s="53">
        <v>1</v>
      </c>
      <c r="H560" s="1" t="s">
        <v>81</v>
      </c>
      <c r="I560" s="1" t="s">
        <v>83</v>
      </c>
      <c r="J560" s="1" t="s">
        <v>131</v>
      </c>
      <c r="K560" s="1">
        <v>14</v>
      </c>
      <c r="L560" s="65">
        <f t="shared" si="8"/>
        <v>0.26565464895635671</v>
      </c>
      <c r="M560" s="1" t="s">
        <v>116</v>
      </c>
      <c r="N560" s="1"/>
    </row>
    <row r="561" spans="1:14" ht="15" customHeight="1" x14ac:dyDescent="0.25">
      <c r="A561" s="13">
        <v>45780</v>
      </c>
      <c r="B561" s="1" t="s">
        <v>32</v>
      </c>
      <c r="C561" s="1" t="s">
        <v>219</v>
      </c>
      <c r="D561" s="1" t="s">
        <v>220</v>
      </c>
      <c r="E561" s="1" t="s">
        <v>221</v>
      </c>
      <c r="F561" s="1" t="s">
        <v>145</v>
      </c>
      <c r="G561" s="53">
        <v>1</v>
      </c>
      <c r="H561" s="1" t="s">
        <v>36</v>
      </c>
      <c r="I561" s="1" t="s">
        <v>39</v>
      </c>
      <c r="J561" s="1" t="s">
        <v>148</v>
      </c>
      <c r="K561" s="1">
        <v>59</v>
      </c>
      <c r="L561" s="65">
        <f t="shared" si="8"/>
        <v>1.1195445920303606</v>
      </c>
      <c r="M561" s="1" t="s">
        <v>116</v>
      </c>
      <c r="N561" s="1"/>
    </row>
    <row r="562" spans="1:14" ht="15" customHeight="1" x14ac:dyDescent="0.25">
      <c r="A562" s="13">
        <v>45780</v>
      </c>
      <c r="B562" s="1" t="s">
        <v>32</v>
      </c>
      <c r="C562" s="1" t="s">
        <v>219</v>
      </c>
      <c r="D562" s="1" t="s">
        <v>220</v>
      </c>
      <c r="E562" s="1" t="s">
        <v>221</v>
      </c>
      <c r="F562" s="1" t="s">
        <v>145</v>
      </c>
      <c r="G562" s="53">
        <v>1</v>
      </c>
      <c r="H562" s="1" t="s">
        <v>44</v>
      </c>
      <c r="I562" s="1" t="s">
        <v>50</v>
      </c>
      <c r="J562" s="1" t="s">
        <v>190</v>
      </c>
      <c r="K562" s="1">
        <v>1</v>
      </c>
      <c r="L562" s="65">
        <f t="shared" si="8"/>
        <v>1.8975332068311195E-2</v>
      </c>
      <c r="M562" s="1" t="s">
        <v>113</v>
      </c>
      <c r="N562" s="1"/>
    </row>
    <row r="563" spans="1:14" ht="15" customHeight="1" x14ac:dyDescent="0.25">
      <c r="A563" s="13">
        <v>45780</v>
      </c>
      <c r="B563" s="1" t="s">
        <v>32</v>
      </c>
      <c r="C563" s="1" t="s">
        <v>219</v>
      </c>
      <c r="D563" s="1" t="s">
        <v>220</v>
      </c>
      <c r="E563" s="1" t="s">
        <v>221</v>
      </c>
      <c r="F563" s="1" t="s">
        <v>145</v>
      </c>
      <c r="G563" s="53">
        <v>1</v>
      </c>
      <c r="H563" s="1" t="s">
        <v>81</v>
      </c>
      <c r="I563" s="1" t="s">
        <v>82</v>
      </c>
      <c r="J563" s="1" t="s">
        <v>138</v>
      </c>
      <c r="K563" s="1">
        <v>2</v>
      </c>
      <c r="L563" s="65">
        <f t="shared" si="8"/>
        <v>3.7950664136622389E-2</v>
      </c>
      <c r="M563" s="1" t="s">
        <v>116</v>
      </c>
      <c r="N563" s="1"/>
    </row>
    <row r="564" spans="1:14" ht="15" customHeight="1" x14ac:dyDescent="0.25">
      <c r="A564" s="13">
        <v>45780</v>
      </c>
      <c r="B564" s="1" t="s">
        <v>32</v>
      </c>
      <c r="C564" s="1" t="s">
        <v>219</v>
      </c>
      <c r="D564" s="1" t="s">
        <v>220</v>
      </c>
      <c r="E564" s="1" t="s">
        <v>221</v>
      </c>
      <c r="F564" s="1" t="s">
        <v>145</v>
      </c>
      <c r="G564" s="53">
        <v>1</v>
      </c>
      <c r="H564" s="1" t="s">
        <v>79</v>
      </c>
      <c r="I564" s="1" t="s">
        <v>80</v>
      </c>
      <c r="J564" s="1" t="s">
        <v>142</v>
      </c>
      <c r="K564" s="1">
        <v>3</v>
      </c>
      <c r="L564" s="65">
        <f t="shared" si="8"/>
        <v>5.6925996204933584E-2</v>
      </c>
      <c r="M564" s="1" t="s">
        <v>113</v>
      </c>
      <c r="N564" s="1"/>
    </row>
    <row r="565" spans="1:14" ht="15" customHeight="1" x14ac:dyDescent="0.25">
      <c r="A565" s="13">
        <v>45780</v>
      </c>
      <c r="B565" s="1" t="s">
        <v>32</v>
      </c>
      <c r="C565" s="1" t="s">
        <v>219</v>
      </c>
      <c r="D565" s="1" t="s">
        <v>220</v>
      </c>
      <c r="E565" s="1" t="s">
        <v>221</v>
      </c>
      <c r="F565" s="1" t="s">
        <v>145</v>
      </c>
      <c r="G565" s="53">
        <v>1</v>
      </c>
      <c r="H565" s="1" t="s">
        <v>54</v>
      </c>
      <c r="I565" s="1" t="s">
        <v>56</v>
      </c>
      <c r="J565" s="1" t="s">
        <v>168</v>
      </c>
      <c r="K565" s="1">
        <v>13</v>
      </c>
      <c r="L565" s="65">
        <f t="shared" si="8"/>
        <v>0.24667931688804554</v>
      </c>
      <c r="M565" s="1" t="s">
        <v>109</v>
      </c>
      <c r="N565" s="1"/>
    </row>
    <row r="566" spans="1:14" ht="15" customHeight="1" x14ac:dyDescent="0.25">
      <c r="A566" s="13">
        <v>45780</v>
      </c>
      <c r="B566" s="1" t="s">
        <v>32</v>
      </c>
      <c r="C566" s="1" t="s">
        <v>219</v>
      </c>
      <c r="D566" s="1" t="s">
        <v>220</v>
      </c>
      <c r="E566" s="1" t="s">
        <v>221</v>
      </c>
      <c r="F566" s="1" t="s">
        <v>145</v>
      </c>
      <c r="G566" s="53">
        <v>1</v>
      </c>
      <c r="H566" s="1" t="s">
        <v>81</v>
      </c>
      <c r="I566" s="1" t="s">
        <v>83</v>
      </c>
      <c r="J566" s="1" t="s">
        <v>135</v>
      </c>
      <c r="K566" s="1">
        <v>10</v>
      </c>
      <c r="L566" s="65">
        <f t="shared" si="8"/>
        <v>0.18975332068311196</v>
      </c>
      <c r="M566" s="1" t="s">
        <v>116</v>
      </c>
      <c r="N566" s="1"/>
    </row>
    <row r="567" spans="1:14" ht="15" customHeight="1" x14ac:dyDescent="0.25">
      <c r="A567" s="13">
        <v>45780</v>
      </c>
      <c r="B567" s="1" t="s">
        <v>32</v>
      </c>
      <c r="C567" s="1" t="s">
        <v>219</v>
      </c>
      <c r="D567" s="1" t="s">
        <v>220</v>
      </c>
      <c r="E567" s="1" t="s">
        <v>221</v>
      </c>
      <c r="F567" s="1" t="s">
        <v>145</v>
      </c>
      <c r="G567" s="53">
        <v>1</v>
      </c>
      <c r="H567" s="1" t="s">
        <v>54</v>
      </c>
      <c r="I567" s="1" t="s">
        <v>56</v>
      </c>
      <c r="J567" s="1" t="s">
        <v>132</v>
      </c>
      <c r="K567" s="1">
        <v>2</v>
      </c>
      <c r="L567" s="65">
        <f t="shared" si="8"/>
        <v>3.7950664136622389E-2</v>
      </c>
      <c r="M567" s="1" t="s">
        <v>109</v>
      </c>
      <c r="N567" s="1"/>
    </row>
    <row r="568" spans="1:14" ht="15" customHeight="1" x14ac:dyDescent="0.25">
      <c r="A568" s="13">
        <v>45780</v>
      </c>
      <c r="B568" s="1" t="s">
        <v>32</v>
      </c>
      <c r="C568" s="1" t="s">
        <v>219</v>
      </c>
      <c r="D568" s="1" t="s">
        <v>220</v>
      </c>
      <c r="E568" s="1" t="s">
        <v>221</v>
      </c>
      <c r="F568" s="1" t="s">
        <v>145</v>
      </c>
      <c r="G568" s="53">
        <v>1</v>
      </c>
      <c r="H568" s="1" t="s">
        <v>44</v>
      </c>
      <c r="I568" s="1" t="s">
        <v>47</v>
      </c>
      <c r="J568" s="1" t="s">
        <v>124</v>
      </c>
      <c r="K568" s="1">
        <v>1</v>
      </c>
      <c r="L568" s="65">
        <f t="shared" si="8"/>
        <v>1.8975332068311195E-2</v>
      </c>
      <c r="M568" s="1" t="s">
        <v>113</v>
      </c>
      <c r="N568" s="1"/>
    </row>
    <row r="569" spans="1:14" ht="15" customHeight="1" x14ac:dyDescent="0.25">
      <c r="A569" s="13">
        <v>45780</v>
      </c>
      <c r="B569" s="1" t="s">
        <v>32</v>
      </c>
      <c r="C569" s="1" t="s">
        <v>219</v>
      </c>
      <c r="D569" s="1" t="s">
        <v>220</v>
      </c>
      <c r="E569" s="1" t="s">
        <v>221</v>
      </c>
      <c r="F569" s="1" t="s">
        <v>145</v>
      </c>
      <c r="G569" s="53">
        <v>1</v>
      </c>
      <c r="H569" s="1" t="s">
        <v>44</v>
      </c>
      <c r="I569" s="1" t="s">
        <v>52</v>
      </c>
      <c r="J569" s="1" t="s">
        <v>133</v>
      </c>
      <c r="K569" s="1">
        <v>3</v>
      </c>
      <c r="L569" s="65">
        <f t="shared" si="8"/>
        <v>5.6925996204933584E-2</v>
      </c>
      <c r="M569" s="1" t="s">
        <v>119</v>
      </c>
      <c r="N569" s="1"/>
    </row>
    <row r="570" spans="1:14" ht="15" customHeight="1" x14ac:dyDescent="0.25">
      <c r="A570" s="13">
        <v>45780</v>
      </c>
      <c r="B570" s="1" t="s">
        <v>32</v>
      </c>
      <c r="C570" s="1" t="s">
        <v>219</v>
      </c>
      <c r="D570" s="1" t="s">
        <v>220</v>
      </c>
      <c r="E570" s="1" t="s">
        <v>221</v>
      </c>
      <c r="F570" s="1" t="s">
        <v>145</v>
      </c>
      <c r="G570" s="53">
        <v>1</v>
      </c>
      <c r="H570" s="1" t="s">
        <v>44</v>
      </c>
      <c r="I570" s="1" t="s">
        <v>47</v>
      </c>
      <c r="J570" s="1" t="s">
        <v>150</v>
      </c>
      <c r="K570" s="1">
        <v>4</v>
      </c>
      <c r="L570" s="65">
        <f t="shared" si="8"/>
        <v>7.5901328273244778E-2</v>
      </c>
      <c r="M570" s="1" t="s">
        <v>109</v>
      </c>
      <c r="N570" s="1"/>
    </row>
    <row r="571" spans="1:14" ht="15" customHeight="1" x14ac:dyDescent="0.25">
      <c r="A571" s="13">
        <v>45780</v>
      </c>
      <c r="B571" s="1" t="s">
        <v>32</v>
      </c>
      <c r="C571" s="1" t="s">
        <v>219</v>
      </c>
      <c r="D571" s="1" t="s">
        <v>220</v>
      </c>
      <c r="E571" s="1" t="s">
        <v>221</v>
      </c>
      <c r="F571" s="1" t="s">
        <v>145</v>
      </c>
      <c r="G571" s="53">
        <v>1</v>
      </c>
      <c r="H571" s="1" t="s">
        <v>36</v>
      </c>
      <c r="I571" s="1" t="s">
        <v>37</v>
      </c>
      <c r="J571" s="1" t="s">
        <v>160</v>
      </c>
      <c r="K571" s="1">
        <v>2</v>
      </c>
      <c r="L571" s="65">
        <f t="shared" si="8"/>
        <v>3.7950664136622389E-2</v>
      </c>
      <c r="M571" s="1" t="s">
        <v>109</v>
      </c>
      <c r="N571" s="1"/>
    </row>
    <row r="572" spans="1:14" ht="15" customHeight="1" x14ac:dyDescent="0.25">
      <c r="A572" s="13">
        <v>45780</v>
      </c>
      <c r="B572" s="1" t="s">
        <v>32</v>
      </c>
      <c r="C572" s="1" t="s">
        <v>219</v>
      </c>
      <c r="D572" s="1" t="s">
        <v>220</v>
      </c>
      <c r="E572" s="1" t="s">
        <v>221</v>
      </c>
      <c r="F572" s="1" t="s">
        <v>145</v>
      </c>
      <c r="G572" s="53">
        <v>1</v>
      </c>
      <c r="H572" s="1" t="s">
        <v>81</v>
      </c>
      <c r="I572" s="1" t="s">
        <v>85</v>
      </c>
      <c r="J572" s="1" t="s">
        <v>108</v>
      </c>
      <c r="K572" s="1">
        <v>2</v>
      </c>
      <c r="L572" s="65">
        <f t="shared" si="8"/>
        <v>3.7950664136622389E-2</v>
      </c>
      <c r="M572" s="1" t="s">
        <v>109</v>
      </c>
      <c r="N572" s="1"/>
    </row>
    <row r="573" spans="1:14" ht="15" customHeight="1" x14ac:dyDescent="0.25">
      <c r="A573" s="13">
        <v>45780</v>
      </c>
      <c r="B573" s="1" t="s">
        <v>32</v>
      </c>
      <c r="C573" s="1" t="s">
        <v>219</v>
      </c>
      <c r="D573" s="1" t="s">
        <v>220</v>
      </c>
      <c r="E573" s="1" t="s">
        <v>221</v>
      </c>
      <c r="F573" s="1" t="s">
        <v>145</v>
      </c>
      <c r="G573" s="53">
        <v>1</v>
      </c>
      <c r="H573" s="1" t="s">
        <v>44</v>
      </c>
      <c r="I573" s="1" t="s">
        <v>47</v>
      </c>
      <c r="J573" s="63" t="s">
        <v>114</v>
      </c>
      <c r="K573" s="1">
        <v>1</v>
      </c>
      <c r="L573" s="65">
        <f t="shared" si="8"/>
        <v>1.8975332068311195E-2</v>
      </c>
      <c r="M573" s="1" t="s">
        <v>109</v>
      </c>
      <c r="N573" s="1"/>
    </row>
    <row r="574" spans="1:14" ht="15" customHeight="1" x14ac:dyDescent="0.25">
      <c r="A574" s="13">
        <v>45780</v>
      </c>
      <c r="B574" s="1" t="s">
        <v>32</v>
      </c>
      <c r="C574" s="1" t="s">
        <v>219</v>
      </c>
      <c r="D574" s="1" t="s">
        <v>220</v>
      </c>
      <c r="E574" s="1" t="s">
        <v>221</v>
      </c>
      <c r="F574" s="1" t="s">
        <v>145</v>
      </c>
      <c r="G574" s="53">
        <v>1</v>
      </c>
      <c r="H574" s="1" t="s">
        <v>44</v>
      </c>
      <c r="I574" s="1" t="s">
        <v>46</v>
      </c>
      <c r="J574" s="1" t="s">
        <v>223</v>
      </c>
      <c r="K574" s="1">
        <v>1</v>
      </c>
      <c r="L574" s="65">
        <f t="shared" si="8"/>
        <v>1.8975332068311195E-2</v>
      </c>
      <c r="M574" s="1" t="s">
        <v>113</v>
      </c>
      <c r="N574" s="1" t="s">
        <v>224</v>
      </c>
    </row>
    <row r="575" spans="1:14" ht="15" customHeight="1" x14ac:dyDescent="0.25">
      <c r="A575" s="13">
        <v>45780</v>
      </c>
      <c r="B575" s="1" t="s">
        <v>32</v>
      </c>
      <c r="C575" s="1" t="s">
        <v>219</v>
      </c>
      <c r="D575" s="1" t="s">
        <v>220</v>
      </c>
      <c r="E575" s="1" t="s">
        <v>221</v>
      </c>
      <c r="F575" s="1" t="s">
        <v>145</v>
      </c>
      <c r="G575" s="53">
        <v>1</v>
      </c>
      <c r="H575" s="1" t="s">
        <v>54</v>
      </c>
      <c r="I575" s="1" t="s">
        <v>55</v>
      </c>
      <c r="J575" s="1" t="s">
        <v>202</v>
      </c>
      <c r="K575" s="1">
        <v>1</v>
      </c>
      <c r="L575" s="65">
        <f t="shared" si="8"/>
        <v>1.8975332068311195E-2</v>
      </c>
      <c r="M575" s="1" t="s">
        <v>109</v>
      </c>
      <c r="N575" s="1"/>
    </row>
    <row r="576" spans="1:14" ht="15" customHeight="1" x14ac:dyDescent="0.25">
      <c r="A576" s="13">
        <v>45780</v>
      </c>
      <c r="B576" s="1" t="s">
        <v>32</v>
      </c>
      <c r="C576" s="1" t="s">
        <v>219</v>
      </c>
      <c r="D576" s="1" t="s">
        <v>220</v>
      </c>
      <c r="E576" s="1" t="s">
        <v>221</v>
      </c>
      <c r="F576" s="1" t="s">
        <v>145</v>
      </c>
      <c r="G576" s="53">
        <v>1</v>
      </c>
      <c r="H576" s="1" t="s">
        <v>44</v>
      </c>
      <c r="I576" s="1" t="s">
        <v>211</v>
      </c>
      <c r="J576" s="1" t="s">
        <v>211</v>
      </c>
      <c r="K576" s="1">
        <v>1</v>
      </c>
      <c r="L576" s="65">
        <f t="shared" si="8"/>
        <v>1.8975332068311195E-2</v>
      </c>
      <c r="M576" s="1" t="s">
        <v>200</v>
      </c>
      <c r="N576" s="1"/>
    </row>
    <row r="577" spans="1:14" ht="15" customHeight="1" x14ac:dyDescent="0.25">
      <c r="A577" s="13">
        <v>45780</v>
      </c>
      <c r="B577" s="1" t="s">
        <v>32</v>
      </c>
      <c r="C577" s="1" t="s">
        <v>219</v>
      </c>
      <c r="D577" s="1" t="s">
        <v>220</v>
      </c>
      <c r="E577" s="1" t="s">
        <v>221</v>
      </c>
      <c r="F577" s="1" t="s">
        <v>145</v>
      </c>
      <c r="G577" s="53">
        <v>1</v>
      </c>
      <c r="H577" s="1" t="s">
        <v>44</v>
      </c>
      <c r="I577" s="1" t="s">
        <v>48</v>
      </c>
      <c r="J577" s="1" t="s">
        <v>170</v>
      </c>
      <c r="K577" s="1">
        <v>1</v>
      </c>
      <c r="L577" s="65">
        <f t="shared" si="8"/>
        <v>1.8975332068311195E-2</v>
      </c>
      <c r="M577" s="1" t="s">
        <v>109</v>
      </c>
      <c r="N577" s="1"/>
    </row>
    <row r="578" spans="1:14" ht="15" customHeight="1" x14ac:dyDescent="0.25">
      <c r="A578" s="13">
        <v>45780</v>
      </c>
      <c r="B578" s="1" t="s">
        <v>32</v>
      </c>
      <c r="C578" s="1" t="s">
        <v>219</v>
      </c>
      <c r="D578" s="1" t="s">
        <v>220</v>
      </c>
      <c r="E578" s="1" t="s">
        <v>221</v>
      </c>
      <c r="F578" s="1" t="s">
        <v>145</v>
      </c>
      <c r="G578" s="53">
        <v>1</v>
      </c>
      <c r="H578" s="1" t="s">
        <v>44</v>
      </c>
      <c r="I578" s="1" t="s">
        <v>51</v>
      </c>
      <c r="J578" s="1" t="s">
        <v>51</v>
      </c>
      <c r="K578" s="1">
        <v>1</v>
      </c>
      <c r="L578" s="65">
        <f t="shared" si="8"/>
        <v>1.8975332068311195E-2</v>
      </c>
      <c r="M578" s="1" t="s">
        <v>115</v>
      </c>
      <c r="N578" s="1"/>
    </row>
    <row r="579" spans="1:14" ht="15" customHeight="1" x14ac:dyDescent="0.25">
      <c r="A579" s="13">
        <v>45780</v>
      </c>
      <c r="B579" s="1" t="s">
        <v>32</v>
      </c>
      <c r="C579" s="1" t="s">
        <v>219</v>
      </c>
      <c r="D579" s="1" t="s">
        <v>220</v>
      </c>
      <c r="E579" s="1" t="s">
        <v>221</v>
      </c>
      <c r="F579" s="1" t="s">
        <v>145</v>
      </c>
      <c r="G579" s="53">
        <v>1</v>
      </c>
      <c r="H579" s="1" t="s">
        <v>44</v>
      </c>
      <c r="I579" s="1" t="s">
        <v>46</v>
      </c>
      <c r="J579" s="1" t="s">
        <v>172</v>
      </c>
      <c r="K579" s="1">
        <v>1</v>
      </c>
      <c r="L579" s="65">
        <f t="shared" si="8"/>
        <v>1.8975332068311195E-2</v>
      </c>
      <c r="M579" s="1" t="s">
        <v>113</v>
      </c>
      <c r="N579" s="1"/>
    </row>
    <row r="580" spans="1:14" ht="15" customHeight="1" x14ac:dyDescent="0.25">
      <c r="A580" s="13">
        <v>45780</v>
      </c>
      <c r="B580" s="1" t="s">
        <v>32</v>
      </c>
      <c r="C580" s="1" t="s">
        <v>219</v>
      </c>
      <c r="D580" s="1" t="s">
        <v>220</v>
      </c>
      <c r="E580" s="1" t="s">
        <v>221</v>
      </c>
      <c r="F580" s="1" t="s">
        <v>145</v>
      </c>
      <c r="G580" s="53">
        <v>1</v>
      </c>
      <c r="H580" s="1" t="s">
        <v>36</v>
      </c>
      <c r="I580" s="1" t="s">
        <v>37</v>
      </c>
      <c r="J580" s="1" t="s">
        <v>128</v>
      </c>
      <c r="K580" s="1">
        <v>2</v>
      </c>
      <c r="L580" s="65">
        <f t="shared" si="8"/>
        <v>3.7950664136622389E-2</v>
      </c>
      <c r="M580" s="1" t="s">
        <v>109</v>
      </c>
      <c r="N580" s="1"/>
    </row>
    <row r="581" spans="1:14" x14ac:dyDescent="0.25">
      <c r="A581" s="13">
        <v>45780</v>
      </c>
      <c r="B581" s="1" t="s">
        <v>32</v>
      </c>
      <c r="C581" s="1" t="s">
        <v>219</v>
      </c>
      <c r="D581" s="1" t="s">
        <v>220</v>
      </c>
      <c r="E581" s="1" t="s">
        <v>221</v>
      </c>
      <c r="F581" s="1" t="s">
        <v>145</v>
      </c>
      <c r="G581" s="53">
        <v>2</v>
      </c>
      <c r="H581" s="1" t="s">
        <v>44</v>
      </c>
      <c r="I581" s="1" t="s">
        <v>52</v>
      </c>
      <c r="J581" s="1" t="s">
        <v>133</v>
      </c>
      <c r="K581" s="1">
        <v>6</v>
      </c>
      <c r="L581" s="65">
        <f t="shared" si="8"/>
        <v>0.11385199240986717</v>
      </c>
      <c r="M581" s="1" t="s">
        <v>119</v>
      </c>
      <c r="N581" s="1"/>
    </row>
    <row r="582" spans="1:14" x14ac:dyDescent="0.25">
      <c r="A582" s="13">
        <v>45780</v>
      </c>
      <c r="B582" s="1" t="s">
        <v>32</v>
      </c>
      <c r="C582" s="1" t="s">
        <v>219</v>
      </c>
      <c r="D582" s="1" t="s">
        <v>220</v>
      </c>
      <c r="E582" s="1" t="s">
        <v>221</v>
      </c>
      <c r="F582" s="1" t="s">
        <v>145</v>
      </c>
      <c r="G582" s="53">
        <v>2</v>
      </c>
      <c r="H582" s="1" t="s">
        <v>81</v>
      </c>
      <c r="I582" s="1" t="s">
        <v>83</v>
      </c>
      <c r="J582" s="1" t="s">
        <v>135</v>
      </c>
      <c r="K582" s="1">
        <v>38</v>
      </c>
      <c r="L582" s="65">
        <f t="shared" si="8"/>
        <v>0.72106261859582543</v>
      </c>
      <c r="M582" s="1" t="s">
        <v>116</v>
      </c>
      <c r="N582" s="1"/>
    </row>
    <row r="583" spans="1:14" ht="15" customHeight="1" x14ac:dyDescent="0.25">
      <c r="A583" s="13">
        <v>45780</v>
      </c>
      <c r="B583" s="1" t="s">
        <v>32</v>
      </c>
      <c r="C583" s="1" t="s">
        <v>219</v>
      </c>
      <c r="D583" s="1" t="s">
        <v>220</v>
      </c>
      <c r="E583" s="1" t="s">
        <v>221</v>
      </c>
      <c r="F583" s="1" t="s">
        <v>145</v>
      </c>
      <c r="G583" s="53">
        <v>2</v>
      </c>
      <c r="H583" s="1" t="s">
        <v>81</v>
      </c>
      <c r="I583" s="1" t="s">
        <v>85</v>
      </c>
      <c r="J583" s="1" t="s">
        <v>108</v>
      </c>
      <c r="K583" s="1">
        <v>15</v>
      </c>
      <c r="L583" s="65">
        <f t="shared" ref="L583:L628" si="9">(K583/$P$7)*100</f>
        <v>0.28462998102466791</v>
      </c>
      <c r="M583" s="1" t="s">
        <v>109</v>
      </c>
      <c r="N583" s="1"/>
    </row>
    <row r="584" spans="1:14" ht="15" customHeight="1" x14ac:dyDescent="0.25">
      <c r="A584" s="13">
        <v>45780</v>
      </c>
      <c r="B584" s="1" t="s">
        <v>32</v>
      </c>
      <c r="C584" s="1" t="s">
        <v>219</v>
      </c>
      <c r="D584" s="1" t="s">
        <v>220</v>
      </c>
      <c r="E584" s="1" t="s">
        <v>221</v>
      </c>
      <c r="F584" s="1" t="s">
        <v>145</v>
      </c>
      <c r="G584" s="53">
        <v>2</v>
      </c>
      <c r="H584" s="1" t="s">
        <v>69</v>
      </c>
      <c r="I584" s="1" t="s">
        <v>70</v>
      </c>
      <c r="J584" s="1" t="s">
        <v>70</v>
      </c>
      <c r="K584" s="1">
        <v>1</v>
      </c>
      <c r="L584" s="65">
        <f t="shared" si="9"/>
        <v>1.8975332068311195E-2</v>
      </c>
      <c r="M584" s="1" t="s">
        <v>115</v>
      </c>
      <c r="N584" s="1"/>
    </row>
    <row r="585" spans="1:14" ht="15" customHeight="1" x14ac:dyDescent="0.25">
      <c r="A585" s="13">
        <v>45780</v>
      </c>
      <c r="B585" s="1" t="s">
        <v>32</v>
      </c>
      <c r="C585" s="1" t="s">
        <v>219</v>
      </c>
      <c r="D585" s="1" t="s">
        <v>220</v>
      </c>
      <c r="E585" s="1" t="s">
        <v>221</v>
      </c>
      <c r="F585" s="1" t="s">
        <v>145</v>
      </c>
      <c r="G585" s="53">
        <v>2</v>
      </c>
      <c r="H585" s="1" t="s">
        <v>88</v>
      </c>
      <c r="I585" s="1" t="s">
        <v>89</v>
      </c>
      <c r="J585" s="1" t="s">
        <v>134</v>
      </c>
      <c r="K585" s="1">
        <v>1</v>
      </c>
      <c r="L585" s="65">
        <f t="shared" si="9"/>
        <v>1.8975332068311195E-2</v>
      </c>
      <c r="M585" s="1" t="s">
        <v>113</v>
      </c>
      <c r="N585" s="1" t="s">
        <v>225</v>
      </c>
    </row>
    <row r="586" spans="1:14" ht="15" customHeight="1" x14ac:dyDescent="0.25">
      <c r="A586" s="13">
        <v>45780</v>
      </c>
      <c r="B586" s="1" t="s">
        <v>32</v>
      </c>
      <c r="C586" s="1" t="s">
        <v>219</v>
      </c>
      <c r="D586" s="1" t="s">
        <v>220</v>
      </c>
      <c r="E586" s="1" t="s">
        <v>221</v>
      </c>
      <c r="F586" s="1" t="s">
        <v>145</v>
      </c>
      <c r="G586" s="53">
        <v>2</v>
      </c>
      <c r="H586" s="1" t="s">
        <v>73</v>
      </c>
      <c r="I586" s="1" t="s">
        <v>75</v>
      </c>
      <c r="J586" s="1" t="s">
        <v>149</v>
      </c>
      <c r="K586" s="1">
        <v>2</v>
      </c>
      <c r="L586" s="65">
        <f t="shared" si="9"/>
        <v>3.7950664136622389E-2</v>
      </c>
      <c r="M586" s="1" t="s">
        <v>113</v>
      </c>
      <c r="N586" s="1"/>
    </row>
    <row r="587" spans="1:14" ht="15" customHeight="1" x14ac:dyDescent="0.25">
      <c r="A587" s="13">
        <v>45780</v>
      </c>
      <c r="B587" s="1" t="s">
        <v>32</v>
      </c>
      <c r="C587" s="1" t="s">
        <v>219</v>
      </c>
      <c r="D587" s="1" t="s">
        <v>220</v>
      </c>
      <c r="E587" s="1" t="s">
        <v>221</v>
      </c>
      <c r="F587" s="1" t="s">
        <v>145</v>
      </c>
      <c r="G587" s="53">
        <v>2</v>
      </c>
      <c r="H587" s="1" t="s">
        <v>44</v>
      </c>
      <c r="I587" s="1" t="s">
        <v>47</v>
      </c>
      <c r="J587" s="63" t="s">
        <v>114</v>
      </c>
      <c r="K587" s="1">
        <v>2</v>
      </c>
      <c r="L587" s="65">
        <f t="shared" si="9"/>
        <v>3.7950664136622389E-2</v>
      </c>
      <c r="M587" s="1" t="s">
        <v>109</v>
      </c>
      <c r="N587" s="1"/>
    </row>
    <row r="588" spans="1:14" ht="15" customHeight="1" x14ac:dyDescent="0.25">
      <c r="A588" s="13">
        <v>45780</v>
      </c>
      <c r="B588" s="1" t="s">
        <v>32</v>
      </c>
      <c r="C588" s="1" t="s">
        <v>219</v>
      </c>
      <c r="D588" s="1" t="s">
        <v>220</v>
      </c>
      <c r="E588" s="1" t="s">
        <v>221</v>
      </c>
      <c r="F588" s="1" t="s">
        <v>145</v>
      </c>
      <c r="G588" s="53">
        <v>2</v>
      </c>
      <c r="H588" s="1" t="s">
        <v>36</v>
      </c>
      <c r="I588" s="1" t="s">
        <v>207</v>
      </c>
      <c r="J588" s="1" t="s">
        <v>208</v>
      </c>
      <c r="K588" s="1">
        <v>2</v>
      </c>
      <c r="L588" s="65">
        <f t="shared" si="9"/>
        <v>3.7950664136622389E-2</v>
      </c>
      <c r="M588" s="1" t="s">
        <v>113</v>
      </c>
      <c r="N588" s="1"/>
    </row>
    <row r="589" spans="1:14" ht="15" customHeight="1" x14ac:dyDescent="0.25">
      <c r="A589" s="13">
        <v>45780</v>
      </c>
      <c r="B589" s="1" t="s">
        <v>32</v>
      </c>
      <c r="C589" s="1" t="s">
        <v>219</v>
      </c>
      <c r="D589" s="1" t="s">
        <v>220</v>
      </c>
      <c r="E589" s="1" t="s">
        <v>221</v>
      </c>
      <c r="F589" s="1" t="s">
        <v>145</v>
      </c>
      <c r="G589" s="53">
        <v>2</v>
      </c>
      <c r="H589" s="1" t="s">
        <v>44</v>
      </c>
      <c r="I589" s="1" t="s">
        <v>47</v>
      </c>
      <c r="J589" s="1" t="s">
        <v>124</v>
      </c>
      <c r="K589" s="1">
        <v>1</v>
      </c>
      <c r="L589" s="65">
        <f t="shared" si="9"/>
        <v>1.8975332068311195E-2</v>
      </c>
      <c r="M589" s="1" t="s">
        <v>113</v>
      </c>
      <c r="N589" s="1"/>
    </row>
    <row r="590" spans="1:14" ht="15" customHeight="1" x14ac:dyDescent="0.25">
      <c r="A590" s="13">
        <v>45780</v>
      </c>
      <c r="B590" s="1" t="s">
        <v>34</v>
      </c>
      <c r="C590" s="1" t="s">
        <v>15</v>
      </c>
      <c r="D590" s="1" t="s">
        <v>226</v>
      </c>
      <c r="E590" s="1" t="s">
        <v>227</v>
      </c>
      <c r="F590" s="1" t="s">
        <v>107</v>
      </c>
      <c r="G590" s="53">
        <v>1</v>
      </c>
      <c r="H590" s="1" t="s">
        <v>60</v>
      </c>
      <c r="I590" s="1" t="s">
        <v>63</v>
      </c>
      <c r="J590" s="1" t="s">
        <v>112</v>
      </c>
      <c r="K590" s="1">
        <v>9</v>
      </c>
      <c r="L590" s="65">
        <f t="shared" si="9"/>
        <v>0.17077798861480076</v>
      </c>
      <c r="M590" s="1" t="s">
        <v>113</v>
      </c>
      <c r="N590" s="1"/>
    </row>
    <row r="591" spans="1:14" ht="15" customHeight="1" x14ac:dyDescent="0.25">
      <c r="A591" s="13">
        <v>45780</v>
      </c>
      <c r="B591" s="1" t="s">
        <v>34</v>
      </c>
      <c r="C591" s="1" t="s">
        <v>15</v>
      </c>
      <c r="D591" s="1" t="s">
        <v>226</v>
      </c>
      <c r="E591" s="1" t="s">
        <v>227</v>
      </c>
      <c r="F591" s="1" t="s">
        <v>107</v>
      </c>
      <c r="G591" s="53">
        <v>1</v>
      </c>
      <c r="H591" s="1" t="s">
        <v>60</v>
      </c>
      <c r="I591" s="1" t="s">
        <v>64</v>
      </c>
      <c r="J591" s="1" t="s">
        <v>118</v>
      </c>
      <c r="K591" s="1">
        <v>5</v>
      </c>
      <c r="L591" s="65">
        <f t="shared" si="9"/>
        <v>9.4876660341555979E-2</v>
      </c>
      <c r="M591" s="1" t="s">
        <v>113</v>
      </c>
      <c r="N591" s="1"/>
    </row>
    <row r="592" spans="1:14" ht="15" customHeight="1" x14ac:dyDescent="0.25">
      <c r="A592" s="13">
        <v>45780</v>
      </c>
      <c r="B592" s="1" t="s">
        <v>34</v>
      </c>
      <c r="C592" s="1" t="s">
        <v>15</v>
      </c>
      <c r="D592" s="1" t="s">
        <v>226</v>
      </c>
      <c r="E592" s="1" t="s">
        <v>227</v>
      </c>
      <c r="F592" s="1" t="s">
        <v>107</v>
      </c>
      <c r="G592" s="53">
        <v>1</v>
      </c>
      <c r="H592" s="1" t="s">
        <v>36</v>
      </c>
      <c r="I592" s="1" t="s">
        <v>39</v>
      </c>
      <c r="J592" s="1" t="s">
        <v>148</v>
      </c>
      <c r="K592" s="1">
        <v>5</v>
      </c>
      <c r="L592" s="65">
        <f t="shared" si="9"/>
        <v>9.4876660341555979E-2</v>
      </c>
      <c r="M592" s="1" t="s">
        <v>116</v>
      </c>
      <c r="N592" s="1"/>
    </row>
    <row r="593" spans="1:14" ht="15" customHeight="1" x14ac:dyDescent="0.25">
      <c r="A593" s="13">
        <v>45780</v>
      </c>
      <c r="B593" s="1" t="s">
        <v>34</v>
      </c>
      <c r="C593" s="1" t="s">
        <v>15</v>
      </c>
      <c r="D593" s="1" t="s">
        <v>226</v>
      </c>
      <c r="E593" s="1" t="s">
        <v>227</v>
      </c>
      <c r="F593" s="1" t="s">
        <v>107</v>
      </c>
      <c r="G593" s="53">
        <v>1</v>
      </c>
      <c r="H593" s="1" t="s">
        <v>36</v>
      </c>
      <c r="I593" s="1" t="s">
        <v>37</v>
      </c>
      <c r="J593" s="1" t="s">
        <v>128</v>
      </c>
      <c r="K593" s="1">
        <v>4</v>
      </c>
      <c r="L593" s="65">
        <f t="shared" si="9"/>
        <v>7.5901328273244778E-2</v>
      </c>
      <c r="M593" s="1" t="s">
        <v>109</v>
      </c>
      <c r="N593" s="1"/>
    </row>
    <row r="594" spans="1:14" ht="15" customHeight="1" x14ac:dyDescent="0.25">
      <c r="A594" s="13">
        <v>45780</v>
      </c>
      <c r="B594" s="1" t="s">
        <v>34</v>
      </c>
      <c r="C594" s="1" t="s">
        <v>15</v>
      </c>
      <c r="D594" s="1" t="s">
        <v>226</v>
      </c>
      <c r="E594" s="1" t="s">
        <v>227</v>
      </c>
      <c r="F594" s="1" t="s">
        <v>107</v>
      </c>
      <c r="G594" s="53">
        <v>1</v>
      </c>
      <c r="H594" s="1" t="s">
        <v>88</v>
      </c>
      <c r="I594" s="1" t="s">
        <v>89</v>
      </c>
      <c r="J594" s="1" t="s">
        <v>134</v>
      </c>
      <c r="K594" s="1">
        <v>2</v>
      </c>
      <c r="L594" s="65">
        <f t="shared" si="9"/>
        <v>3.7950664136622389E-2</v>
      </c>
      <c r="M594" s="1" t="s">
        <v>113</v>
      </c>
      <c r="N594" s="1" t="s">
        <v>225</v>
      </c>
    </row>
    <row r="595" spans="1:14" ht="15" customHeight="1" x14ac:dyDescent="0.25">
      <c r="A595" s="13">
        <v>45780</v>
      </c>
      <c r="B595" s="1" t="s">
        <v>34</v>
      </c>
      <c r="C595" s="1" t="s">
        <v>15</v>
      </c>
      <c r="D595" s="1" t="s">
        <v>226</v>
      </c>
      <c r="E595" s="1" t="s">
        <v>227</v>
      </c>
      <c r="F595" s="1" t="s">
        <v>107</v>
      </c>
      <c r="G595" s="53">
        <v>1</v>
      </c>
      <c r="H595" s="1" t="s">
        <v>44</v>
      </c>
      <c r="I595" s="1" t="s">
        <v>47</v>
      </c>
      <c r="J595" s="63" t="s">
        <v>114</v>
      </c>
      <c r="K595" s="1">
        <v>10</v>
      </c>
      <c r="L595" s="65">
        <f t="shared" si="9"/>
        <v>0.18975332068311196</v>
      </c>
      <c r="M595" s="1" t="s">
        <v>109</v>
      </c>
      <c r="N595" s="1"/>
    </row>
    <row r="596" spans="1:14" ht="15" customHeight="1" x14ac:dyDescent="0.25">
      <c r="A596" s="13">
        <v>45780</v>
      </c>
      <c r="B596" s="1" t="s">
        <v>34</v>
      </c>
      <c r="C596" s="1" t="s">
        <v>15</v>
      </c>
      <c r="D596" s="1" t="s">
        <v>226</v>
      </c>
      <c r="E596" s="1" t="s">
        <v>227</v>
      </c>
      <c r="F596" s="1" t="s">
        <v>107</v>
      </c>
      <c r="G596" s="53">
        <v>1</v>
      </c>
      <c r="H596" s="1" t="s">
        <v>36</v>
      </c>
      <c r="I596" s="1" t="s">
        <v>40</v>
      </c>
      <c r="J596" s="1" t="s">
        <v>40</v>
      </c>
      <c r="K596" s="1">
        <v>2</v>
      </c>
      <c r="L596" s="65">
        <f t="shared" si="9"/>
        <v>3.7950664136622389E-2</v>
      </c>
      <c r="M596" s="1" t="s">
        <v>113</v>
      </c>
      <c r="N596" s="1"/>
    </row>
    <row r="597" spans="1:14" ht="15" customHeight="1" x14ac:dyDescent="0.25">
      <c r="A597" s="13">
        <v>45780</v>
      </c>
      <c r="B597" s="1" t="s">
        <v>34</v>
      </c>
      <c r="C597" s="1" t="s">
        <v>15</v>
      </c>
      <c r="D597" s="1" t="s">
        <v>226</v>
      </c>
      <c r="E597" s="1" t="s">
        <v>227</v>
      </c>
      <c r="F597" s="1" t="s">
        <v>107</v>
      </c>
      <c r="G597" s="53">
        <v>1</v>
      </c>
      <c r="H597" s="1" t="s">
        <v>44</v>
      </c>
      <c r="I597" s="1" t="s">
        <v>46</v>
      </c>
      <c r="J597" s="1" t="s">
        <v>172</v>
      </c>
      <c r="K597" s="1">
        <v>1</v>
      </c>
      <c r="L597" s="65">
        <f t="shared" si="9"/>
        <v>1.8975332068311195E-2</v>
      </c>
      <c r="M597" s="1" t="s">
        <v>113</v>
      </c>
      <c r="N597" s="1"/>
    </row>
    <row r="598" spans="1:14" ht="15" customHeight="1" x14ac:dyDescent="0.25">
      <c r="A598" s="13">
        <v>45780</v>
      </c>
      <c r="B598" s="1" t="s">
        <v>34</v>
      </c>
      <c r="C598" s="1" t="s">
        <v>15</v>
      </c>
      <c r="D598" s="1" t="s">
        <v>226</v>
      </c>
      <c r="E598" s="1" t="s">
        <v>227</v>
      </c>
      <c r="F598" s="1" t="s">
        <v>107</v>
      </c>
      <c r="G598" s="53">
        <v>1</v>
      </c>
      <c r="H598" s="1" t="s">
        <v>71</v>
      </c>
      <c r="I598" s="1" t="s">
        <v>72</v>
      </c>
      <c r="J598" s="1" t="s">
        <v>156</v>
      </c>
      <c r="K598" s="1">
        <v>1</v>
      </c>
      <c r="L598" s="65">
        <f t="shared" si="9"/>
        <v>1.8975332068311195E-2</v>
      </c>
      <c r="M598" s="1" t="s">
        <v>113</v>
      </c>
      <c r="N598" s="1"/>
    </row>
    <row r="599" spans="1:14" ht="15" customHeight="1" x14ac:dyDescent="0.25">
      <c r="A599" s="13">
        <v>45780</v>
      </c>
      <c r="B599" s="1" t="s">
        <v>34</v>
      </c>
      <c r="C599" s="1" t="s">
        <v>15</v>
      </c>
      <c r="D599" s="1" t="s">
        <v>226</v>
      </c>
      <c r="E599" s="1" t="s">
        <v>227</v>
      </c>
      <c r="F599" s="1" t="s">
        <v>107</v>
      </c>
      <c r="G599" s="53">
        <v>1</v>
      </c>
      <c r="H599" s="1" t="s">
        <v>36</v>
      </c>
      <c r="I599" s="1" t="s">
        <v>37</v>
      </c>
      <c r="J599" s="1" t="s">
        <v>160</v>
      </c>
      <c r="K599" s="1">
        <v>1</v>
      </c>
      <c r="L599" s="65">
        <f t="shared" si="9"/>
        <v>1.8975332068311195E-2</v>
      </c>
      <c r="M599" s="1" t="s">
        <v>109</v>
      </c>
      <c r="N599" s="1"/>
    </row>
    <row r="600" spans="1:14" ht="15" customHeight="1" x14ac:dyDescent="0.25">
      <c r="A600" s="13">
        <v>45780</v>
      </c>
      <c r="B600" s="1" t="s">
        <v>34</v>
      </c>
      <c r="C600" s="1" t="s">
        <v>15</v>
      </c>
      <c r="D600" s="1" t="s">
        <v>226</v>
      </c>
      <c r="E600" s="1" t="s">
        <v>227</v>
      </c>
      <c r="F600" s="1" t="s">
        <v>107</v>
      </c>
      <c r="G600" s="53">
        <v>1</v>
      </c>
      <c r="H600" s="1" t="s">
        <v>36</v>
      </c>
      <c r="I600" s="1" t="s">
        <v>207</v>
      </c>
      <c r="J600" s="1" t="s">
        <v>208</v>
      </c>
      <c r="K600" s="1">
        <v>1</v>
      </c>
      <c r="L600" s="65">
        <f t="shared" si="9"/>
        <v>1.8975332068311195E-2</v>
      </c>
      <c r="M600" s="1" t="s">
        <v>113</v>
      </c>
      <c r="N600" s="1"/>
    </row>
    <row r="601" spans="1:14" ht="15" customHeight="1" x14ac:dyDescent="0.25">
      <c r="A601" s="13">
        <v>45780</v>
      </c>
      <c r="B601" s="1" t="s">
        <v>34</v>
      </c>
      <c r="C601" s="1" t="s">
        <v>15</v>
      </c>
      <c r="D601" s="1" t="s">
        <v>226</v>
      </c>
      <c r="E601" s="1" t="s">
        <v>227</v>
      </c>
      <c r="F601" s="1" t="s">
        <v>107</v>
      </c>
      <c r="G601" s="53">
        <v>1</v>
      </c>
      <c r="H601" s="1" t="s">
        <v>44</v>
      </c>
      <c r="I601" s="1" t="s">
        <v>50</v>
      </c>
      <c r="J601" s="1" t="s">
        <v>127</v>
      </c>
      <c r="K601" s="1">
        <v>2</v>
      </c>
      <c r="L601" s="65">
        <f t="shared" si="9"/>
        <v>3.7950664136622389E-2</v>
      </c>
      <c r="M601" s="1" t="s">
        <v>113</v>
      </c>
      <c r="N601" s="1"/>
    </row>
    <row r="602" spans="1:14" ht="15" customHeight="1" x14ac:dyDescent="0.25">
      <c r="A602" s="13">
        <v>45780</v>
      </c>
      <c r="B602" s="1" t="s">
        <v>34</v>
      </c>
      <c r="C602" s="1" t="s">
        <v>15</v>
      </c>
      <c r="D602" s="1" t="s">
        <v>226</v>
      </c>
      <c r="E602" s="1" t="s">
        <v>227</v>
      </c>
      <c r="F602" s="1" t="s">
        <v>107</v>
      </c>
      <c r="G602" s="53">
        <v>1</v>
      </c>
      <c r="H602" s="1" t="s">
        <v>44</v>
      </c>
      <c r="I602" s="1" t="s">
        <v>228</v>
      </c>
      <c r="J602" s="1" t="s">
        <v>229</v>
      </c>
      <c r="K602" s="1">
        <v>1</v>
      </c>
      <c r="L602" s="65">
        <f t="shared" si="9"/>
        <v>1.8975332068311195E-2</v>
      </c>
      <c r="M602" s="1" t="s">
        <v>115</v>
      </c>
      <c r="N602" s="1"/>
    </row>
    <row r="603" spans="1:14" ht="15" customHeight="1" x14ac:dyDescent="0.25">
      <c r="A603" s="13">
        <v>45780</v>
      </c>
      <c r="B603" s="1" t="s">
        <v>34</v>
      </c>
      <c r="C603" s="1" t="s">
        <v>15</v>
      </c>
      <c r="D603" s="1" t="s">
        <v>226</v>
      </c>
      <c r="E603" s="1" t="s">
        <v>227</v>
      </c>
      <c r="F603" s="1" t="s">
        <v>107</v>
      </c>
      <c r="G603" s="53">
        <v>1</v>
      </c>
      <c r="H603" s="1" t="s">
        <v>81</v>
      </c>
      <c r="I603" s="1" t="s">
        <v>83</v>
      </c>
      <c r="J603" s="1" t="s">
        <v>135</v>
      </c>
      <c r="K603" s="1">
        <v>1</v>
      </c>
      <c r="L603" s="65">
        <f t="shared" si="9"/>
        <v>1.8975332068311195E-2</v>
      </c>
      <c r="M603" s="1" t="s">
        <v>116</v>
      </c>
      <c r="N603" s="1"/>
    </row>
    <row r="604" spans="1:14" ht="15" customHeight="1" x14ac:dyDescent="0.25">
      <c r="A604" s="13">
        <v>45780</v>
      </c>
      <c r="B604" s="1" t="s">
        <v>34</v>
      </c>
      <c r="C604" s="1" t="s">
        <v>15</v>
      </c>
      <c r="D604" s="1" t="s">
        <v>226</v>
      </c>
      <c r="E604" s="1" t="s">
        <v>227</v>
      </c>
      <c r="F604" s="1" t="s">
        <v>107</v>
      </c>
      <c r="G604" s="53">
        <v>1</v>
      </c>
      <c r="H604" s="1" t="s">
        <v>54</v>
      </c>
      <c r="I604" s="1" t="s">
        <v>55</v>
      </c>
      <c r="J604" s="1" t="s">
        <v>122</v>
      </c>
      <c r="K604" s="1">
        <v>8</v>
      </c>
      <c r="L604" s="65">
        <f t="shared" si="9"/>
        <v>0.15180265654648956</v>
      </c>
      <c r="M604" s="1" t="s">
        <v>109</v>
      </c>
      <c r="N604" s="1"/>
    </row>
    <row r="605" spans="1:14" ht="15" customHeight="1" x14ac:dyDescent="0.25">
      <c r="A605" s="13">
        <v>45780</v>
      </c>
      <c r="B605" s="1" t="s">
        <v>34</v>
      </c>
      <c r="C605" s="1" t="s">
        <v>15</v>
      </c>
      <c r="D605" s="1" t="s">
        <v>226</v>
      </c>
      <c r="E605" s="1" t="s">
        <v>227</v>
      </c>
      <c r="F605" s="1" t="s">
        <v>107</v>
      </c>
      <c r="G605" s="53">
        <v>1</v>
      </c>
      <c r="H605" s="1" t="s">
        <v>54</v>
      </c>
      <c r="I605" s="1" t="s">
        <v>56</v>
      </c>
      <c r="J605" s="1" t="s">
        <v>168</v>
      </c>
      <c r="K605" s="1">
        <v>1</v>
      </c>
      <c r="L605" s="65">
        <f t="shared" si="9"/>
        <v>1.8975332068311195E-2</v>
      </c>
      <c r="M605" s="1" t="s">
        <v>109</v>
      </c>
      <c r="N605" s="1"/>
    </row>
    <row r="606" spans="1:14" ht="15" customHeight="1" x14ac:dyDescent="0.25">
      <c r="A606" s="13">
        <v>45780</v>
      </c>
      <c r="B606" s="1" t="s">
        <v>34</v>
      </c>
      <c r="C606" s="1" t="s">
        <v>15</v>
      </c>
      <c r="D606" s="1" t="s">
        <v>226</v>
      </c>
      <c r="E606" s="1" t="s">
        <v>227</v>
      </c>
      <c r="F606" s="1" t="s">
        <v>107</v>
      </c>
      <c r="G606" s="53">
        <v>1</v>
      </c>
      <c r="H606" s="1" t="s">
        <v>44</v>
      </c>
      <c r="I606" s="1" t="s">
        <v>47</v>
      </c>
      <c r="J606" s="1" t="s">
        <v>124</v>
      </c>
      <c r="K606" s="1">
        <v>1</v>
      </c>
      <c r="L606" s="65">
        <f t="shared" si="9"/>
        <v>1.8975332068311195E-2</v>
      </c>
      <c r="M606" s="1" t="s">
        <v>113</v>
      </c>
      <c r="N606" s="1"/>
    </row>
    <row r="607" spans="1:14" ht="15" customHeight="1" x14ac:dyDescent="0.25">
      <c r="A607" s="13">
        <v>45780</v>
      </c>
      <c r="B607" s="1" t="s">
        <v>34</v>
      </c>
      <c r="C607" s="1" t="s">
        <v>15</v>
      </c>
      <c r="D607" s="1" t="s">
        <v>226</v>
      </c>
      <c r="E607" s="1" t="s">
        <v>227</v>
      </c>
      <c r="F607" s="1" t="s">
        <v>145</v>
      </c>
      <c r="G607" s="53">
        <v>1</v>
      </c>
      <c r="H607" s="1" t="s">
        <v>36</v>
      </c>
      <c r="I607" s="1" t="s">
        <v>37</v>
      </c>
      <c r="J607" s="1" t="s">
        <v>160</v>
      </c>
      <c r="K607" s="1">
        <v>15</v>
      </c>
      <c r="L607" s="65">
        <f t="shared" si="9"/>
        <v>0.28462998102466791</v>
      </c>
      <c r="M607" s="1" t="s">
        <v>109</v>
      </c>
      <c r="N607" s="1"/>
    </row>
    <row r="608" spans="1:14" ht="15" customHeight="1" x14ac:dyDescent="0.25">
      <c r="A608" s="13">
        <v>45780</v>
      </c>
      <c r="B608" s="1" t="s">
        <v>34</v>
      </c>
      <c r="C608" s="1" t="s">
        <v>15</v>
      </c>
      <c r="D608" s="1" t="s">
        <v>226</v>
      </c>
      <c r="E608" s="1" t="s">
        <v>227</v>
      </c>
      <c r="F608" s="1" t="s">
        <v>145</v>
      </c>
      <c r="G608" s="53">
        <v>1</v>
      </c>
      <c r="H608" s="1" t="s">
        <v>60</v>
      </c>
      <c r="I608" s="1" t="s">
        <v>63</v>
      </c>
      <c r="J608" s="1" t="s">
        <v>112</v>
      </c>
      <c r="K608" s="1">
        <v>16</v>
      </c>
      <c r="L608" s="65">
        <f t="shared" si="9"/>
        <v>0.30360531309297911</v>
      </c>
      <c r="M608" s="1" t="s">
        <v>113</v>
      </c>
      <c r="N608" s="1"/>
    </row>
    <row r="609" spans="1:14" ht="15" customHeight="1" x14ac:dyDescent="0.25">
      <c r="A609" s="13">
        <v>45780</v>
      </c>
      <c r="B609" s="1" t="s">
        <v>34</v>
      </c>
      <c r="C609" s="1" t="s">
        <v>15</v>
      </c>
      <c r="D609" s="1" t="s">
        <v>226</v>
      </c>
      <c r="E609" s="1" t="s">
        <v>227</v>
      </c>
      <c r="F609" s="1" t="s">
        <v>145</v>
      </c>
      <c r="G609" s="53">
        <v>1</v>
      </c>
      <c r="H609" s="1" t="s">
        <v>44</v>
      </c>
      <c r="I609" s="1" t="s">
        <v>50</v>
      </c>
      <c r="J609" s="1" t="s">
        <v>190</v>
      </c>
      <c r="K609" s="1">
        <v>3</v>
      </c>
      <c r="L609" s="65">
        <f t="shared" si="9"/>
        <v>5.6925996204933584E-2</v>
      </c>
      <c r="M609" s="1" t="s">
        <v>113</v>
      </c>
      <c r="N609" s="1"/>
    </row>
    <row r="610" spans="1:14" ht="15" customHeight="1" x14ac:dyDescent="0.25">
      <c r="A610" s="13">
        <v>45780</v>
      </c>
      <c r="B610" s="1" t="s">
        <v>34</v>
      </c>
      <c r="C610" s="1" t="s">
        <v>15</v>
      </c>
      <c r="D610" s="1" t="s">
        <v>226</v>
      </c>
      <c r="E610" s="1" t="s">
        <v>227</v>
      </c>
      <c r="F610" s="1" t="s">
        <v>145</v>
      </c>
      <c r="G610" s="53">
        <v>1</v>
      </c>
      <c r="H610" s="1" t="s">
        <v>81</v>
      </c>
      <c r="I610" s="1" t="s">
        <v>85</v>
      </c>
      <c r="J610" s="1" t="s">
        <v>166</v>
      </c>
      <c r="K610" s="1">
        <v>1</v>
      </c>
      <c r="L610" s="65">
        <f t="shared" si="9"/>
        <v>1.8975332068311195E-2</v>
      </c>
      <c r="M610" s="1" t="s">
        <v>113</v>
      </c>
      <c r="N610" s="1"/>
    </row>
    <row r="611" spans="1:14" ht="15" customHeight="1" x14ac:dyDescent="0.25">
      <c r="A611" s="13">
        <v>45780</v>
      </c>
      <c r="B611" s="1" t="s">
        <v>34</v>
      </c>
      <c r="C611" s="1" t="s">
        <v>15</v>
      </c>
      <c r="D611" s="1" t="s">
        <v>226</v>
      </c>
      <c r="E611" s="1" t="s">
        <v>227</v>
      </c>
      <c r="F611" s="1" t="s">
        <v>145</v>
      </c>
      <c r="G611" s="53">
        <v>1</v>
      </c>
      <c r="H611" s="1" t="s">
        <v>81</v>
      </c>
      <c r="I611" s="1" t="s">
        <v>82</v>
      </c>
      <c r="J611" s="1" t="s">
        <v>138</v>
      </c>
      <c r="K611" s="1">
        <v>1</v>
      </c>
      <c r="L611" s="65">
        <f t="shared" si="9"/>
        <v>1.8975332068311195E-2</v>
      </c>
      <c r="M611" s="1" t="s">
        <v>116</v>
      </c>
      <c r="N611" s="1"/>
    </row>
    <row r="612" spans="1:14" ht="15" customHeight="1" x14ac:dyDescent="0.25">
      <c r="A612" s="13">
        <v>45780</v>
      </c>
      <c r="B612" s="1" t="s">
        <v>34</v>
      </c>
      <c r="C612" s="1" t="s">
        <v>15</v>
      </c>
      <c r="D612" s="1" t="s">
        <v>226</v>
      </c>
      <c r="E612" s="1" t="s">
        <v>227</v>
      </c>
      <c r="F612" s="1" t="s">
        <v>145</v>
      </c>
      <c r="G612" s="53">
        <v>1</v>
      </c>
      <c r="H612" s="1" t="s">
        <v>36</v>
      </c>
      <c r="I612" s="1" t="s">
        <v>37</v>
      </c>
      <c r="J612" s="1" t="s">
        <v>128</v>
      </c>
      <c r="K612" s="1">
        <v>14</v>
      </c>
      <c r="L612" s="65">
        <f t="shared" si="9"/>
        <v>0.26565464895635671</v>
      </c>
      <c r="M612" s="1" t="s">
        <v>109</v>
      </c>
      <c r="N612" s="1"/>
    </row>
    <row r="613" spans="1:14" ht="15" customHeight="1" x14ac:dyDescent="0.25">
      <c r="A613" s="13">
        <v>45780</v>
      </c>
      <c r="B613" s="1" t="s">
        <v>34</v>
      </c>
      <c r="C613" s="1" t="s">
        <v>15</v>
      </c>
      <c r="D613" s="1" t="s">
        <v>226</v>
      </c>
      <c r="E613" s="1" t="s">
        <v>227</v>
      </c>
      <c r="F613" s="1" t="s">
        <v>145</v>
      </c>
      <c r="G613" s="53">
        <v>1</v>
      </c>
      <c r="H613" s="1" t="s">
        <v>44</v>
      </c>
      <c r="I613" s="1" t="s">
        <v>52</v>
      </c>
      <c r="J613" s="1" t="s">
        <v>133</v>
      </c>
      <c r="K613" s="1">
        <v>1</v>
      </c>
      <c r="L613" s="65">
        <f t="shared" si="9"/>
        <v>1.8975332068311195E-2</v>
      </c>
      <c r="M613" s="1" t="s">
        <v>119</v>
      </c>
      <c r="N613" s="1"/>
    </row>
    <row r="614" spans="1:14" ht="15" customHeight="1" x14ac:dyDescent="0.25">
      <c r="A614" s="13">
        <v>45780</v>
      </c>
      <c r="B614" s="1" t="s">
        <v>34</v>
      </c>
      <c r="C614" s="1" t="s">
        <v>15</v>
      </c>
      <c r="D614" s="1" t="s">
        <v>226</v>
      </c>
      <c r="E614" s="1" t="s">
        <v>227</v>
      </c>
      <c r="F614" s="1" t="s">
        <v>145</v>
      </c>
      <c r="G614" s="53">
        <v>1</v>
      </c>
      <c r="H614" s="1" t="s">
        <v>44</v>
      </c>
      <c r="I614" s="1" t="s">
        <v>47</v>
      </c>
      <c r="J614" s="63" t="s">
        <v>114</v>
      </c>
      <c r="K614" s="1">
        <v>13</v>
      </c>
      <c r="L614" s="65">
        <f t="shared" si="9"/>
        <v>0.24667931688804554</v>
      </c>
      <c r="M614" s="1" t="s">
        <v>109</v>
      </c>
      <c r="N614" s="1"/>
    </row>
    <row r="615" spans="1:14" ht="15" customHeight="1" x14ac:dyDescent="0.25">
      <c r="A615" s="13">
        <v>45780</v>
      </c>
      <c r="B615" s="1" t="s">
        <v>34</v>
      </c>
      <c r="C615" s="1" t="s">
        <v>15</v>
      </c>
      <c r="D615" s="1" t="s">
        <v>226</v>
      </c>
      <c r="E615" s="1" t="s">
        <v>227</v>
      </c>
      <c r="F615" s="1" t="s">
        <v>145</v>
      </c>
      <c r="G615" s="53">
        <v>1</v>
      </c>
      <c r="H615" s="1" t="s">
        <v>44</v>
      </c>
      <c r="I615" s="1" t="s">
        <v>46</v>
      </c>
      <c r="J615" s="1" t="s">
        <v>172</v>
      </c>
      <c r="K615" s="1">
        <v>13</v>
      </c>
      <c r="L615" s="65">
        <f t="shared" si="9"/>
        <v>0.24667931688804554</v>
      </c>
      <c r="M615" s="1" t="s">
        <v>113</v>
      </c>
      <c r="N615" s="1"/>
    </row>
    <row r="616" spans="1:14" ht="15" customHeight="1" x14ac:dyDescent="0.25">
      <c r="A616" s="13">
        <v>45780</v>
      </c>
      <c r="B616" s="1" t="s">
        <v>34</v>
      </c>
      <c r="C616" s="1" t="s">
        <v>15</v>
      </c>
      <c r="D616" s="1" t="s">
        <v>226</v>
      </c>
      <c r="E616" s="1" t="s">
        <v>227</v>
      </c>
      <c r="F616" s="1" t="s">
        <v>145</v>
      </c>
      <c r="G616" s="53">
        <v>1</v>
      </c>
      <c r="H616" s="1" t="s">
        <v>54</v>
      </c>
      <c r="I616" s="1" t="s">
        <v>55</v>
      </c>
      <c r="J616" s="1" t="s">
        <v>122</v>
      </c>
      <c r="K616" s="1">
        <v>8</v>
      </c>
      <c r="L616" s="65">
        <f t="shared" si="9"/>
        <v>0.15180265654648956</v>
      </c>
      <c r="M616" s="1" t="s">
        <v>109</v>
      </c>
      <c r="N616" s="1"/>
    </row>
    <row r="617" spans="1:14" ht="15" customHeight="1" x14ac:dyDescent="0.25">
      <c r="A617" s="13">
        <v>45780</v>
      </c>
      <c r="B617" s="1" t="s">
        <v>34</v>
      </c>
      <c r="C617" s="1" t="s">
        <v>15</v>
      </c>
      <c r="D617" s="1" t="s">
        <v>226</v>
      </c>
      <c r="E617" s="1" t="s">
        <v>227</v>
      </c>
      <c r="F617" s="1" t="s">
        <v>145</v>
      </c>
      <c r="G617" s="53">
        <v>1</v>
      </c>
      <c r="H617" s="1" t="s">
        <v>54</v>
      </c>
      <c r="I617" s="1" t="s">
        <v>55</v>
      </c>
      <c r="J617" s="1" t="s">
        <v>120</v>
      </c>
      <c r="K617" s="1">
        <v>14</v>
      </c>
      <c r="L617" s="65">
        <f t="shared" si="9"/>
        <v>0.26565464895635671</v>
      </c>
      <c r="M617" s="1" t="s">
        <v>121</v>
      </c>
      <c r="N617" s="1"/>
    </row>
    <row r="618" spans="1:14" ht="15" customHeight="1" x14ac:dyDescent="0.25">
      <c r="A618" s="13">
        <v>45780</v>
      </c>
      <c r="B618" s="1" t="s">
        <v>34</v>
      </c>
      <c r="C618" s="1" t="s">
        <v>15</v>
      </c>
      <c r="D618" s="1" t="s">
        <v>226</v>
      </c>
      <c r="E618" s="1" t="s">
        <v>227</v>
      </c>
      <c r="F618" s="1" t="s">
        <v>145</v>
      </c>
      <c r="G618" s="53">
        <v>1</v>
      </c>
      <c r="H618" s="1" t="s">
        <v>79</v>
      </c>
      <c r="I618" s="1" t="s">
        <v>80</v>
      </c>
      <c r="J618" s="1" t="s">
        <v>142</v>
      </c>
      <c r="K618" s="1">
        <v>1</v>
      </c>
      <c r="L618" s="65">
        <f t="shared" si="9"/>
        <v>1.8975332068311195E-2</v>
      </c>
      <c r="M618" s="1" t="s">
        <v>113</v>
      </c>
      <c r="N618" s="1"/>
    </row>
    <row r="619" spans="1:14" ht="15" customHeight="1" x14ac:dyDescent="0.25">
      <c r="A619" s="13">
        <v>45780</v>
      </c>
      <c r="B619" s="1" t="s">
        <v>34</v>
      </c>
      <c r="C619" s="1" t="s">
        <v>15</v>
      </c>
      <c r="D619" s="1" t="s">
        <v>226</v>
      </c>
      <c r="E619" s="1" t="s">
        <v>227</v>
      </c>
      <c r="F619" s="1" t="s">
        <v>145</v>
      </c>
      <c r="G619" s="53">
        <v>1</v>
      </c>
      <c r="H619" s="1" t="s">
        <v>44</v>
      </c>
      <c r="I619" s="1" t="s">
        <v>47</v>
      </c>
      <c r="J619" s="1" t="s">
        <v>124</v>
      </c>
      <c r="K619" s="1">
        <v>4</v>
      </c>
      <c r="L619" s="65">
        <f t="shared" si="9"/>
        <v>7.5901328273244778E-2</v>
      </c>
      <c r="M619" s="1" t="s">
        <v>113</v>
      </c>
      <c r="N619" s="1"/>
    </row>
    <row r="620" spans="1:14" ht="15" customHeight="1" x14ac:dyDescent="0.25">
      <c r="A620" s="13">
        <v>45780</v>
      </c>
      <c r="B620" s="1" t="s">
        <v>34</v>
      </c>
      <c r="C620" s="1" t="s">
        <v>15</v>
      </c>
      <c r="D620" s="1" t="s">
        <v>226</v>
      </c>
      <c r="E620" s="1" t="s">
        <v>227</v>
      </c>
      <c r="F620" s="1" t="s">
        <v>145</v>
      </c>
      <c r="G620" s="53">
        <v>1</v>
      </c>
      <c r="H620" s="1" t="s">
        <v>81</v>
      </c>
      <c r="I620" s="1" t="s">
        <v>83</v>
      </c>
      <c r="J620" s="1" t="s">
        <v>131</v>
      </c>
      <c r="K620" s="1">
        <v>1</v>
      </c>
      <c r="L620" s="65">
        <f t="shared" si="9"/>
        <v>1.8975332068311195E-2</v>
      </c>
      <c r="M620" s="1" t="s">
        <v>116</v>
      </c>
      <c r="N620" s="1"/>
    </row>
    <row r="621" spans="1:14" ht="15" customHeight="1" x14ac:dyDescent="0.25">
      <c r="A621" s="13">
        <v>45780</v>
      </c>
      <c r="B621" s="1" t="s">
        <v>34</v>
      </c>
      <c r="C621" s="1" t="s">
        <v>15</v>
      </c>
      <c r="D621" s="1" t="s">
        <v>226</v>
      </c>
      <c r="E621" s="1" t="s">
        <v>227</v>
      </c>
      <c r="F621" s="1" t="s">
        <v>222</v>
      </c>
      <c r="G621" s="1">
        <v>1</v>
      </c>
      <c r="H621" s="1" t="s">
        <v>81</v>
      </c>
      <c r="I621" s="1" t="s">
        <v>82</v>
      </c>
      <c r="J621" s="1" t="s">
        <v>138</v>
      </c>
      <c r="K621" s="1">
        <v>2</v>
      </c>
      <c r="L621" s="65">
        <f t="shared" si="9"/>
        <v>3.7950664136622389E-2</v>
      </c>
      <c r="M621" s="1" t="s">
        <v>116</v>
      </c>
      <c r="N621" s="1"/>
    </row>
    <row r="622" spans="1:14" ht="15" customHeight="1" x14ac:dyDescent="0.25">
      <c r="A622" s="13">
        <v>45780</v>
      </c>
      <c r="B622" s="1" t="s">
        <v>34</v>
      </c>
      <c r="C622" s="1" t="s">
        <v>15</v>
      </c>
      <c r="D622" s="1" t="s">
        <v>226</v>
      </c>
      <c r="E622" s="1" t="s">
        <v>227</v>
      </c>
      <c r="F622" s="1" t="s">
        <v>222</v>
      </c>
      <c r="G622" s="1">
        <v>1</v>
      </c>
      <c r="H622" s="1" t="s">
        <v>36</v>
      </c>
      <c r="I622" s="1" t="s">
        <v>37</v>
      </c>
      <c r="J622" s="1" t="s">
        <v>160</v>
      </c>
      <c r="K622" s="1">
        <v>296</v>
      </c>
      <c r="L622" s="65">
        <f t="shared" si="9"/>
        <v>5.6166982922201143</v>
      </c>
      <c r="M622" s="1" t="s">
        <v>109</v>
      </c>
      <c r="N622" s="1"/>
    </row>
    <row r="623" spans="1:14" ht="15" customHeight="1" x14ac:dyDescent="0.25">
      <c r="A623" s="13">
        <v>45780</v>
      </c>
      <c r="B623" s="1" t="s">
        <v>34</v>
      </c>
      <c r="C623" s="1" t="s">
        <v>15</v>
      </c>
      <c r="D623" s="1" t="s">
        <v>226</v>
      </c>
      <c r="E623" s="1" t="s">
        <v>227</v>
      </c>
      <c r="F623" s="1" t="s">
        <v>222</v>
      </c>
      <c r="G623" s="1">
        <v>1</v>
      </c>
      <c r="H623" s="1" t="s">
        <v>60</v>
      </c>
      <c r="I623" s="1" t="s">
        <v>64</v>
      </c>
      <c r="J623" s="1" t="s">
        <v>118</v>
      </c>
      <c r="K623" s="1">
        <v>1</v>
      </c>
      <c r="L623" s="65">
        <f t="shared" si="9"/>
        <v>1.8975332068311195E-2</v>
      </c>
      <c r="M623" s="1" t="s">
        <v>113</v>
      </c>
      <c r="N623" s="1"/>
    </row>
    <row r="624" spans="1:14" ht="15" customHeight="1" x14ac:dyDescent="0.25">
      <c r="A624" s="13">
        <v>45780</v>
      </c>
      <c r="B624" s="1" t="s">
        <v>34</v>
      </c>
      <c r="C624" s="1" t="s">
        <v>15</v>
      </c>
      <c r="D624" s="1" t="s">
        <v>226</v>
      </c>
      <c r="E624" s="1" t="s">
        <v>227</v>
      </c>
      <c r="F624" s="1" t="s">
        <v>222</v>
      </c>
      <c r="G624" s="1">
        <v>1</v>
      </c>
      <c r="H624" s="1" t="s">
        <v>81</v>
      </c>
      <c r="I624" s="1" t="s">
        <v>83</v>
      </c>
      <c r="J624" s="1" t="s">
        <v>131</v>
      </c>
      <c r="K624" s="1">
        <v>1</v>
      </c>
      <c r="L624" s="65">
        <f t="shared" si="9"/>
        <v>1.8975332068311195E-2</v>
      </c>
      <c r="M624" s="1" t="s">
        <v>116</v>
      </c>
      <c r="N624" s="1"/>
    </row>
    <row r="625" spans="1:14" ht="15" customHeight="1" x14ac:dyDescent="0.25">
      <c r="A625" s="13">
        <v>45780</v>
      </c>
      <c r="B625" s="1" t="s">
        <v>34</v>
      </c>
      <c r="C625" s="1" t="s">
        <v>15</v>
      </c>
      <c r="D625" s="1" t="s">
        <v>226</v>
      </c>
      <c r="E625" s="1" t="s">
        <v>227</v>
      </c>
      <c r="F625" s="1" t="s">
        <v>222</v>
      </c>
      <c r="G625" s="1">
        <v>1</v>
      </c>
      <c r="H625" s="1" t="s">
        <v>60</v>
      </c>
      <c r="I625" s="1" t="s">
        <v>63</v>
      </c>
      <c r="J625" s="1" t="s">
        <v>112</v>
      </c>
      <c r="K625" s="1">
        <v>3</v>
      </c>
      <c r="L625" s="65">
        <f t="shared" si="9"/>
        <v>5.6925996204933584E-2</v>
      </c>
      <c r="M625" s="1" t="s">
        <v>113</v>
      </c>
      <c r="N625" s="1"/>
    </row>
    <row r="626" spans="1:14" ht="15" customHeight="1" x14ac:dyDescent="0.25">
      <c r="A626" s="13">
        <v>45780</v>
      </c>
      <c r="B626" s="1" t="s">
        <v>34</v>
      </c>
      <c r="C626" s="1" t="s">
        <v>15</v>
      </c>
      <c r="D626" s="1" t="s">
        <v>226</v>
      </c>
      <c r="E626" s="1" t="s">
        <v>227</v>
      </c>
      <c r="F626" s="1" t="s">
        <v>222</v>
      </c>
      <c r="G626" s="1">
        <v>1</v>
      </c>
      <c r="H626" s="1" t="s">
        <v>60</v>
      </c>
      <c r="I626" s="1" t="s">
        <v>64</v>
      </c>
      <c r="J626" s="1" t="s">
        <v>117</v>
      </c>
      <c r="K626" s="1">
        <v>1</v>
      </c>
      <c r="L626" s="65">
        <f t="shared" si="9"/>
        <v>1.8975332068311195E-2</v>
      </c>
      <c r="M626" s="1" t="s">
        <v>113</v>
      </c>
      <c r="N626" s="1"/>
    </row>
    <row r="627" spans="1:14" ht="15" customHeight="1" x14ac:dyDescent="0.25">
      <c r="A627" s="13">
        <v>45780</v>
      </c>
      <c r="B627" s="1" t="s">
        <v>34</v>
      </c>
      <c r="C627" s="1" t="s">
        <v>15</v>
      </c>
      <c r="D627" s="1" t="s">
        <v>226</v>
      </c>
      <c r="E627" s="1" t="s">
        <v>227</v>
      </c>
      <c r="F627" s="1" t="s">
        <v>222</v>
      </c>
      <c r="G627" s="1">
        <v>1</v>
      </c>
      <c r="H627" s="1" t="s">
        <v>54</v>
      </c>
      <c r="I627" s="1" t="s">
        <v>55</v>
      </c>
      <c r="J627" s="1" t="s">
        <v>230</v>
      </c>
      <c r="K627" s="1">
        <v>1</v>
      </c>
      <c r="L627" s="65">
        <f t="shared" si="9"/>
        <v>1.8975332068311195E-2</v>
      </c>
      <c r="M627" s="1" t="s">
        <v>109</v>
      </c>
      <c r="N627" s="1" t="s">
        <v>201</v>
      </c>
    </row>
    <row r="628" spans="1:14" ht="15" customHeight="1" x14ac:dyDescent="0.25">
      <c r="A628" s="13">
        <v>45780</v>
      </c>
      <c r="B628" s="1" t="s">
        <v>34</v>
      </c>
      <c r="C628" s="1" t="s">
        <v>15</v>
      </c>
      <c r="D628" s="1" t="s">
        <v>226</v>
      </c>
      <c r="E628" s="1" t="s">
        <v>227</v>
      </c>
      <c r="F628" s="1" t="s">
        <v>222</v>
      </c>
      <c r="G628" s="1">
        <v>1</v>
      </c>
      <c r="H628" s="1" t="s">
        <v>71</v>
      </c>
      <c r="I628" s="1" t="s">
        <v>72</v>
      </c>
      <c r="J628" s="1" t="s">
        <v>156</v>
      </c>
      <c r="K628" s="1">
        <v>1</v>
      </c>
      <c r="L628" s="65">
        <f t="shared" si="9"/>
        <v>1.8975332068311195E-2</v>
      </c>
      <c r="M628" s="1" t="s">
        <v>113</v>
      </c>
      <c r="N628" s="1"/>
    </row>
  </sheetData>
  <autoFilter ref="A6:N628" xr:uid="{00000000-0001-0000-0400-000000000000}"/>
  <mergeCells count="1">
    <mergeCell ref="D5:E5"/>
  </mergeCells>
  <pageMargins left="0.7" right="0.7" top="0.75" bottom="0.75" header="0.3" footer="0.3"/>
  <pageSetup orientation="portrait" r:id="rId1"/>
  <ignoredErrors>
    <ignoredError sqref="G496:G527 G528:G554 G555:G620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DC654-4CEF-486B-AE0C-253222EB0B72}">
  <sheetPr>
    <tabColor theme="8"/>
  </sheetPr>
  <dimension ref="A1:M64"/>
  <sheetViews>
    <sheetView tabSelected="1" zoomScaleNormal="100" workbookViewId="0">
      <selection activeCell="I22" sqref="I22"/>
    </sheetView>
  </sheetViews>
  <sheetFormatPr baseColWidth="10" defaultColWidth="11.42578125" defaultRowHeight="15" customHeight="1" x14ac:dyDescent="0.25"/>
  <cols>
    <col min="1" max="1" width="14.42578125" customWidth="1"/>
    <col min="2" max="2" width="13.28515625" customWidth="1"/>
    <col min="3" max="4" width="13.7109375" customWidth="1"/>
    <col min="5" max="5" width="16.7109375" customWidth="1"/>
    <col min="6" max="6" width="14.85546875" bestFit="1" customWidth="1"/>
    <col min="7" max="7" width="9.28515625" bestFit="1" customWidth="1"/>
    <col min="8" max="8" width="12.5703125" bestFit="1" customWidth="1"/>
    <col min="9" max="9" width="13.85546875" bestFit="1" customWidth="1"/>
    <col min="10" max="10" width="19.7109375" customWidth="1"/>
    <col min="11" max="11" width="12" bestFit="1" customWidth="1"/>
    <col min="12" max="12" width="12.28515625" customWidth="1"/>
    <col min="13" max="13" width="36.85546875" customWidth="1"/>
    <col min="17" max="17" width="10.5703125" bestFit="1" customWidth="1"/>
    <col min="18" max="18" width="17" bestFit="1" customWidth="1"/>
    <col min="19" max="19" width="11.85546875" bestFit="1" customWidth="1"/>
  </cols>
  <sheetData>
    <row r="1" spans="1:13" x14ac:dyDescent="0.25">
      <c r="A1" s="139" t="s">
        <v>658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</row>
    <row r="2" spans="1:13" ht="18.600000000000001" customHeight="1" x14ac:dyDescent="0.25">
      <c r="A2" s="139"/>
      <c r="B2" s="139"/>
      <c r="C2" s="139"/>
      <c r="D2" s="139"/>
      <c r="E2" s="139"/>
      <c r="F2" s="139"/>
      <c r="G2" s="139"/>
      <c r="H2" s="139"/>
      <c r="I2" s="139"/>
      <c r="J2" s="139"/>
      <c r="K2" s="139"/>
      <c r="L2" s="139"/>
      <c r="M2" s="139"/>
    </row>
    <row r="4" spans="1:13" x14ac:dyDescent="0.25">
      <c r="A4" s="69" t="s">
        <v>96</v>
      </c>
      <c r="B4" s="69" t="s">
        <v>29</v>
      </c>
      <c r="C4" s="69" t="s">
        <v>97</v>
      </c>
      <c r="D4" s="70" t="s">
        <v>3</v>
      </c>
      <c r="E4" s="70" t="s">
        <v>4</v>
      </c>
      <c r="F4" s="69" t="s">
        <v>98</v>
      </c>
      <c r="G4" s="69" t="s">
        <v>99</v>
      </c>
      <c r="H4" s="69" t="s">
        <v>651</v>
      </c>
      <c r="I4" s="69" t="s">
        <v>30</v>
      </c>
      <c r="J4" s="61" t="s">
        <v>31</v>
      </c>
      <c r="K4" s="61" t="s">
        <v>100</v>
      </c>
      <c r="L4" s="61" t="s">
        <v>318</v>
      </c>
      <c r="M4" s="81" t="s">
        <v>650</v>
      </c>
    </row>
    <row r="5" spans="1:13" x14ac:dyDescent="0.25">
      <c r="A5" s="13">
        <v>45625</v>
      </c>
      <c r="B5" s="1" t="s">
        <v>664</v>
      </c>
      <c r="C5" s="1" t="s">
        <v>20</v>
      </c>
      <c r="D5" s="63" t="s">
        <v>22</v>
      </c>
      <c r="E5" s="63" t="s">
        <v>23</v>
      </c>
      <c r="F5" s="1" t="s">
        <v>159</v>
      </c>
      <c r="G5" s="1">
        <v>2</v>
      </c>
      <c r="H5" s="1" t="s">
        <v>652</v>
      </c>
      <c r="I5" s="1" t="s">
        <v>460</v>
      </c>
      <c r="J5" s="1" t="s">
        <v>424</v>
      </c>
      <c r="K5" s="1" t="s">
        <v>423</v>
      </c>
      <c r="L5" s="1" t="s">
        <v>461</v>
      </c>
      <c r="M5" s="7" t="s">
        <v>648</v>
      </c>
    </row>
    <row r="6" spans="1:13" x14ac:dyDescent="0.25">
      <c r="A6" s="13">
        <v>45625</v>
      </c>
      <c r="B6" s="1" t="s">
        <v>664</v>
      </c>
      <c r="C6" s="1" t="s">
        <v>20</v>
      </c>
      <c r="D6" s="63" t="s">
        <v>22</v>
      </c>
      <c r="E6" s="63" t="s">
        <v>23</v>
      </c>
      <c r="F6" s="1" t="s">
        <v>159</v>
      </c>
      <c r="G6" s="1">
        <v>2</v>
      </c>
      <c r="H6" s="1" t="s">
        <v>652</v>
      </c>
      <c r="I6" s="1" t="s">
        <v>462</v>
      </c>
      <c r="J6" s="1" t="s">
        <v>428</v>
      </c>
      <c r="K6" s="1" t="s">
        <v>441</v>
      </c>
      <c r="L6" s="1" t="s">
        <v>463</v>
      </c>
      <c r="M6" s="7" t="s">
        <v>464</v>
      </c>
    </row>
    <row r="7" spans="1:13" x14ac:dyDescent="0.25">
      <c r="A7" s="13">
        <v>45625</v>
      </c>
      <c r="B7" s="1" t="s">
        <v>664</v>
      </c>
      <c r="C7" s="1" t="s">
        <v>20</v>
      </c>
      <c r="D7" s="63" t="s">
        <v>22</v>
      </c>
      <c r="E7" s="63" t="s">
        <v>23</v>
      </c>
      <c r="F7" s="1" t="s">
        <v>107</v>
      </c>
      <c r="G7" s="1">
        <v>2</v>
      </c>
      <c r="H7" s="1" t="s">
        <v>652</v>
      </c>
      <c r="I7" s="1" t="s">
        <v>462</v>
      </c>
      <c r="J7" s="1" t="s">
        <v>428</v>
      </c>
      <c r="K7" s="1" t="s">
        <v>441</v>
      </c>
      <c r="L7" s="1" t="s">
        <v>463</v>
      </c>
      <c r="M7" s="7" t="s">
        <v>464</v>
      </c>
    </row>
    <row r="8" spans="1:13" x14ac:dyDescent="0.25">
      <c r="A8" s="13">
        <v>45625</v>
      </c>
      <c r="B8" s="1" t="s">
        <v>592</v>
      </c>
      <c r="C8" s="1" t="s">
        <v>15</v>
      </c>
      <c r="D8" s="63" t="s">
        <v>18</v>
      </c>
      <c r="E8" s="63" t="s">
        <v>19</v>
      </c>
      <c r="F8" s="1" t="s">
        <v>107</v>
      </c>
      <c r="G8" s="1">
        <v>1</v>
      </c>
      <c r="H8" s="1" t="s">
        <v>652</v>
      </c>
      <c r="I8" s="1" t="s">
        <v>462</v>
      </c>
      <c r="J8" s="1" t="s">
        <v>428</v>
      </c>
      <c r="K8" s="1" t="s">
        <v>441</v>
      </c>
      <c r="L8" s="1" t="s">
        <v>463</v>
      </c>
      <c r="M8" s="7" t="s">
        <v>464</v>
      </c>
    </row>
    <row r="9" spans="1:13" x14ac:dyDescent="0.25">
      <c r="A9" s="13">
        <v>45625</v>
      </c>
      <c r="B9" s="1" t="s">
        <v>592</v>
      </c>
      <c r="C9" s="1" t="s">
        <v>15</v>
      </c>
      <c r="D9" s="63" t="s">
        <v>18</v>
      </c>
      <c r="E9" s="63" t="s">
        <v>19</v>
      </c>
      <c r="F9" s="1" t="s">
        <v>159</v>
      </c>
      <c r="G9" s="1">
        <v>3</v>
      </c>
      <c r="H9" s="1" t="s">
        <v>652</v>
      </c>
      <c r="I9" s="1" t="s">
        <v>462</v>
      </c>
      <c r="J9" s="1" t="s">
        <v>428</v>
      </c>
      <c r="K9" s="1" t="s">
        <v>441</v>
      </c>
      <c r="L9" s="1" t="s">
        <v>463</v>
      </c>
      <c r="M9" s="7" t="s">
        <v>464</v>
      </c>
    </row>
    <row r="10" spans="1:13" ht="15" customHeight="1" x14ac:dyDescent="0.25">
      <c r="A10" s="13">
        <v>45625</v>
      </c>
      <c r="B10" s="1" t="s">
        <v>664</v>
      </c>
      <c r="C10" s="1" t="s">
        <v>20</v>
      </c>
      <c r="D10" s="63" t="s">
        <v>22</v>
      </c>
      <c r="E10" s="63" t="s">
        <v>23</v>
      </c>
      <c r="F10" s="1" t="s">
        <v>159</v>
      </c>
      <c r="G10" s="1">
        <v>2</v>
      </c>
      <c r="H10" s="1" t="s">
        <v>652</v>
      </c>
      <c r="I10" s="1" t="s">
        <v>465</v>
      </c>
      <c r="J10" s="1" t="s">
        <v>434</v>
      </c>
      <c r="K10" s="1" t="s">
        <v>431</v>
      </c>
      <c r="L10" s="1" t="s">
        <v>461</v>
      </c>
      <c r="M10" s="7" t="s">
        <v>648</v>
      </c>
    </row>
    <row r="11" spans="1:13" ht="15" customHeight="1" x14ac:dyDescent="0.25">
      <c r="A11" s="13">
        <v>45625</v>
      </c>
      <c r="B11" s="1" t="s">
        <v>664</v>
      </c>
      <c r="C11" s="1" t="s">
        <v>20</v>
      </c>
      <c r="D11" s="63" t="s">
        <v>22</v>
      </c>
      <c r="E11" s="63" t="s">
        <v>23</v>
      </c>
      <c r="F11" s="1" t="s">
        <v>159</v>
      </c>
      <c r="G11" s="1">
        <v>2</v>
      </c>
      <c r="H11" s="1" t="s">
        <v>652</v>
      </c>
      <c r="I11" s="1" t="s">
        <v>466</v>
      </c>
      <c r="J11" s="1" t="s">
        <v>442</v>
      </c>
      <c r="K11" s="1" t="s">
        <v>439</v>
      </c>
      <c r="L11" s="1" t="s">
        <v>463</v>
      </c>
      <c r="M11" s="7" t="s">
        <v>464</v>
      </c>
    </row>
    <row r="12" spans="1:13" ht="15" customHeight="1" x14ac:dyDescent="0.25">
      <c r="A12" s="13">
        <v>45625</v>
      </c>
      <c r="B12" s="1" t="s">
        <v>664</v>
      </c>
      <c r="C12" s="1" t="s">
        <v>20</v>
      </c>
      <c r="D12" s="63" t="s">
        <v>22</v>
      </c>
      <c r="E12" s="63" t="s">
        <v>23</v>
      </c>
      <c r="F12" s="1" t="s">
        <v>107</v>
      </c>
      <c r="G12" s="1">
        <v>2</v>
      </c>
      <c r="H12" s="1" t="s">
        <v>652</v>
      </c>
      <c r="I12" s="1" t="s">
        <v>466</v>
      </c>
      <c r="J12" s="1" t="s">
        <v>442</v>
      </c>
      <c r="K12" s="1" t="s">
        <v>439</v>
      </c>
      <c r="L12" s="1" t="s">
        <v>463</v>
      </c>
      <c r="M12" s="7" t="s">
        <v>464</v>
      </c>
    </row>
    <row r="13" spans="1:13" ht="15" customHeight="1" x14ac:dyDescent="0.25">
      <c r="A13" s="13">
        <v>45625</v>
      </c>
      <c r="B13" s="1" t="s">
        <v>664</v>
      </c>
      <c r="C13" s="1" t="s">
        <v>20</v>
      </c>
      <c r="D13" s="63" t="s">
        <v>22</v>
      </c>
      <c r="E13" s="63" t="s">
        <v>23</v>
      </c>
      <c r="F13" s="1" t="s">
        <v>107</v>
      </c>
      <c r="G13" s="1">
        <v>2</v>
      </c>
      <c r="H13" s="1" t="s">
        <v>652</v>
      </c>
      <c r="I13" s="1" t="s">
        <v>466</v>
      </c>
      <c r="J13" s="1" t="s">
        <v>442</v>
      </c>
      <c r="K13" s="1" t="s">
        <v>435</v>
      </c>
      <c r="L13" s="1" t="s">
        <v>463</v>
      </c>
      <c r="M13" s="7" t="s">
        <v>464</v>
      </c>
    </row>
    <row r="14" spans="1:13" ht="15" customHeight="1" x14ac:dyDescent="0.25">
      <c r="A14" s="13">
        <v>45625</v>
      </c>
      <c r="B14" s="1" t="s">
        <v>592</v>
      </c>
      <c r="C14" s="1" t="s">
        <v>15</v>
      </c>
      <c r="D14" s="63" t="s">
        <v>18</v>
      </c>
      <c r="E14" s="63" t="s">
        <v>19</v>
      </c>
      <c r="F14" s="1" t="s">
        <v>107</v>
      </c>
      <c r="G14" s="1">
        <v>1</v>
      </c>
      <c r="H14" s="1" t="s">
        <v>652</v>
      </c>
      <c r="I14" s="1" t="s">
        <v>466</v>
      </c>
      <c r="J14" s="1" t="s">
        <v>442</v>
      </c>
      <c r="K14" s="1" t="s">
        <v>435</v>
      </c>
      <c r="L14" s="1" t="s">
        <v>463</v>
      </c>
      <c r="M14" s="7" t="s">
        <v>464</v>
      </c>
    </row>
    <row r="15" spans="1:13" ht="15" customHeight="1" x14ac:dyDescent="0.25">
      <c r="A15" s="13">
        <v>45625</v>
      </c>
      <c r="B15" s="1" t="s">
        <v>592</v>
      </c>
      <c r="C15" s="1" t="s">
        <v>15</v>
      </c>
      <c r="D15" s="63" t="s">
        <v>18</v>
      </c>
      <c r="E15" s="63" t="s">
        <v>19</v>
      </c>
      <c r="F15" s="1" t="s">
        <v>107</v>
      </c>
      <c r="G15" s="1">
        <v>1</v>
      </c>
      <c r="H15" s="1" t="s">
        <v>652</v>
      </c>
      <c r="I15" s="1" t="s">
        <v>466</v>
      </c>
      <c r="J15" s="1" t="s">
        <v>442</v>
      </c>
      <c r="K15" s="1" t="s">
        <v>439</v>
      </c>
      <c r="L15" s="1" t="s">
        <v>463</v>
      </c>
      <c r="M15" s="7" t="s">
        <v>464</v>
      </c>
    </row>
    <row r="16" spans="1:13" ht="15" customHeight="1" x14ac:dyDescent="0.25">
      <c r="A16" s="13">
        <v>45625</v>
      </c>
      <c r="B16" s="1" t="s">
        <v>592</v>
      </c>
      <c r="C16" s="1" t="s">
        <v>15</v>
      </c>
      <c r="D16" s="63" t="s">
        <v>18</v>
      </c>
      <c r="E16" s="63" t="s">
        <v>19</v>
      </c>
      <c r="F16" s="1" t="s">
        <v>159</v>
      </c>
      <c r="G16" s="1">
        <v>3</v>
      </c>
      <c r="H16" s="1" t="s">
        <v>652</v>
      </c>
      <c r="I16" s="1" t="s">
        <v>466</v>
      </c>
      <c r="J16" s="1" t="s">
        <v>442</v>
      </c>
      <c r="K16" s="1" t="s">
        <v>439</v>
      </c>
      <c r="L16" s="1" t="s">
        <v>463</v>
      </c>
      <c r="M16" s="7" t="s">
        <v>464</v>
      </c>
    </row>
    <row r="17" spans="1:13" ht="15" customHeight="1" x14ac:dyDescent="0.25">
      <c r="A17" s="13">
        <v>45625</v>
      </c>
      <c r="B17" s="1" t="s">
        <v>592</v>
      </c>
      <c r="C17" s="1" t="s">
        <v>15</v>
      </c>
      <c r="D17" s="63" t="s">
        <v>18</v>
      </c>
      <c r="E17" s="63" t="s">
        <v>19</v>
      </c>
      <c r="F17" s="1" t="s">
        <v>107</v>
      </c>
      <c r="G17" s="1">
        <v>1</v>
      </c>
      <c r="H17" s="1" t="s">
        <v>653</v>
      </c>
      <c r="I17" s="1" t="s">
        <v>467</v>
      </c>
      <c r="J17" s="1" t="s">
        <v>444</v>
      </c>
      <c r="K17" s="1" t="s">
        <v>445</v>
      </c>
      <c r="L17" s="1" t="s">
        <v>463</v>
      </c>
      <c r="M17" s="7" t="s">
        <v>655</v>
      </c>
    </row>
    <row r="18" spans="1:13" ht="15" customHeight="1" x14ac:dyDescent="0.25">
      <c r="A18" s="13">
        <v>45625</v>
      </c>
      <c r="B18" s="1" t="s">
        <v>664</v>
      </c>
      <c r="C18" s="1" t="s">
        <v>20</v>
      </c>
      <c r="D18" s="63" t="s">
        <v>22</v>
      </c>
      <c r="E18" s="63" t="s">
        <v>23</v>
      </c>
      <c r="F18" s="1" t="s">
        <v>107</v>
      </c>
      <c r="G18" s="1">
        <v>2</v>
      </c>
      <c r="H18" s="1" t="s">
        <v>652</v>
      </c>
      <c r="I18" s="1" t="s">
        <v>468</v>
      </c>
      <c r="J18" s="1" t="s">
        <v>440</v>
      </c>
      <c r="K18" s="1" t="s">
        <v>437</v>
      </c>
      <c r="L18" s="1" t="s">
        <v>463</v>
      </c>
      <c r="M18" s="7" t="s">
        <v>649</v>
      </c>
    </row>
    <row r="19" spans="1:13" ht="15" customHeight="1" x14ac:dyDescent="0.25">
      <c r="A19" s="13">
        <v>45625</v>
      </c>
      <c r="B19" s="1" t="s">
        <v>664</v>
      </c>
      <c r="C19" s="1" t="s">
        <v>20</v>
      </c>
      <c r="D19" s="63" t="s">
        <v>22</v>
      </c>
      <c r="E19" s="63" t="s">
        <v>23</v>
      </c>
      <c r="F19" s="1" t="s">
        <v>107</v>
      </c>
      <c r="G19" s="1">
        <v>2</v>
      </c>
      <c r="H19" s="1" t="s">
        <v>654</v>
      </c>
      <c r="I19" s="1" t="s">
        <v>469</v>
      </c>
      <c r="J19" s="1" t="s">
        <v>430</v>
      </c>
      <c r="K19" s="1" t="s">
        <v>425</v>
      </c>
      <c r="L19" s="93" t="s">
        <v>461</v>
      </c>
      <c r="M19" s="82" t="s">
        <v>656</v>
      </c>
    </row>
    <row r="20" spans="1:13" ht="15" customHeight="1" x14ac:dyDescent="0.25">
      <c r="A20" s="13">
        <v>45625</v>
      </c>
      <c r="B20" s="1" t="s">
        <v>592</v>
      </c>
      <c r="C20" s="1" t="s">
        <v>15</v>
      </c>
      <c r="D20" s="63" t="s">
        <v>18</v>
      </c>
      <c r="E20" s="63" t="s">
        <v>19</v>
      </c>
      <c r="F20" s="1" t="s">
        <v>470</v>
      </c>
      <c r="G20" s="1">
        <v>3</v>
      </c>
      <c r="H20" s="1" t="s">
        <v>653</v>
      </c>
      <c r="I20" s="1" t="s">
        <v>467</v>
      </c>
      <c r="J20" s="1" t="s">
        <v>444</v>
      </c>
      <c r="K20" s="1" t="s">
        <v>443</v>
      </c>
      <c r="L20" s="1" t="s">
        <v>463</v>
      </c>
      <c r="M20" s="7" t="s">
        <v>657</v>
      </c>
    </row>
    <row r="21" spans="1:13" ht="15" customHeight="1" x14ac:dyDescent="0.25">
      <c r="A21" s="13">
        <v>45625</v>
      </c>
      <c r="B21" s="1" t="s">
        <v>592</v>
      </c>
      <c r="C21" s="1" t="s">
        <v>15</v>
      </c>
      <c r="D21" s="63" t="s">
        <v>18</v>
      </c>
      <c r="E21" s="63" t="s">
        <v>19</v>
      </c>
      <c r="F21" s="1" t="s">
        <v>107</v>
      </c>
      <c r="G21" s="1">
        <v>2</v>
      </c>
      <c r="H21" s="1" t="s">
        <v>652</v>
      </c>
      <c r="I21" s="1" t="s">
        <v>466</v>
      </c>
      <c r="J21" s="1" t="s">
        <v>446</v>
      </c>
      <c r="K21" s="1" t="s">
        <v>447</v>
      </c>
      <c r="L21" s="1" t="s">
        <v>461</v>
      </c>
      <c r="M21" s="7" t="s">
        <v>464</v>
      </c>
    </row>
    <row r="22" spans="1:13" ht="15" customHeight="1" x14ac:dyDescent="0.25">
      <c r="A22" s="13">
        <v>45625</v>
      </c>
      <c r="B22" s="1" t="s">
        <v>33</v>
      </c>
      <c r="C22" s="1" t="s">
        <v>177</v>
      </c>
      <c r="D22" s="63" t="s">
        <v>13</v>
      </c>
      <c r="E22" s="63" t="s">
        <v>14</v>
      </c>
      <c r="F22" s="1" t="s">
        <v>107</v>
      </c>
      <c r="G22" s="1">
        <v>1</v>
      </c>
      <c r="H22" s="1" t="s">
        <v>652</v>
      </c>
      <c r="I22" s="1" t="s">
        <v>466</v>
      </c>
      <c r="J22" s="1" t="s">
        <v>442</v>
      </c>
      <c r="K22" s="1" t="s">
        <v>439</v>
      </c>
      <c r="L22" s="1" t="s">
        <v>463</v>
      </c>
      <c r="M22" s="7" t="s">
        <v>464</v>
      </c>
    </row>
    <row r="23" spans="1:13" ht="15" customHeight="1" x14ac:dyDescent="0.25">
      <c r="A23" s="13">
        <v>45625</v>
      </c>
      <c r="B23" s="1" t="s">
        <v>33</v>
      </c>
      <c r="C23" s="1" t="s">
        <v>177</v>
      </c>
      <c r="D23" s="63" t="s">
        <v>13</v>
      </c>
      <c r="E23" s="63" t="s">
        <v>14</v>
      </c>
      <c r="F23" s="1" t="s">
        <v>107</v>
      </c>
      <c r="G23" s="1">
        <v>1</v>
      </c>
      <c r="H23" s="1" t="s">
        <v>652</v>
      </c>
      <c r="I23" s="1" t="s">
        <v>465</v>
      </c>
      <c r="J23" s="1" t="s">
        <v>434</v>
      </c>
      <c r="K23" s="1" t="s">
        <v>431</v>
      </c>
      <c r="L23" s="1" t="s">
        <v>461</v>
      </c>
      <c r="M23" s="7" t="s">
        <v>648</v>
      </c>
    </row>
    <row r="24" spans="1:13" ht="15" customHeight="1" x14ac:dyDescent="0.25">
      <c r="A24" s="13">
        <v>45625</v>
      </c>
      <c r="B24" s="1" t="s">
        <v>33</v>
      </c>
      <c r="C24" s="1" t="s">
        <v>177</v>
      </c>
      <c r="D24" s="63" t="s">
        <v>13</v>
      </c>
      <c r="E24" s="63" t="s">
        <v>14</v>
      </c>
      <c r="F24" s="1" t="s">
        <v>107</v>
      </c>
      <c r="G24" s="1">
        <v>1</v>
      </c>
      <c r="H24" s="1" t="s">
        <v>652</v>
      </c>
      <c r="I24" s="1" t="s">
        <v>466</v>
      </c>
      <c r="J24" s="1" t="s">
        <v>446</v>
      </c>
      <c r="K24" s="1" t="s">
        <v>447</v>
      </c>
      <c r="L24" s="1" t="s">
        <v>461</v>
      </c>
      <c r="M24" s="7" t="s">
        <v>464</v>
      </c>
    </row>
    <row r="25" spans="1:13" ht="15" customHeight="1" x14ac:dyDescent="0.25">
      <c r="A25" s="13">
        <v>45625</v>
      </c>
      <c r="B25" s="1" t="s">
        <v>33</v>
      </c>
      <c r="C25" s="1" t="s">
        <v>177</v>
      </c>
      <c r="D25" s="63" t="s">
        <v>13</v>
      </c>
      <c r="E25" s="63" t="s">
        <v>14</v>
      </c>
      <c r="F25" s="1" t="s">
        <v>107</v>
      </c>
      <c r="G25" s="1">
        <v>1</v>
      </c>
      <c r="H25" s="1" t="s">
        <v>652</v>
      </c>
      <c r="I25" s="1" t="s">
        <v>466</v>
      </c>
      <c r="J25" s="1" t="s">
        <v>450</v>
      </c>
      <c r="K25" s="1" t="s">
        <v>429</v>
      </c>
      <c r="L25" s="1" t="s">
        <v>461</v>
      </c>
      <c r="M25" s="7" t="s">
        <v>464</v>
      </c>
    </row>
    <row r="26" spans="1:13" ht="15" customHeight="1" x14ac:dyDescent="0.25">
      <c r="A26" s="13">
        <v>45625</v>
      </c>
      <c r="B26" s="1" t="s">
        <v>33</v>
      </c>
      <c r="C26" s="1" t="s">
        <v>177</v>
      </c>
      <c r="D26" s="63" t="s">
        <v>13</v>
      </c>
      <c r="E26" s="63" t="s">
        <v>14</v>
      </c>
      <c r="F26" s="1" t="s">
        <v>107</v>
      </c>
      <c r="G26" s="1">
        <v>3</v>
      </c>
      <c r="H26" s="1" t="s">
        <v>652</v>
      </c>
      <c r="I26" s="1" t="s">
        <v>466</v>
      </c>
      <c r="J26" s="1" t="s">
        <v>442</v>
      </c>
      <c r="K26" s="1" t="s">
        <v>439</v>
      </c>
      <c r="L26" s="1" t="s">
        <v>463</v>
      </c>
      <c r="M26" s="7" t="s">
        <v>464</v>
      </c>
    </row>
    <row r="27" spans="1:13" ht="15" customHeight="1" x14ac:dyDescent="0.25">
      <c r="A27" s="13">
        <v>45625</v>
      </c>
      <c r="B27" s="1" t="s">
        <v>33</v>
      </c>
      <c r="C27" s="1" t="s">
        <v>177</v>
      </c>
      <c r="D27" s="63" t="s">
        <v>13</v>
      </c>
      <c r="E27" s="63" t="s">
        <v>14</v>
      </c>
      <c r="F27" s="1" t="s">
        <v>107</v>
      </c>
      <c r="G27" s="1">
        <v>3</v>
      </c>
      <c r="H27" s="1" t="s">
        <v>652</v>
      </c>
      <c r="I27" s="1" t="s">
        <v>462</v>
      </c>
      <c r="J27" s="1" t="s">
        <v>428</v>
      </c>
      <c r="K27" s="1" t="s">
        <v>441</v>
      </c>
      <c r="L27" s="1" t="s">
        <v>463</v>
      </c>
      <c r="M27" s="7" t="s">
        <v>464</v>
      </c>
    </row>
    <row r="28" spans="1:13" ht="15" customHeight="1" x14ac:dyDescent="0.25">
      <c r="A28" s="13">
        <v>45625</v>
      </c>
      <c r="B28" s="1" t="s">
        <v>33</v>
      </c>
      <c r="C28" s="1" t="s">
        <v>177</v>
      </c>
      <c r="D28" s="63" t="s">
        <v>13</v>
      </c>
      <c r="E28" s="63" t="s">
        <v>14</v>
      </c>
      <c r="F28" s="1" t="s">
        <v>107</v>
      </c>
      <c r="G28" s="1">
        <v>3</v>
      </c>
      <c r="H28" s="1" t="s">
        <v>652</v>
      </c>
      <c r="I28" s="1" t="s">
        <v>466</v>
      </c>
      <c r="J28" s="1" t="s">
        <v>426</v>
      </c>
      <c r="K28" s="1" t="s">
        <v>433</v>
      </c>
      <c r="L28" s="1" t="s">
        <v>461</v>
      </c>
      <c r="M28" s="7" t="s">
        <v>649</v>
      </c>
    </row>
    <row r="29" spans="1:13" ht="15" customHeight="1" x14ac:dyDescent="0.25">
      <c r="A29" s="13">
        <v>45625</v>
      </c>
      <c r="B29" s="1" t="s">
        <v>33</v>
      </c>
      <c r="C29" s="1" t="s">
        <v>177</v>
      </c>
      <c r="D29" s="63" t="s">
        <v>13</v>
      </c>
      <c r="E29" s="63" t="s">
        <v>14</v>
      </c>
      <c r="F29" s="1" t="s">
        <v>107</v>
      </c>
      <c r="G29" s="1">
        <v>3</v>
      </c>
      <c r="H29" s="1" t="s">
        <v>652</v>
      </c>
      <c r="I29" s="1" t="s">
        <v>460</v>
      </c>
      <c r="J29" s="1" t="s">
        <v>432</v>
      </c>
      <c r="K29" s="1" t="s">
        <v>427</v>
      </c>
      <c r="L29" s="1" t="s">
        <v>461</v>
      </c>
      <c r="M29" s="7" t="s">
        <v>648</v>
      </c>
    </row>
    <row r="30" spans="1:13" ht="15" customHeight="1" x14ac:dyDescent="0.25">
      <c r="A30" s="13">
        <v>45625</v>
      </c>
      <c r="B30" s="1" t="s">
        <v>33</v>
      </c>
      <c r="C30" s="1" t="s">
        <v>177</v>
      </c>
      <c r="D30" s="63" t="s">
        <v>13</v>
      </c>
      <c r="E30" s="63" t="s">
        <v>14</v>
      </c>
      <c r="F30" s="1" t="s">
        <v>107</v>
      </c>
      <c r="G30" s="1">
        <v>3</v>
      </c>
      <c r="H30" s="1" t="s">
        <v>652</v>
      </c>
      <c r="I30" s="1" t="s">
        <v>468</v>
      </c>
      <c r="J30" s="1" t="s">
        <v>440</v>
      </c>
      <c r="K30" s="1" t="s">
        <v>437</v>
      </c>
      <c r="L30" s="1" t="s">
        <v>463</v>
      </c>
      <c r="M30" s="7" t="s">
        <v>649</v>
      </c>
    </row>
    <row r="31" spans="1:13" ht="15" customHeight="1" x14ac:dyDescent="0.25">
      <c r="A31" s="13">
        <v>45625</v>
      </c>
      <c r="B31" s="1" t="s">
        <v>33</v>
      </c>
      <c r="C31" s="1" t="s">
        <v>177</v>
      </c>
      <c r="D31" s="63" t="s">
        <v>13</v>
      </c>
      <c r="E31" s="63" t="s">
        <v>14</v>
      </c>
      <c r="F31" s="1" t="s">
        <v>107</v>
      </c>
      <c r="G31" s="1">
        <v>2</v>
      </c>
      <c r="H31" s="1" t="s">
        <v>652</v>
      </c>
      <c r="I31" s="1" t="s">
        <v>466</v>
      </c>
      <c r="J31" s="1" t="s">
        <v>442</v>
      </c>
      <c r="K31" s="1" t="s">
        <v>439</v>
      </c>
      <c r="L31" s="1" t="s">
        <v>463</v>
      </c>
      <c r="M31" s="7" t="s">
        <v>464</v>
      </c>
    </row>
    <row r="32" spans="1:13" ht="15" customHeight="1" x14ac:dyDescent="0.25">
      <c r="A32" s="13">
        <v>45625</v>
      </c>
      <c r="B32" s="1" t="s">
        <v>33</v>
      </c>
      <c r="C32" s="1" t="s">
        <v>177</v>
      </c>
      <c r="D32" s="63" t="s">
        <v>13</v>
      </c>
      <c r="E32" s="63" t="s">
        <v>14</v>
      </c>
      <c r="F32" s="1" t="s">
        <v>107</v>
      </c>
      <c r="G32" s="1">
        <v>2</v>
      </c>
      <c r="H32" s="1" t="s">
        <v>652</v>
      </c>
      <c r="I32" s="1" t="s">
        <v>466</v>
      </c>
      <c r="J32" s="1" t="s">
        <v>446</v>
      </c>
      <c r="K32" s="1" t="s">
        <v>447</v>
      </c>
      <c r="L32" s="1" t="s">
        <v>461</v>
      </c>
      <c r="M32" s="7" t="s">
        <v>464</v>
      </c>
    </row>
    <row r="33" spans="1:13" ht="15" customHeight="1" x14ac:dyDescent="0.25">
      <c r="A33" s="13">
        <v>45625</v>
      </c>
      <c r="B33" s="1" t="s">
        <v>33</v>
      </c>
      <c r="C33" s="1" t="s">
        <v>177</v>
      </c>
      <c r="D33" s="63" t="s">
        <v>13</v>
      </c>
      <c r="E33" s="63" t="s">
        <v>14</v>
      </c>
      <c r="F33" s="1" t="s">
        <v>107</v>
      </c>
      <c r="G33" s="1">
        <v>2</v>
      </c>
      <c r="H33" s="1" t="s">
        <v>652</v>
      </c>
      <c r="I33" s="1" t="s">
        <v>466</v>
      </c>
      <c r="J33" s="1" t="s">
        <v>442</v>
      </c>
      <c r="K33" s="1" t="s">
        <v>435</v>
      </c>
      <c r="L33" s="1" t="s">
        <v>463</v>
      </c>
      <c r="M33" s="7" t="s">
        <v>464</v>
      </c>
    </row>
    <row r="34" spans="1:13" ht="15" customHeight="1" x14ac:dyDescent="0.25">
      <c r="A34" s="13">
        <v>45625</v>
      </c>
      <c r="B34" s="1" t="s">
        <v>33</v>
      </c>
      <c r="C34" s="1" t="s">
        <v>177</v>
      </c>
      <c r="D34" s="63" t="s">
        <v>13</v>
      </c>
      <c r="E34" s="63" t="s">
        <v>14</v>
      </c>
      <c r="F34" s="1" t="s">
        <v>107</v>
      </c>
      <c r="G34" s="1">
        <v>2</v>
      </c>
      <c r="H34" s="1" t="s">
        <v>652</v>
      </c>
      <c r="I34" s="1" t="s">
        <v>465</v>
      </c>
      <c r="J34" s="1" t="s">
        <v>434</v>
      </c>
      <c r="K34" s="1" t="s">
        <v>431</v>
      </c>
      <c r="L34" s="1" t="s">
        <v>461</v>
      </c>
      <c r="M34" s="7" t="s">
        <v>648</v>
      </c>
    </row>
    <row r="35" spans="1:13" ht="15" customHeight="1" x14ac:dyDescent="0.25">
      <c r="A35" s="13">
        <v>45779</v>
      </c>
      <c r="B35" s="1" t="s">
        <v>664</v>
      </c>
      <c r="C35" s="1" t="s">
        <v>219</v>
      </c>
      <c r="D35" s="63" t="s">
        <v>27</v>
      </c>
      <c r="E35" s="63" t="s">
        <v>28</v>
      </c>
      <c r="F35" s="1" t="s">
        <v>471</v>
      </c>
      <c r="G35" s="1">
        <v>1</v>
      </c>
      <c r="H35" s="1" t="s">
        <v>652</v>
      </c>
      <c r="I35" s="1" t="s">
        <v>465</v>
      </c>
      <c r="J35" s="1" t="s">
        <v>434</v>
      </c>
      <c r="K35" s="1" t="s">
        <v>431</v>
      </c>
      <c r="L35" s="1" t="s">
        <v>461</v>
      </c>
      <c r="M35" s="7" t="s">
        <v>648</v>
      </c>
    </row>
    <row r="36" spans="1:13" ht="15" customHeight="1" x14ac:dyDescent="0.25">
      <c r="A36" s="13">
        <v>45779</v>
      </c>
      <c r="B36" s="1" t="s">
        <v>664</v>
      </c>
      <c r="C36" s="1" t="s">
        <v>219</v>
      </c>
      <c r="D36" s="63" t="s">
        <v>27</v>
      </c>
      <c r="E36" s="63" t="s">
        <v>28</v>
      </c>
      <c r="F36" s="1" t="s">
        <v>470</v>
      </c>
      <c r="G36" s="1">
        <v>3</v>
      </c>
      <c r="H36" s="1" t="s">
        <v>652</v>
      </c>
      <c r="I36" s="1" t="s">
        <v>460</v>
      </c>
      <c r="J36" s="1" t="s">
        <v>424</v>
      </c>
      <c r="K36" s="1" t="s">
        <v>423</v>
      </c>
      <c r="L36" s="1" t="s">
        <v>461</v>
      </c>
      <c r="M36" s="7" t="s">
        <v>648</v>
      </c>
    </row>
    <row r="37" spans="1:13" ht="15" customHeight="1" x14ac:dyDescent="0.25">
      <c r="A37" s="13">
        <v>45779</v>
      </c>
      <c r="B37" s="1" t="s">
        <v>664</v>
      </c>
      <c r="C37" s="1" t="s">
        <v>219</v>
      </c>
      <c r="D37" s="63" t="s">
        <v>27</v>
      </c>
      <c r="E37" s="63" t="s">
        <v>28</v>
      </c>
      <c r="F37" s="1" t="s">
        <v>470</v>
      </c>
      <c r="G37" s="1">
        <v>1</v>
      </c>
      <c r="H37" s="1" t="s">
        <v>652</v>
      </c>
      <c r="I37" s="1" t="s">
        <v>466</v>
      </c>
      <c r="J37" s="1" t="s">
        <v>446</v>
      </c>
      <c r="K37" s="1" t="s">
        <v>447</v>
      </c>
      <c r="L37" s="1" t="s">
        <v>461</v>
      </c>
      <c r="M37" s="7" t="s">
        <v>464</v>
      </c>
    </row>
    <row r="38" spans="1:13" ht="15" customHeight="1" x14ac:dyDescent="0.25">
      <c r="A38" s="13">
        <v>45779</v>
      </c>
      <c r="B38" s="1" t="s">
        <v>664</v>
      </c>
      <c r="C38" s="1" t="s">
        <v>219</v>
      </c>
      <c r="D38" s="63" t="s">
        <v>27</v>
      </c>
      <c r="E38" s="63" t="s">
        <v>28</v>
      </c>
      <c r="F38" s="1" t="s">
        <v>471</v>
      </c>
      <c r="G38" s="1">
        <v>1</v>
      </c>
      <c r="H38" s="1" t="s">
        <v>652</v>
      </c>
      <c r="I38" s="1" t="s">
        <v>466</v>
      </c>
      <c r="J38" s="1" t="s">
        <v>446</v>
      </c>
      <c r="K38" s="1" t="s">
        <v>447</v>
      </c>
      <c r="L38" s="1" t="s">
        <v>461</v>
      </c>
      <c r="M38" s="7" t="s">
        <v>464</v>
      </c>
    </row>
    <row r="39" spans="1:13" ht="15" customHeight="1" x14ac:dyDescent="0.25">
      <c r="A39" s="13">
        <v>45779</v>
      </c>
      <c r="B39" s="1" t="s">
        <v>664</v>
      </c>
      <c r="C39" s="1" t="s">
        <v>219</v>
      </c>
      <c r="D39" s="63" t="s">
        <v>27</v>
      </c>
      <c r="E39" s="63" t="s">
        <v>28</v>
      </c>
      <c r="F39" s="1" t="s">
        <v>471</v>
      </c>
      <c r="G39" s="1">
        <v>1</v>
      </c>
      <c r="H39" s="1" t="s">
        <v>652</v>
      </c>
      <c r="I39" s="1" t="s">
        <v>466</v>
      </c>
      <c r="J39" s="1" t="s">
        <v>442</v>
      </c>
      <c r="K39" s="1" t="s">
        <v>439</v>
      </c>
      <c r="L39" s="1" t="s">
        <v>463</v>
      </c>
      <c r="M39" s="7" t="s">
        <v>464</v>
      </c>
    </row>
    <row r="40" spans="1:13" ht="15" customHeight="1" x14ac:dyDescent="0.25">
      <c r="A40" s="13">
        <v>45779</v>
      </c>
      <c r="B40" s="1" t="s">
        <v>592</v>
      </c>
      <c r="C40" s="1" t="s">
        <v>15</v>
      </c>
      <c r="D40" s="63" t="s">
        <v>18</v>
      </c>
      <c r="E40" s="63" t="s">
        <v>19</v>
      </c>
      <c r="F40" s="1" t="s">
        <v>472</v>
      </c>
      <c r="G40" s="1">
        <v>3</v>
      </c>
      <c r="H40" s="1" t="s">
        <v>652</v>
      </c>
      <c r="I40" s="1" t="s">
        <v>460</v>
      </c>
      <c r="J40" s="1" t="s">
        <v>432</v>
      </c>
      <c r="K40" s="1" t="s">
        <v>427</v>
      </c>
      <c r="L40" s="1" t="s">
        <v>461</v>
      </c>
      <c r="M40" s="7" t="s">
        <v>648</v>
      </c>
    </row>
    <row r="41" spans="1:13" ht="15" customHeight="1" x14ac:dyDescent="0.25">
      <c r="A41" s="13">
        <v>45779</v>
      </c>
      <c r="B41" s="1" t="s">
        <v>592</v>
      </c>
      <c r="C41" s="1" t="s">
        <v>15</v>
      </c>
      <c r="D41" s="63" t="s">
        <v>18</v>
      </c>
      <c r="E41" s="63" t="s">
        <v>19</v>
      </c>
      <c r="F41" s="1" t="s">
        <v>473</v>
      </c>
      <c r="G41" s="1">
        <v>1</v>
      </c>
      <c r="H41" s="1" t="s">
        <v>652</v>
      </c>
      <c r="I41" s="1" t="s">
        <v>465</v>
      </c>
      <c r="J41" s="1" t="s">
        <v>434</v>
      </c>
      <c r="K41" s="1" t="s">
        <v>431</v>
      </c>
      <c r="L41" s="1" t="s">
        <v>461</v>
      </c>
      <c r="M41" s="7" t="s">
        <v>648</v>
      </c>
    </row>
    <row r="42" spans="1:13" ht="15" customHeight="1" x14ac:dyDescent="0.25">
      <c r="A42" s="13">
        <v>45779</v>
      </c>
      <c r="B42" s="1" t="s">
        <v>592</v>
      </c>
      <c r="C42" s="1" t="s">
        <v>15</v>
      </c>
      <c r="D42" s="63" t="s">
        <v>18</v>
      </c>
      <c r="E42" s="63" t="s">
        <v>19</v>
      </c>
      <c r="F42" s="1" t="s">
        <v>472</v>
      </c>
      <c r="G42" s="1">
        <v>3</v>
      </c>
      <c r="H42" s="1" t="s">
        <v>652</v>
      </c>
      <c r="I42" s="1" t="s">
        <v>466</v>
      </c>
      <c r="J42" s="1" t="s">
        <v>442</v>
      </c>
      <c r="K42" s="1" t="s">
        <v>435</v>
      </c>
      <c r="L42" s="1" t="s">
        <v>463</v>
      </c>
      <c r="M42" s="7" t="s">
        <v>464</v>
      </c>
    </row>
    <row r="43" spans="1:13" ht="15" customHeight="1" x14ac:dyDescent="0.25">
      <c r="A43" s="13">
        <v>45779</v>
      </c>
      <c r="B43" s="1" t="s">
        <v>592</v>
      </c>
      <c r="C43" s="1" t="s">
        <v>15</v>
      </c>
      <c r="D43" s="63" t="s">
        <v>18</v>
      </c>
      <c r="E43" s="63" t="s">
        <v>19</v>
      </c>
      <c r="F43" s="1" t="s">
        <v>472</v>
      </c>
      <c r="G43" s="1">
        <v>3</v>
      </c>
      <c r="H43" s="1" t="s">
        <v>652</v>
      </c>
      <c r="I43" s="1" t="s">
        <v>468</v>
      </c>
      <c r="J43" s="1" t="s">
        <v>440</v>
      </c>
      <c r="K43" s="1" t="s">
        <v>437</v>
      </c>
      <c r="L43" s="1" t="s">
        <v>463</v>
      </c>
      <c r="M43" s="7" t="s">
        <v>649</v>
      </c>
    </row>
    <row r="44" spans="1:13" ht="15" customHeight="1" x14ac:dyDescent="0.25">
      <c r="A44" s="13">
        <v>45779</v>
      </c>
      <c r="B44" s="1" t="s">
        <v>592</v>
      </c>
      <c r="C44" s="1" t="s">
        <v>15</v>
      </c>
      <c r="D44" s="63" t="s">
        <v>18</v>
      </c>
      <c r="E44" s="63" t="s">
        <v>19</v>
      </c>
      <c r="F44" s="1" t="s">
        <v>472</v>
      </c>
      <c r="G44" s="1">
        <v>3</v>
      </c>
      <c r="H44" s="1" t="s">
        <v>652</v>
      </c>
      <c r="I44" s="1" t="s">
        <v>466</v>
      </c>
      <c r="J44" s="1" t="s">
        <v>442</v>
      </c>
      <c r="K44" s="1" t="s">
        <v>439</v>
      </c>
      <c r="L44" s="1" t="s">
        <v>463</v>
      </c>
      <c r="M44" s="7" t="s">
        <v>464</v>
      </c>
    </row>
    <row r="45" spans="1:13" ht="15" customHeight="1" x14ac:dyDescent="0.25">
      <c r="A45" s="13">
        <v>45779</v>
      </c>
      <c r="B45" s="1" t="s">
        <v>592</v>
      </c>
      <c r="C45" s="1" t="s">
        <v>15</v>
      </c>
      <c r="D45" s="63" t="s">
        <v>18</v>
      </c>
      <c r="E45" s="63" t="s">
        <v>19</v>
      </c>
      <c r="F45" s="1" t="s">
        <v>473</v>
      </c>
      <c r="G45" s="1">
        <v>1</v>
      </c>
      <c r="H45" s="1" t="s">
        <v>652</v>
      </c>
      <c r="I45" s="1" t="s">
        <v>466</v>
      </c>
      <c r="J45" s="1" t="s">
        <v>442</v>
      </c>
      <c r="K45" s="1" t="s">
        <v>439</v>
      </c>
      <c r="L45" s="1" t="s">
        <v>463</v>
      </c>
      <c r="M45" s="7" t="s">
        <v>464</v>
      </c>
    </row>
    <row r="46" spans="1:13" ht="15" customHeight="1" x14ac:dyDescent="0.25">
      <c r="A46" s="13">
        <v>45779</v>
      </c>
      <c r="B46" s="1" t="s">
        <v>592</v>
      </c>
      <c r="C46" s="1" t="s">
        <v>15</v>
      </c>
      <c r="D46" s="63" t="s">
        <v>18</v>
      </c>
      <c r="E46" s="63" t="s">
        <v>19</v>
      </c>
      <c r="F46" s="1" t="s">
        <v>472</v>
      </c>
      <c r="G46" s="1">
        <v>3</v>
      </c>
      <c r="H46" s="1" t="s">
        <v>652</v>
      </c>
      <c r="I46" s="1" t="s">
        <v>462</v>
      </c>
      <c r="J46" s="1" t="s">
        <v>428</v>
      </c>
      <c r="K46" s="1" t="s">
        <v>441</v>
      </c>
      <c r="L46" s="1" t="s">
        <v>463</v>
      </c>
      <c r="M46" s="7" t="s">
        <v>464</v>
      </c>
    </row>
    <row r="47" spans="1:13" ht="15" customHeight="1" x14ac:dyDescent="0.25">
      <c r="A47" s="13">
        <v>45779</v>
      </c>
      <c r="B47" s="1" t="s">
        <v>592</v>
      </c>
      <c r="C47" s="1" t="s">
        <v>15</v>
      </c>
      <c r="D47" s="63" t="s">
        <v>18</v>
      </c>
      <c r="E47" s="63" t="s">
        <v>19</v>
      </c>
      <c r="F47" s="1" t="s">
        <v>472</v>
      </c>
      <c r="G47" s="1">
        <v>3</v>
      </c>
      <c r="H47" s="1" t="s">
        <v>652</v>
      </c>
      <c r="I47" s="1" t="s">
        <v>466</v>
      </c>
      <c r="J47" s="1" t="s">
        <v>446</v>
      </c>
      <c r="K47" s="1" t="s">
        <v>447</v>
      </c>
      <c r="L47" s="1" t="s">
        <v>461</v>
      </c>
      <c r="M47" s="7" t="s">
        <v>464</v>
      </c>
    </row>
    <row r="48" spans="1:13" ht="15" customHeight="1" x14ac:dyDescent="0.25">
      <c r="A48" s="13">
        <v>45779</v>
      </c>
      <c r="B48" s="1" t="s">
        <v>592</v>
      </c>
      <c r="C48" s="1" t="s">
        <v>15</v>
      </c>
      <c r="D48" s="63" t="s">
        <v>18</v>
      </c>
      <c r="E48" s="63" t="s">
        <v>19</v>
      </c>
      <c r="F48" s="1" t="s">
        <v>472</v>
      </c>
      <c r="G48" s="1">
        <v>1</v>
      </c>
      <c r="H48" s="1" t="s">
        <v>652</v>
      </c>
      <c r="I48" s="1" t="s">
        <v>468</v>
      </c>
      <c r="J48" s="1" t="s">
        <v>440</v>
      </c>
      <c r="K48" s="1" t="s">
        <v>437</v>
      </c>
      <c r="L48" s="1" t="s">
        <v>463</v>
      </c>
      <c r="M48" s="7" t="s">
        <v>649</v>
      </c>
    </row>
    <row r="49" spans="1:13" ht="15" customHeight="1" x14ac:dyDescent="0.25">
      <c r="A49" s="13">
        <v>45779</v>
      </c>
      <c r="B49" s="1" t="s">
        <v>592</v>
      </c>
      <c r="C49" s="1" t="s">
        <v>15</v>
      </c>
      <c r="D49" s="63" t="s">
        <v>18</v>
      </c>
      <c r="E49" s="63" t="s">
        <v>19</v>
      </c>
      <c r="F49" s="1" t="s">
        <v>472</v>
      </c>
      <c r="G49" s="1">
        <v>2</v>
      </c>
      <c r="H49" s="1" t="s">
        <v>652</v>
      </c>
      <c r="I49" s="1" t="s">
        <v>466</v>
      </c>
      <c r="J49" s="1" t="s">
        <v>442</v>
      </c>
      <c r="K49" s="1" t="s">
        <v>439</v>
      </c>
      <c r="L49" s="1" t="s">
        <v>463</v>
      </c>
      <c r="M49" s="7" t="s">
        <v>464</v>
      </c>
    </row>
    <row r="50" spans="1:13" ht="15" customHeight="1" x14ac:dyDescent="0.25">
      <c r="A50" s="13">
        <v>45779</v>
      </c>
      <c r="B50" s="1" t="s">
        <v>592</v>
      </c>
      <c r="C50" s="1" t="s">
        <v>15</v>
      </c>
      <c r="D50" s="63" t="s">
        <v>18</v>
      </c>
      <c r="E50" s="63" t="s">
        <v>19</v>
      </c>
      <c r="F50" s="1" t="s">
        <v>472</v>
      </c>
      <c r="G50" s="1">
        <v>1</v>
      </c>
      <c r="H50" s="1" t="s">
        <v>652</v>
      </c>
      <c r="I50" s="1" t="s">
        <v>466</v>
      </c>
      <c r="J50" s="1" t="s">
        <v>442</v>
      </c>
      <c r="K50" s="1" t="s">
        <v>439</v>
      </c>
      <c r="L50" s="1" t="s">
        <v>463</v>
      </c>
      <c r="M50" s="7" t="s">
        <v>464</v>
      </c>
    </row>
    <row r="51" spans="1:13" ht="15" customHeight="1" x14ac:dyDescent="0.25">
      <c r="A51" s="13">
        <v>45779</v>
      </c>
      <c r="B51" s="1" t="s">
        <v>664</v>
      </c>
      <c r="C51" s="1" t="s">
        <v>20</v>
      </c>
      <c r="D51" s="63" t="s">
        <v>22</v>
      </c>
      <c r="E51" s="63" t="s">
        <v>23</v>
      </c>
      <c r="F51" s="1" t="s">
        <v>470</v>
      </c>
      <c r="G51" s="1">
        <v>1</v>
      </c>
      <c r="H51" s="1" t="s">
        <v>654</v>
      </c>
      <c r="I51" s="1" t="s">
        <v>474</v>
      </c>
      <c r="J51" s="1" t="s">
        <v>448</v>
      </c>
      <c r="K51" s="1" t="s">
        <v>449</v>
      </c>
      <c r="L51" s="1" t="s">
        <v>463</v>
      </c>
      <c r="M51" s="7" t="s">
        <v>655</v>
      </c>
    </row>
    <row r="52" spans="1:13" ht="15" customHeight="1" x14ac:dyDescent="0.25">
      <c r="A52" s="13">
        <v>45779</v>
      </c>
      <c r="B52" s="1" t="s">
        <v>664</v>
      </c>
      <c r="C52" s="1" t="s">
        <v>20</v>
      </c>
      <c r="D52" s="63" t="s">
        <v>22</v>
      </c>
      <c r="E52" s="63" t="s">
        <v>23</v>
      </c>
      <c r="F52" s="1" t="s">
        <v>470</v>
      </c>
      <c r="G52" s="1">
        <v>2</v>
      </c>
      <c r="H52" s="1" t="s">
        <v>652</v>
      </c>
      <c r="I52" s="1" t="s">
        <v>466</v>
      </c>
      <c r="J52" s="1" t="s">
        <v>442</v>
      </c>
      <c r="K52" s="1" t="s">
        <v>439</v>
      </c>
      <c r="L52" s="1" t="s">
        <v>463</v>
      </c>
      <c r="M52" s="7" t="s">
        <v>464</v>
      </c>
    </row>
    <row r="53" spans="1:13" ht="15" customHeight="1" x14ac:dyDescent="0.25">
      <c r="A53" s="13">
        <v>45779</v>
      </c>
      <c r="B53" s="1" t="s">
        <v>664</v>
      </c>
      <c r="C53" s="1" t="s">
        <v>20</v>
      </c>
      <c r="D53" s="63" t="s">
        <v>22</v>
      </c>
      <c r="E53" s="63" t="s">
        <v>23</v>
      </c>
      <c r="F53" s="1" t="s">
        <v>470</v>
      </c>
      <c r="G53" s="1">
        <v>2</v>
      </c>
      <c r="H53" s="1" t="s">
        <v>652</v>
      </c>
      <c r="I53" s="1" t="s">
        <v>462</v>
      </c>
      <c r="J53" s="1" t="s">
        <v>428</v>
      </c>
      <c r="K53" s="1" t="s">
        <v>441</v>
      </c>
      <c r="L53" s="1" t="s">
        <v>463</v>
      </c>
      <c r="M53" s="7" t="s">
        <v>464</v>
      </c>
    </row>
    <row r="54" spans="1:13" ht="15" customHeight="1" x14ac:dyDescent="0.25">
      <c r="A54" s="13">
        <v>45779</v>
      </c>
      <c r="B54" s="1" t="s">
        <v>664</v>
      </c>
      <c r="C54" s="1" t="s">
        <v>20</v>
      </c>
      <c r="D54" s="63" t="s">
        <v>22</v>
      </c>
      <c r="E54" s="63" t="s">
        <v>23</v>
      </c>
      <c r="F54" s="1" t="s">
        <v>470</v>
      </c>
      <c r="G54" s="1">
        <v>1</v>
      </c>
      <c r="H54" s="1" t="s">
        <v>652</v>
      </c>
      <c r="I54" s="1" t="s">
        <v>466</v>
      </c>
      <c r="J54" s="1" t="s">
        <v>442</v>
      </c>
      <c r="K54" s="1" t="s">
        <v>439</v>
      </c>
      <c r="L54" s="1" t="s">
        <v>463</v>
      </c>
      <c r="M54" s="7" t="s">
        <v>464</v>
      </c>
    </row>
    <row r="55" spans="1:13" ht="15" customHeight="1" x14ac:dyDescent="0.25">
      <c r="A55" s="13">
        <v>45779</v>
      </c>
      <c r="B55" s="1" t="s">
        <v>664</v>
      </c>
      <c r="C55" s="1" t="s">
        <v>20</v>
      </c>
      <c r="D55" s="63" t="s">
        <v>22</v>
      </c>
      <c r="E55" s="63" t="s">
        <v>23</v>
      </c>
      <c r="F55" s="1" t="s">
        <v>470</v>
      </c>
      <c r="G55" s="1">
        <v>1</v>
      </c>
      <c r="H55" s="1" t="s">
        <v>652</v>
      </c>
      <c r="I55" s="1" t="s">
        <v>475</v>
      </c>
      <c r="J55" s="1" t="s">
        <v>436</v>
      </c>
      <c r="K55" s="1" t="s">
        <v>451</v>
      </c>
      <c r="L55" s="1" t="s">
        <v>463</v>
      </c>
      <c r="M55" s="7" t="s">
        <v>649</v>
      </c>
    </row>
    <row r="56" spans="1:13" ht="15" customHeight="1" x14ac:dyDescent="0.25">
      <c r="A56" s="13">
        <v>45779</v>
      </c>
      <c r="B56" s="1" t="s">
        <v>664</v>
      </c>
      <c r="C56" s="1" t="s">
        <v>20</v>
      </c>
      <c r="D56" s="63" t="s">
        <v>22</v>
      </c>
      <c r="E56" s="63" t="s">
        <v>23</v>
      </c>
      <c r="F56" s="1" t="s">
        <v>470</v>
      </c>
      <c r="G56" s="1">
        <v>1</v>
      </c>
      <c r="H56" s="1" t="s">
        <v>652</v>
      </c>
      <c r="I56" s="1" t="s">
        <v>465</v>
      </c>
      <c r="J56" s="1" t="s">
        <v>434</v>
      </c>
      <c r="K56" s="1" t="s">
        <v>431</v>
      </c>
      <c r="L56" s="1" t="s">
        <v>461</v>
      </c>
      <c r="M56" s="7" t="s">
        <v>648</v>
      </c>
    </row>
    <row r="57" spans="1:13" ht="15" customHeight="1" x14ac:dyDescent="0.25">
      <c r="A57" s="13">
        <v>45779</v>
      </c>
      <c r="B57" s="1" t="s">
        <v>664</v>
      </c>
      <c r="C57" s="1" t="s">
        <v>20</v>
      </c>
      <c r="D57" s="63" t="s">
        <v>22</v>
      </c>
      <c r="E57" s="63" t="s">
        <v>23</v>
      </c>
      <c r="F57" s="1" t="s">
        <v>107</v>
      </c>
      <c r="G57" s="1">
        <v>2</v>
      </c>
      <c r="H57" s="1" t="s">
        <v>652</v>
      </c>
      <c r="I57" s="1" t="s">
        <v>465</v>
      </c>
      <c r="J57" s="1" t="s">
        <v>434</v>
      </c>
      <c r="K57" s="1" t="s">
        <v>431</v>
      </c>
      <c r="L57" s="1" t="s">
        <v>461</v>
      </c>
      <c r="M57" s="7" t="s">
        <v>648</v>
      </c>
    </row>
    <row r="58" spans="1:13" ht="15" customHeight="1" x14ac:dyDescent="0.25">
      <c r="A58" s="13">
        <v>45779</v>
      </c>
      <c r="B58" s="1" t="s">
        <v>664</v>
      </c>
      <c r="C58" s="1" t="s">
        <v>20</v>
      </c>
      <c r="D58" s="63" t="s">
        <v>22</v>
      </c>
      <c r="E58" s="63" t="s">
        <v>23</v>
      </c>
      <c r="F58" s="1" t="s">
        <v>107</v>
      </c>
      <c r="G58" s="1">
        <v>2</v>
      </c>
      <c r="H58" s="1" t="s">
        <v>652</v>
      </c>
      <c r="I58" s="1" t="s">
        <v>468</v>
      </c>
      <c r="J58" s="1" t="s">
        <v>440</v>
      </c>
      <c r="K58" s="1" t="s">
        <v>437</v>
      </c>
      <c r="L58" s="1" t="s">
        <v>463</v>
      </c>
      <c r="M58" s="7" t="s">
        <v>649</v>
      </c>
    </row>
    <row r="59" spans="1:13" ht="15" customHeight="1" x14ac:dyDescent="0.25">
      <c r="A59" s="13">
        <v>45779</v>
      </c>
      <c r="B59" s="1" t="s">
        <v>664</v>
      </c>
      <c r="C59" s="1" t="s">
        <v>20</v>
      </c>
      <c r="D59" s="63" t="s">
        <v>22</v>
      </c>
      <c r="E59" s="63" t="s">
        <v>23</v>
      </c>
      <c r="F59" s="1" t="s">
        <v>159</v>
      </c>
      <c r="G59" s="1">
        <v>3</v>
      </c>
      <c r="H59" s="1" t="s">
        <v>652</v>
      </c>
      <c r="I59" s="1" t="s">
        <v>468</v>
      </c>
      <c r="J59" s="1" t="s">
        <v>440</v>
      </c>
      <c r="K59" s="1" t="s">
        <v>437</v>
      </c>
      <c r="L59" s="1" t="s">
        <v>463</v>
      </c>
      <c r="M59" s="7" t="s">
        <v>649</v>
      </c>
    </row>
    <row r="60" spans="1:13" ht="15" customHeight="1" x14ac:dyDescent="0.25">
      <c r="A60" s="13">
        <v>45779</v>
      </c>
      <c r="B60" s="1" t="s">
        <v>664</v>
      </c>
      <c r="C60" s="1" t="s">
        <v>20</v>
      </c>
      <c r="D60" s="63" t="s">
        <v>22</v>
      </c>
      <c r="E60" s="63" t="s">
        <v>23</v>
      </c>
      <c r="F60" s="1" t="s">
        <v>159</v>
      </c>
      <c r="G60" s="1">
        <v>3</v>
      </c>
      <c r="H60" s="1" t="s">
        <v>652</v>
      </c>
      <c r="I60" s="1" t="s">
        <v>460</v>
      </c>
      <c r="J60" s="1" t="s">
        <v>432</v>
      </c>
      <c r="K60" s="1" t="s">
        <v>427</v>
      </c>
      <c r="L60" s="1" t="s">
        <v>461</v>
      </c>
      <c r="M60" s="7" t="s">
        <v>648</v>
      </c>
    </row>
    <row r="61" spans="1:13" ht="15" customHeight="1" x14ac:dyDescent="0.25">
      <c r="A61" s="13">
        <v>45779</v>
      </c>
      <c r="B61" s="1" t="s">
        <v>664</v>
      </c>
      <c r="C61" s="1" t="s">
        <v>20</v>
      </c>
      <c r="D61" s="63" t="s">
        <v>22</v>
      </c>
      <c r="E61" s="63" t="s">
        <v>23</v>
      </c>
      <c r="F61" s="1" t="s">
        <v>159</v>
      </c>
      <c r="G61" s="1">
        <v>3</v>
      </c>
      <c r="H61" s="1" t="s">
        <v>652</v>
      </c>
      <c r="I61" s="1" t="s">
        <v>466</v>
      </c>
      <c r="J61" s="1" t="s">
        <v>442</v>
      </c>
      <c r="K61" s="1" t="s">
        <v>439</v>
      </c>
      <c r="L61" s="1" t="s">
        <v>463</v>
      </c>
      <c r="M61" s="7" t="s">
        <v>464</v>
      </c>
    </row>
    <row r="62" spans="1:13" ht="15" customHeight="1" x14ac:dyDescent="0.25">
      <c r="A62" s="13">
        <v>45779</v>
      </c>
      <c r="B62" s="1" t="s">
        <v>664</v>
      </c>
      <c r="C62" s="1" t="s">
        <v>20</v>
      </c>
      <c r="D62" s="63" t="s">
        <v>22</v>
      </c>
      <c r="E62" s="63" t="s">
        <v>23</v>
      </c>
      <c r="F62" s="1" t="s">
        <v>159</v>
      </c>
      <c r="G62" s="1">
        <v>3</v>
      </c>
      <c r="H62" s="1" t="s">
        <v>652</v>
      </c>
      <c r="I62" s="1" t="s">
        <v>465</v>
      </c>
      <c r="J62" s="1" t="s">
        <v>434</v>
      </c>
      <c r="K62" s="1" t="s">
        <v>431</v>
      </c>
      <c r="L62" s="1" t="s">
        <v>461</v>
      </c>
      <c r="M62" s="7" t="s">
        <v>648</v>
      </c>
    </row>
    <row r="63" spans="1:13" ht="15" customHeight="1" x14ac:dyDescent="0.25">
      <c r="A63" s="13">
        <v>45779</v>
      </c>
      <c r="B63" s="1" t="s">
        <v>664</v>
      </c>
      <c r="C63" s="1" t="s">
        <v>20</v>
      </c>
      <c r="D63" s="63" t="s">
        <v>22</v>
      </c>
      <c r="E63" s="63" t="s">
        <v>23</v>
      </c>
      <c r="F63" s="1" t="s">
        <v>159</v>
      </c>
      <c r="G63" s="1">
        <v>2</v>
      </c>
      <c r="H63" s="1" t="s">
        <v>652</v>
      </c>
      <c r="I63" s="1" t="s">
        <v>468</v>
      </c>
      <c r="J63" s="1" t="s">
        <v>440</v>
      </c>
      <c r="K63" s="1" t="s">
        <v>437</v>
      </c>
      <c r="L63" s="1" t="s">
        <v>463</v>
      </c>
      <c r="M63" s="7" t="s">
        <v>649</v>
      </c>
    </row>
    <row r="64" spans="1:13" ht="15" customHeight="1" x14ac:dyDescent="0.25">
      <c r="A64" s="13">
        <v>45779</v>
      </c>
      <c r="B64" s="1" t="s">
        <v>664</v>
      </c>
      <c r="C64" s="1" t="s">
        <v>20</v>
      </c>
      <c r="D64" s="63" t="s">
        <v>22</v>
      </c>
      <c r="E64" s="63" t="s">
        <v>23</v>
      </c>
      <c r="F64" s="1" t="s">
        <v>159</v>
      </c>
      <c r="G64" s="1">
        <v>2</v>
      </c>
      <c r="H64" s="1" t="s">
        <v>652</v>
      </c>
      <c r="I64" s="1" t="s">
        <v>466</v>
      </c>
      <c r="J64" s="1" t="s">
        <v>442</v>
      </c>
      <c r="K64" s="1" t="s">
        <v>439</v>
      </c>
      <c r="L64" s="1" t="s">
        <v>463</v>
      </c>
      <c r="M64" s="7" t="s">
        <v>464</v>
      </c>
    </row>
  </sheetData>
  <autoFilter ref="A4:M64" xr:uid="{CFEDC654-4CEF-486B-AE0C-253222EB0B72}"/>
  <mergeCells count="1">
    <mergeCell ref="A1:M2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9A159-FA9F-4B34-B35E-7DE14E79B6BB}">
  <sheetPr>
    <tabColor theme="8"/>
  </sheetPr>
  <dimension ref="A2:P20"/>
  <sheetViews>
    <sheetView topLeftCell="B1" zoomScaleNormal="100" workbookViewId="0">
      <selection activeCell="D12" sqref="D12"/>
    </sheetView>
  </sheetViews>
  <sheetFormatPr baseColWidth="10" defaultColWidth="11.42578125" defaultRowHeight="15" x14ac:dyDescent="0.25"/>
  <cols>
    <col min="2" max="2" width="17.85546875" bestFit="1" customWidth="1"/>
    <col min="3" max="3" width="14.5703125" bestFit="1" customWidth="1"/>
    <col min="4" max="4" width="10.28515625" bestFit="1" customWidth="1"/>
    <col min="5" max="5" width="18" bestFit="1" customWidth="1"/>
    <col min="6" max="6" width="16.7109375" customWidth="1"/>
    <col min="7" max="7" width="14.42578125" bestFit="1" customWidth="1"/>
    <col min="8" max="8" width="29.28515625" customWidth="1"/>
    <col min="9" max="9" width="13.28515625" customWidth="1"/>
    <col min="10" max="10" width="22.85546875" hidden="1" customWidth="1"/>
    <col min="11" max="11" width="20.28515625" bestFit="1" customWidth="1"/>
    <col min="12" max="12" width="16.28515625" bestFit="1" customWidth="1"/>
    <col min="13" max="13" width="17.42578125" hidden="1" customWidth="1"/>
    <col min="14" max="14" width="14.140625" bestFit="1" customWidth="1"/>
    <col min="15" max="15" width="19.140625" bestFit="1" customWidth="1"/>
    <col min="16" max="16" width="75.42578125" bestFit="1" customWidth="1"/>
  </cols>
  <sheetData>
    <row r="2" spans="1:16" x14ac:dyDescent="0.25">
      <c r="A2" s="91" t="s">
        <v>478</v>
      </c>
      <c r="B2" s="91" t="s">
        <v>549</v>
      </c>
      <c r="C2" s="91" t="s">
        <v>480</v>
      </c>
      <c r="D2" s="91" t="s">
        <v>506</v>
      </c>
      <c r="E2" s="91" t="s">
        <v>30</v>
      </c>
      <c r="F2" s="91" t="s">
        <v>422</v>
      </c>
      <c r="G2" s="91" t="s">
        <v>100</v>
      </c>
      <c r="H2" s="91" t="s">
        <v>507</v>
      </c>
      <c r="I2" s="91" t="s">
        <v>101</v>
      </c>
      <c r="J2" s="91" t="s">
        <v>508</v>
      </c>
      <c r="K2" s="91" t="s">
        <v>623</v>
      </c>
      <c r="L2" s="91" t="s">
        <v>791</v>
      </c>
      <c r="M2" s="91" t="s">
        <v>509</v>
      </c>
      <c r="N2" s="91" t="s">
        <v>318</v>
      </c>
      <c r="O2" s="91" t="s">
        <v>510</v>
      </c>
      <c r="P2" s="91" t="s">
        <v>635</v>
      </c>
    </row>
    <row r="3" spans="1:16" x14ac:dyDescent="0.25">
      <c r="A3" s="86">
        <v>45625</v>
      </c>
      <c r="B3" s="14" t="s">
        <v>15</v>
      </c>
      <c r="C3" s="14" t="s">
        <v>34</v>
      </c>
      <c r="D3" s="14" t="s">
        <v>618</v>
      </c>
      <c r="E3" s="14" t="s">
        <v>617</v>
      </c>
      <c r="F3" s="87" t="s">
        <v>612</v>
      </c>
      <c r="G3" s="15" t="s">
        <v>511</v>
      </c>
      <c r="H3" s="15" t="s">
        <v>607</v>
      </c>
      <c r="I3" s="14">
        <v>30</v>
      </c>
      <c r="J3" s="14" t="s">
        <v>512</v>
      </c>
      <c r="K3" s="14" t="s">
        <v>624</v>
      </c>
      <c r="L3" s="14" t="s">
        <v>626</v>
      </c>
      <c r="M3" s="14" t="s">
        <v>619</v>
      </c>
      <c r="N3" s="1" t="s">
        <v>461</v>
      </c>
      <c r="O3" s="1" t="s">
        <v>636</v>
      </c>
      <c r="P3" s="14" t="s">
        <v>639</v>
      </c>
    </row>
    <row r="4" spans="1:16" x14ac:dyDescent="0.25">
      <c r="A4" s="86">
        <v>45625</v>
      </c>
      <c r="B4" s="14" t="s">
        <v>15</v>
      </c>
      <c r="C4" s="14" t="s">
        <v>34</v>
      </c>
      <c r="D4" s="14" t="s">
        <v>618</v>
      </c>
      <c r="E4" s="14" t="s">
        <v>627</v>
      </c>
      <c r="F4" s="14" t="s">
        <v>613</v>
      </c>
      <c r="G4" s="15" t="s">
        <v>513</v>
      </c>
      <c r="H4" s="15" t="s">
        <v>514</v>
      </c>
      <c r="I4" s="14">
        <v>70</v>
      </c>
      <c r="J4" s="14" t="s">
        <v>515</v>
      </c>
      <c r="K4" s="14" t="s">
        <v>516</v>
      </c>
      <c r="L4" s="14" t="s">
        <v>625</v>
      </c>
      <c r="M4" s="14" t="s">
        <v>620</v>
      </c>
      <c r="N4" s="1" t="s">
        <v>461</v>
      </c>
      <c r="O4" s="1" t="s">
        <v>637</v>
      </c>
      <c r="P4" s="14" t="s">
        <v>638</v>
      </c>
    </row>
    <row r="5" spans="1:16" x14ac:dyDescent="0.25">
      <c r="A5" s="86">
        <v>45625</v>
      </c>
      <c r="B5" s="14" t="s">
        <v>15</v>
      </c>
      <c r="C5" s="14" t="s">
        <v>34</v>
      </c>
      <c r="D5" s="14" t="s">
        <v>618</v>
      </c>
      <c r="E5" s="14" t="s">
        <v>629</v>
      </c>
      <c r="F5" s="14" t="s">
        <v>517</v>
      </c>
      <c r="G5" s="15" t="s">
        <v>628</v>
      </c>
      <c r="H5" s="15" t="s">
        <v>518</v>
      </c>
      <c r="I5" s="14">
        <v>20</v>
      </c>
      <c r="J5" s="14" t="s">
        <v>512</v>
      </c>
      <c r="K5" s="14" t="s">
        <v>516</v>
      </c>
      <c r="L5" s="14" t="s">
        <v>626</v>
      </c>
      <c r="M5" s="14" t="s">
        <v>619</v>
      </c>
      <c r="N5" s="1" t="s">
        <v>461</v>
      </c>
      <c r="O5" s="1" t="s">
        <v>636</v>
      </c>
      <c r="P5" s="14" t="s">
        <v>640</v>
      </c>
    </row>
    <row r="6" spans="1:16" x14ac:dyDescent="0.25">
      <c r="A6" s="86">
        <v>45625</v>
      </c>
      <c r="B6" s="14" t="s">
        <v>20</v>
      </c>
      <c r="C6" s="14" t="s">
        <v>664</v>
      </c>
      <c r="D6" s="14" t="s">
        <v>618</v>
      </c>
      <c r="E6" s="14" t="s">
        <v>627</v>
      </c>
      <c r="F6" s="14" t="s">
        <v>613</v>
      </c>
      <c r="G6" s="15" t="s">
        <v>513</v>
      </c>
      <c r="H6" s="15" t="s">
        <v>514</v>
      </c>
      <c r="I6" s="14">
        <v>30</v>
      </c>
      <c r="J6" s="14" t="s">
        <v>515</v>
      </c>
      <c r="K6" s="14" t="s">
        <v>516</v>
      </c>
      <c r="L6" s="14" t="s">
        <v>625</v>
      </c>
      <c r="M6" s="14" t="s">
        <v>620</v>
      </c>
      <c r="N6" s="1" t="s">
        <v>461</v>
      </c>
      <c r="O6" s="1" t="s">
        <v>637</v>
      </c>
      <c r="P6" s="14" t="s">
        <v>638</v>
      </c>
    </row>
    <row r="7" spans="1:16" x14ac:dyDescent="0.25">
      <c r="A7" s="86">
        <v>45638</v>
      </c>
      <c r="B7" s="14" t="s">
        <v>177</v>
      </c>
      <c r="C7" s="14" t="s">
        <v>33</v>
      </c>
      <c r="D7" s="14" t="s">
        <v>618</v>
      </c>
      <c r="E7" s="14" t="s">
        <v>617</v>
      </c>
      <c r="F7" s="87" t="s">
        <v>612</v>
      </c>
      <c r="G7" s="15" t="s">
        <v>511</v>
      </c>
      <c r="H7" s="15" t="s">
        <v>607</v>
      </c>
      <c r="I7" s="14">
        <v>9</v>
      </c>
      <c r="J7" s="14" t="s">
        <v>512</v>
      </c>
      <c r="K7" s="14" t="s">
        <v>624</v>
      </c>
      <c r="L7" s="14" t="s">
        <v>626</v>
      </c>
      <c r="M7" s="14" t="s">
        <v>619</v>
      </c>
      <c r="N7" s="1" t="s">
        <v>461</v>
      </c>
      <c r="O7" s="1" t="s">
        <v>636</v>
      </c>
      <c r="P7" s="14" t="s">
        <v>639</v>
      </c>
    </row>
    <row r="8" spans="1:16" x14ac:dyDescent="0.25">
      <c r="A8" s="86">
        <v>45638</v>
      </c>
      <c r="B8" s="14" t="s">
        <v>177</v>
      </c>
      <c r="C8" s="14" t="s">
        <v>33</v>
      </c>
      <c r="D8" s="14" t="s">
        <v>618</v>
      </c>
      <c r="E8" s="14" t="s">
        <v>627</v>
      </c>
      <c r="F8" s="14" t="s">
        <v>613</v>
      </c>
      <c r="G8" s="15" t="s">
        <v>513</v>
      </c>
      <c r="H8" s="15" t="s">
        <v>514</v>
      </c>
      <c r="I8" s="14">
        <v>72</v>
      </c>
      <c r="J8" s="14" t="s">
        <v>515</v>
      </c>
      <c r="K8" s="14" t="s">
        <v>516</v>
      </c>
      <c r="L8" s="14" t="s">
        <v>625</v>
      </c>
      <c r="M8" s="14" t="s">
        <v>620</v>
      </c>
      <c r="N8" s="1" t="s">
        <v>461</v>
      </c>
      <c r="O8" s="1" t="s">
        <v>637</v>
      </c>
      <c r="P8" s="14" t="s">
        <v>638</v>
      </c>
    </row>
    <row r="9" spans="1:16" x14ac:dyDescent="0.25">
      <c r="A9" s="86">
        <v>45638</v>
      </c>
      <c r="B9" s="14" t="s">
        <v>177</v>
      </c>
      <c r="C9" s="14" t="s">
        <v>33</v>
      </c>
      <c r="D9" s="14" t="s">
        <v>618</v>
      </c>
      <c r="E9" s="14" t="s">
        <v>630</v>
      </c>
      <c r="F9" s="14" t="s">
        <v>519</v>
      </c>
      <c r="G9" s="15" t="s">
        <v>634</v>
      </c>
      <c r="H9" s="15" t="s">
        <v>614</v>
      </c>
      <c r="I9" s="14">
        <v>6</v>
      </c>
      <c r="J9" s="14" t="s">
        <v>515</v>
      </c>
      <c r="K9" s="14" t="s">
        <v>624</v>
      </c>
      <c r="L9" s="14" t="s">
        <v>626</v>
      </c>
      <c r="M9" s="14" t="s">
        <v>621</v>
      </c>
      <c r="N9" s="1" t="s">
        <v>463</v>
      </c>
      <c r="O9" s="1" t="s">
        <v>636</v>
      </c>
      <c r="P9" s="14" t="s">
        <v>641</v>
      </c>
    </row>
    <row r="10" spans="1:16" x14ac:dyDescent="0.25">
      <c r="A10" s="86">
        <v>45638</v>
      </c>
      <c r="B10" s="14" t="s">
        <v>177</v>
      </c>
      <c r="C10" s="14" t="s">
        <v>33</v>
      </c>
      <c r="D10" s="14" t="s">
        <v>618</v>
      </c>
      <c r="E10" s="14" t="s">
        <v>632</v>
      </c>
      <c r="F10" s="14" t="s">
        <v>631</v>
      </c>
      <c r="G10" s="15" t="s">
        <v>520</v>
      </c>
      <c r="H10" s="15" t="s">
        <v>608</v>
      </c>
      <c r="I10" s="14">
        <v>15</v>
      </c>
      <c r="J10" s="14" t="s">
        <v>515</v>
      </c>
      <c r="K10" s="14" t="s">
        <v>624</v>
      </c>
      <c r="L10" s="14" t="s">
        <v>626</v>
      </c>
      <c r="M10" s="14" t="s">
        <v>622</v>
      </c>
      <c r="N10" s="1" t="s">
        <v>463</v>
      </c>
      <c r="O10" s="1" t="s">
        <v>637</v>
      </c>
      <c r="P10" s="14" t="s">
        <v>642</v>
      </c>
    </row>
    <row r="11" spans="1:16" x14ac:dyDescent="0.25">
      <c r="A11" s="86">
        <v>45638</v>
      </c>
      <c r="B11" s="14" t="s">
        <v>177</v>
      </c>
      <c r="C11" s="14" t="s">
        <v>33</v>
      </c>
      <c r="D11" s="14" t="s">
        <v>618</v>
      </c>
      <c r="E11" s="14" t="s">
        <v>629</v>
      </c>
      <c r="F11" s="14" t="s">
        <v>517</v>
      </c>
      <c r="G11" s="15" t="s">
        <v>628</v>
      </c>
      <c r="H11" s="15" t="s">
        <v>518</v>
      </c>
      <c r="I11" s="14">
        <v>30</v>
      </c>
      <c r="J11" s="14" t="s">
        <v>512</v>
      </c>
      <c r="K11" s="14" t="s">
        <v>516</v>
      </c>
      <c r="L11" s="14" t="s">
        <v>626</v>
      </c>
      <c r="M11" s="14" t="s">
        <v>619</v>
      </c>
      <c r="N11" s="1" t="s">
        <v>461</v>
      </c>
      <c r="O11" s="1" t="s">
        <v>636</v>
      </c>
      <c r="P11" s="14" t="s">
        <v>640</v>
      </c>
    </row>
    <row r="12" spans="1:16" x14ac:dyDescent="0.25">
      <c r="A12" s="86">
        <v>45638</v>
      </c>
      <c r="B12" s="14" t="s">
        <v>177</v>
      </c>
      <c r="C12" s="14" t="s">
        <v>33</v>
      </c>
      <c r="D12" s="14" t="s">
        <v>618</v>
      </c>
      <c r="E12" s="14" t="s">
        <v>627</v>
      </c>
      <c r="F12" s="14" t="s">
        <v>613</v>
      </c>
      <c r="G12" s="15" t="s">
        <v>513</v>
      </c>
      <c r="H12" s="15" t="s">
        <v>514</v>
      </c>
      <c r="I12" s="14">
        <v>60</v>
      </c>
      <c r="J12" s="14" t="s">
        <v>515</v>
      </c>
      <c r="K12" s="14" t="s">
        <v>516</v>
      </c>
      <c r="L12" s="14" t="s">
        <v>625</v>
      </c>
      <c r="M12" s="14" t="s">
        <v>620</v>
      </c>
      <c r="N12" s="1" t="s">
        <v>461</v>
      </c>
      <c r="O12" s="1" t="s">
        <v>637</v>
      </c>
      <c r="P12" s="14" t="s">
        <v>638</v>
      </c>
    </row>
    <row r="13" spans="1:16" x14ac:dyDescent="0.25">
      <c r="A13" s="86">
        <v>45638</v>
      </c>
      <c r="B13" s="14" t="s">
        <v>177</v>
      </c>
      <c r="C13" s="14" t="s">
        <v>33</v>
      </c>
      <c r="D13" s="14" t="s">
        <v>618</v>
      </c>
      <c r="E13" s="14" t="s">
        <v>627</v>
      </c>
      <c r="F13" s="14" t="s">
        <v>521</v>
      </c>
      <c r="G13" s="15" t="s">
        <v>522</v>
      </c>
      <c r="H13" s="15" t="s">
        <v>609</v>
      </c>
      <c r="I13" s="14">
        <v>6</v>
      </c>
      <c r="J13" s="14" t="s">
        <v>515</v>
      </c>
      <c r="K13" s="14" t="s">
        <v>516</v>
      </c>
      <c r="L13" s="14" t="s">
        <v>625</v>
      </c>
      <c r="M13" s="14" t="s">
        <v>620</v>
      </c>
      <c r="N13" s="1" t="s">
        <v>606</v>
      </c>
      <c r="O13" s="1" t="s">
        <v>643</v>
      </c>
      <c r="P13" s="14" t="s">
        <v>644</v>
      </c>
    </row>
    <row r="14" spans="1:16" x14ac:dyDescent="0.25">
      <c r="A14" s="86">
        <v>45638</v>
      </c>
      <c r="B14" s="14" t="s">
        <v>177</v>
      </c>
      <c r="C14" s="14" t="s">
        <v>33</v>
      </c>
      <c r="D14" s="14" t="s">
        <v>618</v>
      </c>
      <c r="E14" s="14" t="s">
        <v>627</v>
      </c>
      <c r="F14" s="14" t="s">
        <v>521</v>
      </c>
      <c r="G14" s="15" t="s">
        <v>523</v>
      </c>
      <c r="H14" s="15" t="s">
        <v>610</v>
      </c>
      <c r="I14" s="14">
        <v>3</v>
      </c>
      <c r="J14" s="14" t="s">
        <v>515</v>
      </c>
      <c r="K14" s="14" t="s">
        <v>516</v>
      </c>
      <c r="L14" s="14" t="s">
        <v>626</v>
      </c>
      <c r="M14" s="14" t="s">
        <v>619</v>
      </c>
      <c r="N14" s="1" t="s">
        <v>463</v>
      </c>
      <c r="O14" s="1" t="s">
        <v>636</v>
      </c>
      <c r="P14" s="14" t="s">
        <v>646</v>
      </c>
    </row>
    <row r="15" spans="1:16" x14ac:dyDescent="0.25">
      <c r="A15" s="86">
        <v>45638</v>
      </c>
      <c r="B15" s="14" t="s">
        <v>177</v>
      </c>
      <c r="C15" s="14" t="s">
        <v>33</v>
      </c>
      <c r="D15" s="14" t="s">
        <v>618</v>
      </c>
      <c r="E15" s="14" t="s">
        <v>629</v>
      </c>
      <c r="F15" s="14" t="s">
        <v>517</v>
      </c>
      <c r="G15" s="15" t="s">
        <v>628</v>
      </c>
      <c r="H15" s="15" t="s">
        <v>518</v>
      </c>
      <c r="I15" s="14">
        <v>20</v>
      </c>
      <c r="J15" s="14" t="s">
        <v>512</v>
      </c>
      <c r="K15" s="14" t="s">
        <v>516</v>
      </c>
      <c r="L15" s="14" t="s">
        <v>626</v>
      </c>
      <c r="M15" s="14" t="s">
        <v>619</v>
      </c>
      <c r="N15" s="1" t="s">
        <v>461</v>
      </c>
      <c r="O15" s="1" t="s">
        <v>636</v>
      </c>
      <c r="P15" s="14" t="s">
        <v>640</v>
      </c>
    </row>
    <row r="16" spans="1:16" x14ac:dyDescent="0.25">
      <c r="A16" s="86">
        <v>45779</v>
      </c>
      <c r="B16" s="14" t="s">
        <v>20</v>
      </c>
      <c r="C16" s="14" t="s">
        <v>664</v>
      </c>
      <c r="D16" s="14" t="s">
        <v>618</v>
      </c>
      <c r="E16" s="14" t="s">
        <v>524</v>
      </c>
      <c r="F16" s="14" t="s">
        <v>524</v>
      </c>
      <c r="G16" s="14" t="s">
        <v>524</v>
      </c>
      <c r="H16" s="14" t="s">
        <v>524</v>
      </c>
      <c r="I16" s="14" t="s">
        <v>524</v>
      </c>
      <c r="J16" s="14" t="s">
        <v>524</v>
      </c>
      <c r="K16" s="14" t="s">
        <v>524</v>
      </c>
      <c r="L16" s="14" t="s">
        <v>524</v>
      </c>
      <c r="M16" s="14" t="s">
        <v>524</v>
      </c>
      <c r="N16" s="1" t="s">
        <v>524</v>
      </c>
      <c r="O16" s="1" t="s">
        <v>524</v>
      </c>
      <c r="P16" s="1" t="s">
        <v>524</v>
      </c>
    </row>
    <row r="17" spans="1:16" x14ac:dyDescent="0.25">
      <c r="A17" s="86">
        <v>45780</v>
      </c>
      <c r="B17" s="14" t="s">
        <v>15</v>
      </c>
      <c r="C17" s="14" t="s">
        <v>34</v>
      </c>
      <c r="D17" s="14" t="s">
        <v>618</v>
      </c>
      <c r="E17" s="14" t="s">
        <v>617</v>
      </c>
      <c r="F17" s="87" t="s">
        <v>612</v>
      </c>
      <c r="G17" s="15" t="s">
        <v>511</v>
      </c>
      <c r="H17" s="15" t="s">
        <v>607</v>
      </c>
      <c r="I17" s="14">
        <v>56</v>
      </c>
      <c r="J17" s="14" t="s">
        <v>512</v>
      </c>
      <c r="K17" s="14" t="s">
        <v>624</v>
      </c>
      <c r="L17" s="14" t="s">
        <v>626</v>
      </c>
      <c r="M17" s="14" t="s">
        <v>619</v>
      </c>
      <c r="N17" s="1" t="s">
        <v>461</v>
      </c>
      <c r="O17" s="1" t="s">
        <v>636</v>
      </c>
      <c r="P17" s="14" t="s">
        <v>639</v>
      </c>
    </row>
    <row r="18" spans="1:16" x14ac:dyDescent="0.25">
      <c r="A18" s="86">
        <v>45780</v>
      </c>
      <c r="B18" s="14" t="s">
        <v>15</v>
      </c>
      <c r="C18" s="14" t="s">
        <v>34</v>
      </c>
      <c r="D18" s="14" t="s">
        <v>618</v>
      </c>
      <c r="E18" s="14" t="s">
        <v>627</v>
      </c>
      <c r="F18" s="14" t="s">
        <v>613</v>
      </c>
      <c r="G18" s="15" t="s">
        <v>513</v>
      </c>
      <c r="H18" s="15" t="s">
        <v>514</v>
      </c>
      <c r="I18" s="14">
        <v>20</v>
      </c>
      <c r="J18" s="14" t="s">
        <v>515</v>
      </c>
      <c r="K18" s="14" t="s">
        <v>516</v>
      </c>
      <c r="L18" s="14" t="s">
        <v>625</v>
      </c>
      <c r="M18" s="14" t="s">
        <v>620</v>
      </c>
      <c r="N18" s="1" t="s">
        <v>461</v>
      </c>
      <c r="O18" s="1" t="s">
        <v>637</v>
      </c>
      <c r="P18" s="14" t="s">
        <v>638</v>
      </c>
    </row>
    <row r="19" spans="1:16" x14ac:dyDescent="0.25">
      <c r="A19" s="86">
        <v>45780</v>
      </c>
      <c r="B19" s="14" t="s">
        <v>15</v>
      </c>
      <c r="C19" s="14" t="s">
        <v>34</v>
      </c>
      <c r="D19" s="14" t="s">
        <v>618</v>
      </c>
      <c r="E19" s="14" t="s">
        <v>629</v>
      </c>
      <c r="F19" s="14" t="s">
        <v>517</v>
      </c>
      <c r="G19" s="15" t="s">
        <v>628</v>
      </c>
      <c r="H19" s="15" t="s">
        <v>518</v>
      </c>
      <c r="I19" s="14">
        <v>13</v>
      </c>
      <c r="J19" s="14" t="s">
        <v>512</v>
      </c>
      <c r="K19" s="14" t="s">
        <v>516</v>
      </c>
      <c r="L19" s="14" t="s">
        <v>626</v>
      </c>
      <c r="M19" s="14" t="s">
        <v>619</v>
      </c>
      <c r="N19" s="1" t="s">
        <v>461</v>
      </c>
      <c r="O19" s="1" t="s">
        <v>636</v>
      </c>
      <c r="P19" s="14" t="s">
        <v>640</v>
      </c>
    </row>
    <row r="20" spans="1:16" x14ac:dyDescent="0.25">
      <c r="A20" s="86">
        <v>45780</v>
      </c>
      <c r="B20" s="14" t="s">
        <v>219</v>
      </c>
      <c r="C20" s="14" t="s">
        <v>664</v>
      </c>
      <c r="D20" s="14" t="s">
        <v>618</v>
      </c>
      <c r="E20" s="14" t="s">
        <v>633</v>
      </c>
      <c r="F20" s="14" t="s">
        <v>525</v>
      </c>
      <c r="G20" s="15" t="s">
        <v>526</v>
      </c>
      <c r="H20" s="15" t="s">
        <v>611</v>
      </c>
      <c r="I20" s="14">
        <v>5</v>
      </c>
      <c r="J20" s="14" t="s">
        <v>515</v>
      </c>
      <c r="K20" s="14" t="s">
        <v>624</v>
      </c>
      <c r="L20" s="14" t="s">
        <v>625</v>
      </c>
      <c r="M20" s="14" t="s">
        <v>620</v>
      </c>
      <c r="N20" s="1" t="s">
        <v>606</v>
      </c>
      <c r="O20" s="1" t="s">
        <v>636</v>
      </c>
      <c r="P20" s="14" t="s">
        <v>645</v>
      </c>
    </row>
  </sheetData>
  <autoFilter ref="A2:O20" xr:uid="{ACC9A159-FA9F-4B34-B35E-7DE14E79B6BB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8">
    <tabColor theme="8"/>
  </sheetPr>
  <dimension ref="A2:N44"/>
  <sheetViews>
    <sheetView zoomScale="85" zoomScaleNormal="85" workbookViewId="0">
      <selection activeCell="M37" sqref="M37"/>
    </sheetView>
  </sheetViews>
  <sheetFormatPr baseColWidth="10" defaultColWidth="11.5703125" defaultRowHeight="15" x14ac:dyDescent="0.25"/>
  <cols>
    <col min="1" max="1" width="13.5703125" bestFit="1" customWidth="1"/>
    <col min="2" max="2" width="19.28515625" customWidth="1"/>
    <col min="3" max="7" width="13.28515625" customWidth="1"/>
    <col min="8" max="8" width="17.140625" customWidth="1"/>
    <col min="9" max="9" width="13.28515625" customWidth="1"/>
    <col min="10" max="10" width="16" customWidth="1"/>
    <col min="11" max="13" width="13.28515625" customWidth="1"/>
  </cols>
  <sheetData>
    <row r="2" spans="1:13" x14ac:dyDescent="0.25">
      <c r="A2" s="4" t="s">
        <v>92</v>
      </c>
      <c r="B2" s="8">
        <v>45625</v>
      </c>
      <c r="C2" s="4"/>
    </row>
    <row r="3" spans="1:13" x14ac:dyDescent="0.25">
      <c r="A3" s="4" t="s">
        <v>476</v>
      </c>
      <c r="B3" s="102" t="s">
        <v>94</v>
      </c>
      <c r="C3" s="4"/>
    </row>
    <row r="4" spans="1:13" x14ac:dyDescent="0.25">
      <c r="A4" s="4"/>
      <c r="B4" s="4"/>
      <c r="C4" s="4"/>
      <c r="D4" s="4"/>
    </row>
    <row r="5" spans="1:13" x14ac:dyDescent="0.25">
      <c r="A5" s="126" t="s">
        <v>659</v>
      </c>
      <c r="B5" s="126"/>
      <c r="C5" s="126"/>
      <c r="D5" s="126"/>
      <c r="E5" s="126"/>
      <c r="F5" s="30"/>
      <c r="G5" s="30"/>
      <c r="H5" s="126" t="s">
        <v>660</v>
      </c>
      <c r="I5" s="126"/>
      <c r="J5" s="126"/>
      <c r="K5" s="126"/>
      <c r="L5" s="126"/>
      <c r="M5" s="126"/>
    </row>
    <row r="6" spans="1:13" x14ac:dyDescent="0.25">
      <c r="A6" s="30"/>
      <c r="B6" s="30"/>
      <c r="C6" s="30"/>
      <c r="D6" s="30"/>
      <c r="E6" s="30"/>
      <c r="F6" s="30"/>
      <c r="G6" s="30"/>
      <c r="H6" s="4"/>
      <c r="I6" s="4"/>
      <c r="J6" s="4"/>
      <c r="K6" s="4"/>
      <c r="L6" s="4"/>
      <c r="M6" s="30"/>
    </row>
    <row r="7" spans="1:13" x14ac:dyDescent="0.25">
      <c r="A7" s="4" t="s">
        <v>665</v>
      </c>
      <c r="H7" s="34" t="s">
        <v>661</v>
      </c>
    </row>
    <row r="8" spans="1:13" x14ac:dyDescent="0.25">
      <c r="A8" s="4"/>
      <c r="H8" s="34"/>
    </row>
    <row r="9" spans="1:13" ht="14.45" customHeight="1" x14ac:dyDescent="0.25">
      <c r="A9" s="141" t="s">
        <v>528</v>
      </c>
      <c r="B9" s="140" t="s">
        <v>529</v>
      </c>
      <c r="C9" s="140"/>
      <c r="D9" s="140"/>
      <c r="E9" s="140"/>
      <c r="F9" s="30"/>
      <c r="G9" s="30"/>
      <c r="H9" s="143" t="s">
        <v>662</v>
      </c>
      <c r="I9" s="143"/>
      <c r="J9" s="143"/>
      <c r="K9" s="143"/>
      <c r="L9" s="143"/>
      <c r="M9" s="143"/>
    </row>
    <row r="10" spans="1:13" ht="14.45" customHeight="1" x14ac:dyDescent="0.25">
      <c r="A10" s="142"/>
      <c r="B10" s="5" t="s">
        <v>530</v>
      </c>
      <c r="C10" s="5" t="s">
        <v>531</v>
      </c>
      <c r="D10" s="5" t="s">
        <v>532</v>
      </c>
      <c r="E10" s="5" t="s">
        <v>533</v>
      </c>
      <c r="F10" s="30"/>
      <c r="G10" s="30"/>
      <c r="H10" s="143"/>
      <c r="I10" s="143"/>
      <c r="J10" s="143"/>
      <c r="K10" s="143"/>
      <c r="L10" s="143"/>
      <c r="M10" s="143"/>
    </row>
    <row r="11" spans="1:13" ht="14.45" customHeight="1" x14ac:dyDescent="0.25">
      <c r="A11" s="2" t="s">
        <v>534</v>
      </c>
      <c r="B11" s="2">
        <v>8</v>
      </c>
      <c r="C11" s="2">
        <v>10</v>
      </c>
      <c r="D11" s="2">
        <v>5</v>
      </c>
      <c r="E11" s="2">
        <v>10</v>
      </c>
      <c r="F11" s="3"/>
      <c r="G11" s="3"/>
      <c r="H11" s="143"/>
      <c r="I11" s="143"/>
      <c r="J11" s="143"/>
      <c r="K11" s="143"/>
      <c r="L11" s="143"/>
      <c r="M11" s="143"/>
    </row>
    <row r="12" spans="1:13" x14ac:dyDescent="0.25">
      <c r="A12" s="2" t="s">
        <v>535</v>
      </c>
      <c r="B12" s="2">
        <v>6</v>
      </c>
      <c r="C12" s="2">
        <v>8</v>
      </c>
      <c r="D12" s="2">
        <v>6</v>
      </c>
      <c r="E12" s="2">
        <v>10</v>
      </c>
      <c r="F12" s="3"/>
      <c r="G12" s="3"/>
      <c r="H12" s="29"/>
      <c r="I12" s="29"/>
      <c r="J12" s="29"/>
      <c r="K12" s="29"/>
      <c r="L12" s="29"/>
      <c r="M12" s="29"/>
    </row>
    <row r="13" spans="1:13" x14ac:dyDescent="0.25">
      <c r="A13" s="2" t="s">
        <v>536</v>
      </c>
      <c r="B13" s="2">
        <v>8</v>
      </c>
      <c r="C13" s="2">
        <v>8</v>
      </c>
      <c r="D13" s="2">
        <v>4</v>
      </c>
      <c r="E13" s="2">
        <v>10</v>
      </c>
      <c r="F13" s="3"/>
      <c r="G13" s="3"/>
      <c r="H13" s="29" t="s">
        <v>666</v>
      </c>
      <c r="I13" s="94"/>
      <c r="J13" s="94"/>
      <c r="K13" s="94"/>
      <c r="L13" s="94"/>
      <c r="M13" s="3"/>
    </row>
    <row r="14" spans="1:13" x14ac:dyDescent="0.25">
      <c r="A14" s="2" t="s">
        <v>537</v>
      </c>
      <c r="B14" s="2">
        <v>4</v>
      </c>
      <c r="C14" s="2">
        <v>6</v>
      </c>
      <c r="D14" s="2">
        <v>5</v>
      </c>
      <c r="E14" s="2">
        <v>10</v>
      </c>
      <c r="F14" s="3"/>
      <c r="G14" s="3"/>
      <c r="H14" s="3"/>
      <c r="I14" s="3"/>
      <c r="J14" s="3"/>
      <c r="K14" s="3"/>
      <c r="L14" s="3"/>
      <c r="M14" s="3"/>
    </row>
    <row r="15" spans="1:13" x14ac:dyDescent="0.25">
      <c r="A15" s="2" t="s">
        <v>538</v>
      </c>
      <c r="B15" s="2">
        <v>8</v>
      </c>
      <c r="C15" s="2">
        <v>6</v>
      </c>
      <c r="D15" s="2">
        <v>6</v>
      </c>
      <c r="E15" s="2">
        <v>9</v>
      </c>
      <c r="F15" s="3"/>
      <c r="G15" s="3"/>
      <c r="H15" s="141" t="s">
        <v>528</v>
      </c>
      <c r="I15" s="145" t="s">
        <v>663</v>
      </c>
      <c r="J15" s="146"/>
      <c r="K15" s="147"/>
      <c r="L15" s="3"/>
      <c r="M15" s="3"/>
    </row>
    <row r="16" spans="1:13" x14ac:dyDescent="0.25">
      <c r="A16" s="2" t="s">
        <v>539</v>
      </c>
      <c r="B16" s="2">
        <v>5</v>
      </c>
      <c r="C16" s="2">
        <v>6</v>
      </c>
      <c r="D16" s="2">
        <v>7</v>
      </c>
      <c r="E16" s="2">
        <v>9</v>
      </c>
      <c r="F16" s="3"/>
      <c r="G16" s="3"/>
      <c r="H16" s="142"/>
      <c r="I16" s="16" t="s">
        <v>598</v>
      </c>
      <c r="J16" s="16" t="s">
        <v>592</v>
      </c>
      <c r="K16" s="16" t="s">
        <v>664</v>
      </c>
      <c r="L16" s="3"/>
      <c r="M16" s="3"/>
    </row>
    <row r="17" spans="1:14" x14ac:dyDescent="0.25">
      <c r="A17" s="2">
        <v>4</v>
      </c>
      <c r="B17" s="2">
        <v>9</v>
      </c>
      <c r="C17" s="2">
        <v>8</v>
      </c>
      <c r="D17" s="2">
        <v>5</v>
      </c>
      <c r="E17" s="2">
        <v>9</v>
      </c>
      <c r="F17" s="3"/>
      <c r="G17" s="3"/>
      <c r="H17" s="2" t="s">
        <v>534</v>
      </c>
      <c r="I17" s="95">
        <f t="shared" ref="I17:I26" si="0">+AVERAGE(B11:C11)</f>
        <v>9</v>
      </c>
      <c r="J17" s="2">
        <v>5</v>
      </c>
      <c r="K17" s="2">
        <v>10</v>
      </c>
      <c r="L17" s="3"/>
      <c r="M17" s="3"/>
    </row>
    <row r="18" spans="1:14" x14ac:dyDescent="0.25">
      <c r="A18" s="2">
        <v>5</v>
      </c>
      <c r="B18" s="2">
        <v>6</v>
      </c>
      <c r="C18" s="2">
        <v>9</v>
      </c>
      <c r="D18" s="2">
        <v>4</v>
      </c>
      <c r="E18" s="2">
        <v>10</v>
      </c>
      <c r="F18" s="3"/>
      <c r="G18" s="3"/>
      <c r="H18" s="2" t="s">
        <v>535</v>
      </c>
      <c r="I18" s="95">
        <f t="shared" si="0"/>
        <v>7</v>
      </c>
      <c r="J18" s="2">
        <v>6</v>
      </c>
      <c r="K18" s="2">
        <v>10</v>
      </c>
      <c r="L18" s="3"/>
      <c r="M18" s="3"/>
      <c r="N18" s="20"/>
    </row>
    <row r="19" spans="1:14" x14ac:dyDescent="0.25">
      <c r="A19" s="2">
        <v>6</v>
      </c>
      <c r="B19" s="2">
        <v>6</v>
      </c>
      <c r="C19" s="2">
        <v>10</v>
      </c>
      <c r="D19" s="2">
        <v>5</v>
      </c>
      <c r="E19" s="2">
        <v>9</v>
      </c>
      <c r="F19" s="3"/>
      <c r="G19" s="3"/>
      <c r="H19" s="2" t="s">
        <v>536</v>
      </c>
      <c r="I19" s="95">
        <f t="shared" si="0"/>
        <v>8</v>
      </c>
      <c r="J19" s="2">
        <v>4</v>
      </c>
      <c r="K19" s="2">
        <v>10</v>
      </c>
      <c r="L19" s="3"/>
      <c r="M19" s="3"/>
    </row>
    <row r="20" spans="1:14" x14ac:dyDescent="0.25">
      <c r="A20" s="2">
        <v>7</v>
      </c>
      <c r="B20" s="2">
        <v>7</v>
      </c>
      <c r="C20" s="2">
        <v>9</v>
      </c>
      <c r="D20" s="2">
        <v>4</v>
      </c>
      <c r="E20" s="2">
        <v>9</v>
      </c>
      <c r="F20" s="3"/>
      <c r="G20" s="3"/>
      <c r="H20" s="2" t="s">
        <v>537</v>
      </c>
      <c r="I20" s="95">
        <f t="shared" si="0"/>
        <v>5</v>
      </c>
      <c r="J20" s="2">
        <v>5</v>
      </c>
      <c r="K20" s="2">
        <v>10</v>
      </c>
      <c r="L20" s="3"/>
      <c r="M20" s="3"/>
    </row>
    <row r="21" spans="1:14" x14ac:dyDescent="0.25">
      <c r="A21" s="6" t="s">
        <v>452</v>
      </c>
      <c r="B21" s="9">
        <f>SUM(B11:B20)</f>
        <v>67</v>
      </c>
      <c r="C21" s="9">
        <f t="shared" ref="C21:E21" si="1">SUM(C11:C20)</f>
        <v>80</v>
      </c>
      <c r="D21" s="9">
        <f t="shared" si="1"/>
        <v>51</v>
      </c>
      <c r="E21" s="9">
        <f t="shared" si="1"/>
        <v>95</v>
      </c>
      <c r="F21" s="90"/>
      <c r="G21" s="90"/>
      <c r="H21" s="2" t="s">
        <v>538</v>
      </c>
      <c r="I21" s="95">
        <f t="shared" si="0"/>
        <v>7</v>
      </c>
      <c r="J21" s="2">
        <v>6</v>
      </c>
      <c r="K21" s="2">
        <v>9</v>
      </c>
      <c r="L21" s="90"/>
      <c r="M21" s="90"/>
    </row>
    <row r="22" spans="1:14" x14ac:dyDescent="0.25">
      <c r="A22" s="6" t="s">
        <v>540</v>
      </c>
      <c r="B22" s="9" t="s">
        <v>541</v>
      </c>
      <c r="C22" s="9" t="s">
        <v>542</v>
      </c>
      <c r="D22" s="9" t="s">
        <v>543</v>
      </c>
      <c r="E22" s="9" t="s">
        <v>544</v>
      </c>
      <c r="F22" s="90"/>
      <c r="G22" s="90"/>
      <c r="H22" s="2" t="s">
        <v>539</v>
      </c>
      <c r="I22" s="95">
        <f t="shared" si="0"/>
        <v>5.5</v>
      </c>
      <c r="J22" s="2">
        <v>7</v>
      </c>
      <c r="K22" s="2">
        <v>9</v>
      </c>
      <c r="L22" s="90"/>
      <c r="M22" s="90"/>
    </row>
    <row r="23" spans="1:14" x14ac:dyDescent="0.25">
      <c r="H23" s="2">
        <v>4</v>
      </c>
      <c r="I23" s="95">
        <f t="shared" si="0"/>
        <v>8.5</v>
      </c>
      <c r="J23" s="2">
        <v>5</v>
      </c>
      <c r="K23" s="2">
        <v>9</v>
      </c>
    </row>
    <row r="24" spans="1:14" x14ac:dyDescent="0.25">
      <c r="H24" s="2">
        <v>5</v>
      </c>
      <c r="I24" s="95">
        <f t="shared" si="0"/>
        <v>7.5</v>
      </c>
      <c r="J24" s="2">
        <v>4</v>
      </c>
      <c r="K24" s="2">
        <v>10</v>
      </c>
    </row>
    <row r="25" spans="1:14" x14ac:dyDescent="0.25">
      <c r="H25" s="2">
        <v>6</v>
      </c>
      <c r="I25" s="95">
        <f t="shared" si="0"/>
        <v>8</v>
      </c>
      <c r="J25" s="2">
        <v>5</v>
      </c>
      <c r="K25" s="2">
        <v>9</v>
      </c>
    </row>
    <row r="26" spans="1:14" x14ac:dyDescent="0.25">
      <c r="H26" s="2">
        <v>7</v>
      </c>
      <c r="I26" s="95">
        <f t="shared" si="0"/>
        <v>8</v>
      </c>
      <c r="J26" s="2">
        <v>4</v>
      </c>
      <c r="K26" s="2">
        <v>9</v>
      </c>
    </row>
    <row r="27" spans="1:14" x14ac:dyDescent="0.25">
      <c r="H27" s="6" t="s">
        <v>452</v>
      </c>
      <c r="I27" s="95">
        <f>SUM(I17:I26)</f>
        <v>73.5</v>
      </c>
      <c r="J27" s="95">
        <f t="shared" ref="J27:K27" si="2">SUM(J17:J26)</f>
        <v>51</v>
      </c>
      <c r="K27" s="95">
        <f t="shared" si="2"/>
        <v>95</v>
      </c>
    </row>
    <row r="28" spans="1:14" x14ac:dyDescent="0.25">
      <c r="H28" s="6" t="s">
        <v>540</v>
      </c>
      <c r="I28" s="9" t="s">
        <v>276</v>
      </c>
      <c r="J28" s="9" t="s">
        <v>282</v>
      </c>
      <c r="K28" s="9" t="s">
        <v>269</v>
      </c>
    </row>
    <row r="30" spans="1:14" x14ac:dyDescent="0.25">
      <c r="H30" t="s">
        <v>667</v>
      </c>
    </row>
    <row r="32" spans="1:14" x14ac:dyDescent="0.25">
      <c r="H32" s="143" t="s">
        <v>668</v>
      </c>
      <c r="I32" s="143"/>
      <c r="J32" s="143"/>
      <c r="K32" s="143"/>
      <c r="L32" s="143"/>
      <c r="M32" s="143"/>
    </row>
    <row r="33" spans="8:13" x14ac:dyDescent="0.25">
      <c r="H33" s="143"/>
      <c r="I33" s="143"/>
      <c r="J33" s="143"/>
      <c r="K33" s="143"/>
      <c r="L33" s="143"/>
      <c r="M33" s="143"/>
    </row>
    <row r="34" spans="8:13" x14ac:dyDescent="0.25">
      <c r="H34" s="143"/>
      <c r="I34" s="143"/>
      <c r="J34" s="143"/>
      <c r="K34" s="143"/>
      <c r="L34" s="143"/>
      <c r="M34" s="143"/>
    </row>
    <row r="35" spans="8:13" x14ac:dyDescent="0.25">
      <c r="H35" s="143"/>
      <c r="I35" s="143"/>
      <c r="J35" s="143"/>
      <c r="K35" s="143"/>
      <c r="L35" s="143"/>
      <c r="M35" s="143"/>
    </row>
    <row r="36" spans="8:13" x14ac:dyDescent="0.25">
      <c r="H36" s="143"/>
      <c r="I36" s="143"/>
      <c r="J36" s="143"/>
      <c r="K36" s="143"/>
      <c r="L36" s="143"/>
      <c r="M36" s="143"/>
    </row>
    <row r="38" spans="8:13" x14ac:dyDescent="0.25">
      <c r="H38" s="4" t="s">
        <v>670</v>
      </c>
      <c r="I38">
        <v>10</v>
      </c>
    </row>
    <row r="39" spans="8:13" x14ac:dyDescent="0.25">
      <c r="H39" s="4" t="s">
        <v>671</v>
      </c>
      <c r="I39">
        <v>120</v>
      </c>
    </row>
    <row r="41" spans="8:13" x14ac:dyDescent="0.25">
      <c r="H41" s="16" t="s">
        <v>29</v>
      </c>
      <c r="I41" s="16" t="s">
        <v>669</v>
      </c>
      <c r="J41" s="144" t="s">
        <v>672</v>
      </c>
      <c r="K41" s="144"/>
    </row>
    <row r="42" spans="8:13" x14ac:dyDescent="0.25">
      <c r="H42" s="1" t="s">
        <v>33</v>
      </c>
      <c r="I42" s="101">
        <f>(I27-$I$38)/($I$39-$I$38)</f>
        <v>0.57727272727272727</v>
      </c>
      <c r="J42" s="2" t="s">
        <v>545</v>
      </c>
      <c r="K42" s="98"/>
    </row>
    <row r="43" spans="8:13" x14ac:dyDescent="0.25">
      <c r="H43" s="1" t="s">
        <v>592</v>
      </c>
      <c r="I43" s="101">
        <f>(J27-$I$38)/($I$39-$I$38)</f>
        <v>0.37272727272727274</v>
      </c>
      <c r="J43" s="2" t="s">
        <v>282</v>
      </c>
      <c r="K43" s="99"/>
    </row>
    <row r="44" spans="8:13" x14ac:dyDescent="0.25">
      <c r="H44" s="1" t="s">
        <v>664</v>
      </c>
      <c r="I44" s="101">
        <f>(K27-$I$38)/($I$39-$I$38)</f>
        <v>0.77272727272727271</v>
      </c>
      <c r="J44" s="2" t="s">
        <v>269</v>
      </c>
      <c r="K44" s="100"/>
    </row>
  </sheetData>
  <mergeCells count="9">
    <mergeCell ref="B9:E9"/>
    <mergeCell ref="A9:A10"/>
    <mergeCell ref="A5:E5"/>
    <mergeCell ref="H32:M36"/>
    <mergeCell ref="J41:K41"/>
    <mergeCell ref="H5:M5"/>
    <mergeCell ref="H9:M11"/>
    <mergeCell ref="I15:K15"/>
    <mergeCell ref="H15:H16"/>
  </mergeCells>
  <pageMargins left="0.7" right="0.7" top="0.75" bottom="0.75" header="0.3" footer="0.3"/>
  <ignoredErrors>
    <ignoredError sqref="B21:E21 I17:I26" formulaRange="1"/>
  </ignoredError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6">
    <tabColor theme="7"/>
  </sheetPr>
  <dimension ref="A2:AA32"/>
  <sheetViews>
    <sheetView zoomScaleNormal="100" workbookViewId="0">
      <selection activeCell="F9" sqref="F9"/>
    </sheetView>
  </sheetViews>
  <sheetFormatPr baseColWidth="10" defaultColWidth="11.5703125" defaultRowHeight="15" x14ac:dyDescent="0.25"/>
  <cols>
    <col min="1" max="1" width="16.140625" customWidth="1"/>
    <col min="2" max="2" width="11.140625" customWidth="1"/>
    <col min="3" max="3" width="14.28515625" bestFit="1" customWidth="1"/>
    <col min="4" max="4" width="21.28515625" bestFit="1" customWidth="1"/>
    <col min="5" max="5" width="12.28515625" customWidth="1"/>
    <col min="6" max="6" width="11.85546875" bestFit="1" customWidth="1"/>
    <col min="7" max="7" width="14.42578125" bestFit="1" customWidth="1"/>
    <col min="8" max="8" width="13.7109375" bestFit="1" customWidth="1"/>
    <col min="9" max="9" width="10.140625" customWidth="1"/>
    <col min="10" max="10" width="9.85546875" bestFit="1" customWidth="1"/>
    <col min="11" max="12" width="10" bestFit="1" customWidth="1"/>
    <col min="13" max="13" width="9.7109375" bestFit="1" customWidth="1"/>
    <col min="14" max="14" width="11.7109375" customWidth="1"/>
    <col min="15" max="15" width="11" bestFit="1" customWidth="1"/>
    <col min="16" max="16" width="9.42578125" bestFit="1" customWidth="1"/>
    <col min="17" max="17" width="7.28515625" bestFit="1" customWidth="1"/>
    <col min="18" max="18" width="11" bestFit="1" customWidth="1"/>
    <col min="19" max="19" width="8" bestFit="1" customWidth="1"/>
    <col min="20" max="20" width="9.28515625" bestFit="1" customWidth="1"/>
    <col min="21" max="21" width="7.28515625" bestFit="1" customWidth="1"/>
    <col min="22" max="22" width="10.85546875" bestFit="1" customWidth="1"/>
    <col min="23" max="23" width="8.7109375" bestFit="1" customWidth="1"/>
    <col min="24" max="24" width="8.5703125" customWidth="1"/>
    <col min="25" max="25" width="9.5703125" bestFit="1" customWidth="1"/>
    <col min="26" max="27" width="11.28515625" bestFit="1" customWidth="1"/>
  </cols>
  <sheetData>
    <row r="2" spans="1:27" x14ac:dyDescent="0.25">
      <c r="C2" s="4" t="s">
        <v>476</v>
      </c>
      <c r="D2" t="s">
        <v>502</v>
      </c>
      <c r="E2" s="8"/>
      <c r="G2" s="4" t="s">
        <v>546</v>
      </c>
      <c r="H2" t="s">
        <v>547</v>
      </c>
      <c r="J2" s="4"/>
    </row>
    <row r="3" spans="1:27" x14ac:dyDescent="0.25">
      <c r="C3" s="4"/>
      <c r="E3" s="8"/>
      <c r="G3" s="4"/>
      <c r="J3" s="4"/>
    </row>
    <row r="4" spans="1:27" x14ac:dyDescent="0.25">
      <c r="A4" t="s">
        <v>792</v>
      </c>
    </row>
    <row r="6" spans="1:27" ht="30" x14ac:dyDescent="0.25">
      <c r="A6" s="151" t="s">
        <v>548</v>
      </c>
      <c r="B6" s="151" t="s">
        <v>29</v>
      </c>
      <c r="C6" s="149" t="s">
        <v>549</v>
      </c>
      <c r="D6" s="149" t="s">
        <v>550</v>
      </c>
      <c r="E6" s="149" t="s">
        <v>482</v>
      </c>
      <c r="F6" s="89" t="s">
        <v>551</v>
      </c>
      <c r="G6" s="89" t="s">
        <v>552</v>
      </c>
      <c r="H6" s="89" t="s">
        <v>553</v>
      </c>
      <c r="I6" s="89" t="s">
        <v>554</v>
      </c>
      <c r="J6" s="89" t="s">
        <v>555</v>
      </c>
      <c r="K6" s="89" t="s">
        <v>556</v>
      </c>
      <c r="L6" s="89" t="s">
        <v>557</v>
      </c>
      <c r="M6" s="89" t="s">
        <v>558</v>
      </c>
      <c r="N6" s="89" t="s">
        <v>371</v>
      </c>
      <c r="O6" s="89" t="s">
        <v>559</v>
      </c>
      <c r="P6" s="89" t="s">
        <v>560</v>
      </c>
      <c r="Q6" s="89" t="s">
        <v>561</v>
      </c>
      <c r="R6" s="89" t="s">
        <v>562</v>
      </c>
      <c r="S6" s="89" t="s">
        <v>563</v>
      </c>
      <c r="T6" s="89" t="s">
        <v>564</v>
      </c>
      <c r="U6" s="89" t="s">
        <v>565</v>
      </c>
      <c r="V6" s="89" t="s">
        <v>566</v>
      </c>
      <c r="W6" s="89" t="s">
        <v>567</v>
      </c>
      <c r="X6" s="89" t="s">
        <v>568</v>
      </c>
      <c r="Y6" s="89" t="s">
        <v>569</v>
      </c>
      <c r="Z6" s="89" t="s">
        <v>570</v>
      </c>
      <c r="AA6" s="109" t="s">
        <v>571</v>
      </c>
    </row>
    <row r="7" spans="1:27" x14ac:dyDescent="0.25">
      <c r="A7" s="152"/>
      <c r="B7" s="152"/>
      <c r="C7" s="150"/>
      <c r="D7" s="150"/>
      <c r="E7" s="150"/>
      <c r="F7" s="88" t="s">
        <v>572</v>
      </c>
      <c r="G7" s="110" t="s">
        <v>573</v>
      </c>
      <c r="H7" s="88" t="s">
        <v>574</v>
      </c>
      <c r="I7" s="88" t="s">
        <v>575</v>
      </c>
      <c r="J7" s="88" t="s">
        <v>576</v>
      </c>
      <c r="K7" s="88" t="s">
        <v>577</v>
      </c>
      <c r="L7" s="88" t="s">
        <v>578</v>
      </c>
      <c r="M7" s="88" t="s">
        <v>579</v>
      </c>
      <c r="N7" s="88"/>
      <c r="O7" s="42" t="s">
        <v>580</v>
      </c>
      <c r="P7" s="42" t="s">
        <v>581</v>
      </c>
      <c r="Q7" s="42" t="s">
        <v>582</v>
      </c>
      <c r="R7" s="42" t="s">
        <v>583</v>
      </c>
      <c r="S7" s="42" t="s">
        <v>584</v>
      </c>
      <c r="T7" s="42" t="s">
        <v>585</v>
      </c>
      <c r="U7" s="42" t="s">
        <v>586</v>
      </c>
      <c r="V7" s="42" t="s">
        <v>587</v>
      </c>
      <c r="W7" s="42" t="s">
        <v>588</v>
      </c>
      <c r="X7" s="42" t="s">
        <v>589</v>
      </c>
      <c r="Y7" s="42" t="s">
        <v>590</v>
      </c>
      <c r="Z7" s="42" t="s">
        <v>591</v>
      </c>
      <c r="AA7" s="42" t="s">
        <v>591</v>
      </c>
    </row>
    <row r="8" spans="1:27" s="3" customFormat="1" x14ac:dyDescent="0.25">
      <c r="A8" s="35">
        <v>45625</v>
      </c>
      <c r="B8" s="35" t="s">
        <v>592</v>
      </c>
      <c r="C8" s="7" t="s">
        <v>15</v>
      </c>
      <c r="D8" s="7" t="s">
        <v>593</v>
      </c>
      <c r="E8" s="2">
        <v>1</v>
      </c>
      <c r="F8" s="9"/>
      <c r="G8" s="9"/>
      <c r="H8" s="9"/>
      <c r="I8" s="9"/>
      <c r="J8" s="9" t="s">
        <v>594</v>
      </c>
      <c r="K8" s="9">
        <v>3.4000000000000002E-2</v>
      </c>
      <c r="L8" s="9">
        <v>5.5E-2</v>
      </c>
      <c r="M8" s="9">
        <v>0.10299999999999999</v>
      </c>
      <c r="N8" s="9"/>
      <c r="O8" s="9">
        <v>68.5</v>
      </c>
      <c r="P8" s="9">
        <v>7</v>
      </c>
      <c r="Q8" s="9">
        <v>13.64</v>
      </c>
      <c r="R8" s="9">
        <v>88</v>
      </c>
      <c r="S8" s="9">
        <v>14.82</v>
      </c>
      <c r="T8" s="9">
        <v>12.39</v>
      </c>
      <c r="U8" s="9">
        <v>7.3999999999999996E-2</v>
      </c>
      <c r="V8" s="9" t="s">
        <v>595</v>
      </c>
      <c r="W8" s="9">
        <v>14.91</v>
      </c>
      <c r="X8" s="9">
        <v>14.41</v>
      </c>
      <c r="Y8" s="9">
        <v>3.33</v>
      </c>
      <c r="Z8" s="9">
        <v>1300</v>
      </c>
      <c r="AA8" s="9">
        <v>190</v>
      </c>
    </row>
    <row r="9" spans="1:27" s="3" customFormat="1" x14ac:dyDescent="0.25">
      <c r="A9" s="35">
        <v>45625</v>
      </c>
      <c r="B9" s="35" t="s">
        <v>592</v>
      </c>
      <c r="C9" s="7" t="s">
        <v>15</v>
      </c>
      <c r="D9" s="7" t="s">
        <v>596</v>
      </c>
      <c r="E9" s="2">
        <v>2</v>
      </c>
      <c r="F9" s="9"/>
      <c r="G9" s="9"/>
      <c r="H9" s="9"/>
      <c r="I9" s="9"/>
      <c r="J9" s="9" t="s">
        <v>594</v>
      </c>
      <c r="K9" s="9">
        <v>3.3000000000000002E-2</v>
      </c>
      <c r="L9" s="9">
        <v>7.1999999999999995E-2</v>
      </c>
      <c r="M9" s="9">
        <v>4.2999999999999997E-2</v>
      </c>
      <c r="N9" s="9"/>
      <c r="O9" s="9">
        <v>59.5</v>
      </c>
      <c r="P9" s="9">
        <v>6</v>
      </c>
      <c r="Q9" s="9">
        <v>14.89</v>
      </c>
      <c r="R9" s="9">
        <v>49.5</v>
      </c>
      <c r="S9" s="9">
        <v>9.42</v>
      </c>
      <c r="T9" s="9">
        <v>6.34</v>
      </c>
      <c r="U9" s="9">
        <v>3.7999999999999999E-2</v>
      </c>
      <c r="V9" s="9" t="s">
        <v>595</v>
      </c>
      <c r="W9" s="9">
        <v>12.92</v>
      </c>
      <c r="X9" s="9">
        <v>13.83</v>
      </c>
      <c r="Y9" s="9">
        <v>1.57</v>
      </c>
      <c r="Z9" s="9">
        <v>1800</v>
      </c>
      <c r="AA9" s="9">
        <v>170</v>
      </c>
    </row>
    <row r="10" spans="1:27" x14ac:dyDescent="0.25">
      <c r="A10" s="35">
        <v>45625</v>
      </c>
      <c r="B10" s="35" t="s">
        <v>32</v>
      </c>
      <c r="C10" s="7" t="s">
        <v>20</v>
      </c>
      <c r="D10" s="7" t="s">
        <v>597</v>
      </c>
      <c r="E10" s="2">
        <v>1</v>
      </c>
      <c r="F10" s="9"/>
      <c r="G10" s="9"/>
      <c r="H10" s="9"/>
      <c r="I10" s="9"/>
      <c r="J10" s="9" t="s">
        <v>594</v>
      </c>
      <c r="K10" s="9">
        <v>3.5000000000000003E-2</v>
      </c>
      <c r="L10" s="9">
        <v>6.2E-2</v>
      </c>
      <c r="M10" s="9">
        <v>3.1E-2</v>
      </c>
      <c r="N10" s="9"/>
      <c r="O10" s="9">
        <v>55</v>
      </c>
      <c r="P10" s="9">
        <v>7</v>
      </c>
      <c r="Q10" s="9">
        <v>12.4</v>
      </c>
      <c r="R10" s="9">
        <v>49.1</v>
      </c>
      <c r="S10" s="9">
        <v>7.01</v>
      </c>
      <c r="T10" s="9">
        <v>5.77</v>
      </c>
      <c r="U10" s="9">
        <v>2.8000000000000001E-2</v>
      </c>
      <c r="V10" s="9" t="s">
        <v>595</v>
      </c>
      <c r="W10" s="9">
        <v>10.199999999999999</v>
      </c>
      <c r="X10" s="9">
        <v>11.5</v>
      </c>
      <c r="Y10" s="9">
        <v>3.29</v>
      </c>
      <c r="Z10" s="9">
        <v>1500</v>
      </c>
      <c r="AA10" s="9">
        <v>150</v>
      </c>
    </row>
    <row r="11" spans="1:27" x14ac:dyDescent="0.25">
      <c r="A11" s="35">
        <v>45625</v>
      </c>
      <c r="B11" s="35" t="s">
        <v>598</v>
      </c>
      <c r="C11" s="7" t="s">
        <v>177</v>
      </c>
      <c r="D11" s="7" t="s">
        <v>599</v>
      </c>
      <c r="E11" s="2">
        <v>1</v>
      </c>
      <c r="F11" s="9"/>
      <c r="G11" s="9"/>
      <c r="H11" s="9"/>
      <c r="I11" s="9"/>
      <c r="J11" s="9" t="s">
        <v>594</v>
      </c>
      <c r="K11" s="9">
        <v>3.6999999999999998E-2</v>
      </c>
      <c r="L11" s="9">
        <v>6.9000000000000006E-2</v>
      </c>
      <c r="M11" s="9">
        <v>0.129</v>
      </c>
      <c r="N11" s="9"/>
      <c r="O11" s="9">
        <v>71</v>
      </c>
      <c r="P11" s="9">
        <v>8</v>
      </c>
      <c r="Q11" s="9">
        <v>21.09</v>
      </c>
      <c r="R11" s="9">
        <v>55</v>
      </c>
      <c r="S11" s="9">
        <v>8.6199999999999992</v>
      </c>
      <c r="T11" s="9">
        <v>8.14</v>
      </c>
      <c r="U11" s="9">
        <v>0.187</v>
      </c>
      <c r="V11" s="9" t="s">
        <v>595</v>
      </c>
      <c r="W11" s="9">
        <v>11.63</v>
      </c>
      <c r="X11" s="9">
        <v>15.08</v>
      </c>
      <c r="Y11" s="9">
        <v>6.88</v>
      </c>
      <c r="Z11" s="9">
        <v>2100</v>
      </c>
      <c r="AA11" s="9">
        <v>310</v>
      </c>
    </row>
    <row r="12" spans="1:27" x14ac:dyDescent="0.25">
      <c r="A12" s="36">
        <v>45625</v>
      </c>
      <c r="B12" s="36" t="s">
        <v>598</v>
      </c>
      <c r="C12" s="37" t="s">
        <v>600</v>
      </c>
      <c r="D12" s="37" t="s">
        <v>601</v>
      </c>
      <c r="E12" s="38">
        <v>2</v>
      </c>
      <c r="F12" s="39"/>
      <c r="G12" s="39"/>
      <c r="H12" s="39"/>
      <c r="I12" s="39"/>
      <c r="J12" s="39" t="s">
        <v>594</v>
      </c>
      <c r="K12" s="40">
        <v>0.04</v>
      </c>
      <c r="L12" s="39">
        <v>7.1999999999999995E-2</v>
      </c>
      <c r="M12" s="39">
        <v>0.124</v>
      </c>
      <c r="N12" s="39"/>
      <c r="O12" s="39">
        <v>71.3</v>
      </c>
      <c r="P12" s="39">
        <v>7</v>
      </c>
      <c r="Q12" s="39">
        <v>23.33</v>
      </c>
      <c r="R12" s="39">
        <v>57.7</v>
      </c>
      <c r="S12" s="39">
        <v>9.02</v>
      </c>
      <c r="T12" s="39">
        <v>8.57</v>
      </c>
      <c r="U12" s="39">
        <v>0.17199999999999999</v>
      </c>
      <c r="V12" s="39" t="s">
        <v>595</v>
      </c>
      <c r="W12" s="39">
        <v>11.46</v>
      </c>
      <c r="X12" s="39">
        <v>14.45</v>
      </c>
      <c r="Y12" s="39">
        <v>8.5399999999999991</v>
      </c>
      <c r="Z12" s="39">
        <v>2400</v>
      </c>
      <c r="AA12" s="39">
        <v>370</v>
      </c>
    </row>
    <row r="13" spans="1:27" x14ac:dyDescent="0.25">
      <c r="A13" s="35">
        <v>45625</v>
      </c>
      <c r="B13" s="35" t="s">
        <v>598</v>
      </c>
      <c r="C13" s="7" t="s">
        <v>177</v>
      </c>
      <c r="D13" s="7" t="s">
        <v>602</v>
      </c>
      <c r="E13" s="2">
        <v>3</v>
      </c>
      <c r="F13" s="9"/>
      <c r="G13" s="9"/>
      <c r="H13" s="9"/>
      <c r="I13" s="9"/>
      <c r="J13" s="9" t="s">
        <v>594</v>
      </c>
      <c r="K13" s="9">
        <v>3.5000000000000003E-2</v>
      </c>
      <c r="L13" s="9">
        <v>8.4000000000000005E-2</v>
      </c>
      <c r="M13" s="9">
        <v>0.111</v>
      </c>
      <c r="N13" s="9"/>
      <c r="O13" s="9">
        <v>77.5</v>
      </c>
      <c r="P13" s="9">
        <v>6</v>
      </c>
      <c r="Q13" s="9">
        <v>24.81</v>
      </c>
      <c r="R13" s="9">
        <v>52.5</v>
      </c>
      <c r="S13" s="9">
        <v>9.0399999999999991</v>
      </c>
      <c r="T13" s="9">
        <v>7.23</v>
      </c>
      <c r="U13" s="9">
        <v>0.20300000000000001</v>
      </c>
      <c r="V13" s="9" t="s">
        <v>595</v>
      </c>
      <c r="W13" s="9">
        <v>11.63</v>
      </c>
      <c r="X13" s="9">
        <v>14.93</v>
      </c>
      <c r="Y13" s="9">
        <v>16.3</v>
      </c>
      <c r="Z13" s="9">
        <v>2700</v>
      </c>
      <c r="AA13" s="9">
        <v>410</v>
      </c>
    </row>
    <row r="14" spans="1:27" x14ac:dyDescent="0.25">
      <c r="A14" s="35">
        <v>45779</v>
      </c>
      <c r="B14" s="35" t="s">
        <v>32</v>
      </c>
      <c r="C14" s="7" t="s">
        <v>603</v>
      </c>
      <c r="D14" s="7" t="s">
        <v>603</v>
      </c>
      <c r="E14" s="2">
        <v>1</v>
      </c>
      <c r="F14" s="9"/>
      <c r="G14" s="9">
        <v>89.5</v>
      </c>
      <c r="H14" s="9"/>
      <c r="I14" s="9">
        <v>7.2</v>
      </c>
      <c r="J14" s="9">
        <v>2.0000000000000001E-4</v>
      </c>
      <c r="K14" s="9">
        <v>3.8300000000000001E-2</v>
      </c>
      <c r="L14" s="9">
        <v>7.1599999999999997E-2</v>
      </c>
      <c r="M14" s="9">
        <v>2.1399999999999999E-2</v>
      </c>
      <c r="N14" s="9"/>
      <c r="O14" s="9">
        <v>55</v>
      </c>
      <c r="P14" s="9">
        <v>6</v>
      </c>
      <c r="Q14" s="9">
        <v>39.700000000000003</v>
      </c>
      <c r="R14" s="9">
        <v>46.75</v>
      </c>
      <c r="S14" s="9">
        <v>9.6199999999999992</v>
      </c>
      <c r="T14" s="9">
        <v>5.53</v>
      </c>
      <c r="U14" s="9">
        <v>9.4600000000000004E-2</v>
      </c>
      <c r="V14" s="9" t="s">
        <v>595</v>
      </c>
      <c r="W14" s="9">
        <v>2.64</v>
      </c>
      <c r="X14" s="9">
        <v>12.19</v>
      </c>
      <c r="Y14" s="9">
        <v>5.45</v>
      </c>
      <c r="Z14" s="9">
        <v>1450</v>
      </c>
      <c r="AA14" s="9">
        <v>250</v>
      </c>
    </row>
    <row r="15" spans="1:27" x14ac:dyDescent="0.25">
      <c r="A15" s="35">
        <v>45780</v>
      </c>
      <c r="B15" s="35" t="s">
        <v>32</v>
      </c>
      <c r="C15" s="7" t="s">
        <v>24</v>
      </c>
      <c r="D15" s="7" t="s">
        <v>604</v>
      </c>
      <c r="E15" s="2">
        <v>1</v>
      </c>
      <c r="F15" s="9">
        <v>23.97</v>
      </c>
      <c r="G15" s="9">
        <v>63.2</v>
      </c>
      <c r="H15" s="9">
        <v>13.37</v>
      </c>
      <c r="I15" s="9">
        <v>6.77</v>
      </c>
      <c r="J15" s="9">
        <v>1E-4</v>
      </c>
      <c r="K15" s="9">
        <v>3.0200000000000001E-2</v>
      </c>
      <c r="L15" s="9">
        <v>7.1599999999999997E-2</v>
      </c>
      <c r="M15" s="9" t="s">
        <v>605</v>
      </c>
      <c r="N15" s="9"/>
      <c r="O15" s="9">
        <v>33</v>
      </c>
      <c r="P15" s="9">
        <v>5</v>
      </c>
      <c r="Q15" s="9">
        <v>35.979999999999997</v>
      </c>
      <c r="R15" s="9">
        <v>30.25</v>
      </c>
      <c r="S15" s="9">
        <v>6.41</v>
      </c>
      <c r="T15" s="9">
        <v>3.46</v>
      </c>
      <c r="U15" s="9">
        <v>4.3200000000000002E-2</v>
      </c>
      <c r="V15" s="9" t="s">
        <v>595</v>
      </c>
      <c r="W15" s="9">
        <v>2.1800000000000002</v>
      </c>
      <c r="X15" s="9">
        <v>10.77</v>
      </c>
      <c r="Y15" s="9">
        <v>1.38</v>
      </c>
      <c r="Z15" s="9">
        <v>990</v>
      </c>
      <c r="AA15" s="9">
        <v>140</v>
      </c>
    </row>
    <row r="16" spans="1:27" x14ac:dyDescent="0.25">
      <c r="A16" s="111"/>
      <c r="B16" s="111"/>
      <c r="C16" s="66"/>
      <c r="D16" s="66"/>
      <c r="E16" s="3"/>
      <c r="F16" s="90"/>
      <c r="G16" s="90"/>
      <c r="H16" s="90"/>
      <c r="I16" s="90"/>
      <c r="J16" s="90"/>
      <c r="K16" s="90"/>
      <c r="L16" s="90"/>
      <c r="M16" s="90"/>
      <c r="N16" s="90"/>
      <c r="O16" s="90"/>
      <c r="P16" s="90"/>
      <c r="Q16" s="90"/>
      <c r="R16" s="90"/>
      <c r="S16" s="90"/>
      <c r="T16" s="90"/>
      <c r="U16" s="90"/>
      <c r="V16" s="90"/>
      <c r="W16" s="90"/>
      <c r="X16" s="90"/>
      <c r="Y16" s="90"/>
      <c r="Z16" s="90"/>
      <c r="AA16" s="90"/>
    </row>
    <row r="17" spans="1:15" x14ac:dyDescent="0.25">
      <c r="A17" s="111"/>
      <c r="B17" s="111"/>
      <c r="C17" s="66"/>
      <c r="D17" s="66"/>
      <c r="E17" s="3"/>
      <c r="F17" s="90"/>
      <c r="G17" s="90"/>
      <c r="H17" s="90"/>
      <c r="I17" s="90"/>
    </row>
    <row r="18" spans="1:15" x14ac:dyDescent="0.25">
      <c r="A18" s="4" t="s">
        <v>793</v>
      </c>
    </row>
    <row r="19" spans="1:15" x14ac:dyDescent="0.25">
      <c r="A19" s="4"/>
    </row>
    <row r="20" spans="1:15" ht="30" x14ac:dyDescent="0.25">
      <c r="A20" s="148" t="s">
        <v>794</v>
      </c>
      <c r="B20" s="89" t="s">
        <v>556</v>
      </c>
      <c r="C20" s="89" t="s">
        <v>557</v>
      </c>
      <c r="D20" s="89" t="s">
        <v>558</v>
      </c>
      <c r="E20" s="89" t="s">
        <v>559</v>
      </c>
      <c r="F20" s="89" t="s">
        <v>561</v>
      </c>
      <c r="G20" s="89" t="s">
        <v>562</v>
      </c>
      <c r="H20" s="89" t="s">
        <v>563</v>
      </c>
      <c r="I20" s="89" t="s">
        <v>564</v>
      </c>
      <c r="J20" s="89" t="s">
        <v>565</v>
      </c>
      <c r="K20" s="89" t="s">
        <v>567</v>
      </c>
      <c r="L20" s="89" t="s">
        <v>568</v>
      </c>
      <c r="M20" s="89" t="s">
        <v>569</v>
      </c>
      <c r="N20" s="89" t="s">
        <v>570</v>
      </c>
      <c r="O20" s="109" t="s">
        <v>571</v>
      </c>
    </row>
    <row r="21" spans="1:15" x14ac:dyDescent="0.25">
      <c r="A21" s="148"/>
      <c r="B21" s="88" t="s">
        <v>577</v>
      </c>
      <c r="C21" s="88" t="s">
        <v>578</v>
      </c>
      <c r="D21" s="88" t="s">
        <v>579</v>
      </c>
      <c r="E21" s="42" t="s">
        <v>580</v>
      </c>
      <c r="F21" s="42" t="s">
        <v>582</v>
      </c>
      <c r="G21" s="42" t="s">
        <v>583</v>
      </c>
      <c r="H21" s="42" t="s">
        <v>584</v>
      </c>
      <c r="I21" s="42" t="s">
        <v>585</v>
      </c>
      <c r="J21" s="42" t="s">
        <v>586</v>
      </c>
      <c r="K21" s="42" t="s">
        <v>588</v>
      </c>
      <c r="L21" s="42" t="s">
        <v>589</v>
      </c>
      <c r="M21" s="42" t="s">
        <v>590</v>
      </c>
      <c r="N21" s="42" t="s">
        <v>591</v>
      </c>
      <c r="O21" s="42" t="s">
        <v>591</v>
      </c>
    </row>
    <row r="22" spans="1:15" x14ac:dyDescent="0.25">
      <c r="A22" s="1" t="s">
        <v>33</v>
      </c>
      <c r="B22" s="113">
        <f>+AVERAGE($K$11:$K$13)</f>
        <v>3.7333333333333336E-2</v>
      </c>
      <c r="C22" s="97">
        <f>+AVERAGE($L$11:$L$13)</f>
        <v>7.5000000000000011E-2</v>
      </c>
      <c r="D22" s="97">
        <f>+AVERAGE($M$11:$M$13)</f>
        <v>0.12133333333333333</v>
      </c>
      <c r="E22" s="97">
        <f>+AVERAGE($O$11:$O$13)</f>
        <v>73.266666666666666</v>
      </c>
      <c r="F22" s="97">
        <f>+AVERAGE($Q$11:$Q$13)</f>
        <v>23.076666666666668</v>
      </c>
      <c r="G22" s="97">
        <f>+AVERAGE($R$11:$R$13)</f>
        <v>55.066666666666663</v>
      </c>
      <c r="H22" s="97">
        <f>+AVERAGE($S$11:$S$13)</f>
        <v>8.8933333333333326</v>
      </c>
      <c r="I22" s="97">
        <f>+AVERAGE($T$11:$T$13)</f>
        <v>7.98</v>
      </c>
      <c r="J22" s="97">
        <f>+AVERAGE($U$11:$U$13)</f>
        <v>0.18733333333333335</v>
      </c>
      <c r="K22" s="97">
        <f>+AVERAGE($W$11:$W$13)</f>
        <v>11.573333333333336</v>
      </c>
      <c r="L22" s="97">
        <f>+AVERAGE($X$11:$X$13)</f>
        <v>14.82</v>
      </c>
      <c r="M22" s="97">
        <f>+AVERAGE($Y$11:$Y$13)</f>
        <v>10.573333333333332</v>
      </c>
      <c r="N22" s="53">
        <f>+AVERAGE($Z$11:$Z$13)</f>
        <v>2400</v>
      </c>
      <c r="O22" s="53">
        <f>+AVERAGE($AA$11:$AA$13)</f>
        <v>363.33333333333331</v>
      </c>
    </row>
    <row r="23" spans="1:15" x14ac:dyDescent="0.25">
      <c r="A23" s="1" t="s">
        <v>592</v>
      </c>
      <c r="B23" s="113">
        <f>+AVERAGE($K$8:$K$9)</f>
        <v>3.3500000000000002E-2</v>
      </c>
      <c r="C23" s="97">
        <f>+AVERAGE($L$8:$L$9)</f>
        <v>6.3500000000000001E-2</v>
      </c>
      <c r="D23" s="97">
        <f>+AVERAGE($M$8:$M$9)</f>
        <v>7.2999999999999995E-2</v>
      </c>
      <c r="E23" s="97">
        <f>+AVERAGE($O$8:$O$9)</f>
        <v>64</v>
      </c>
      <c r="F23" s="97">
        <f>+AVERAGE($Q$8:$Q$9)</f>
        <v>14.265000000000001</v>
      </c>
      <c r="G23" s="97">
        <f>+AVERAGE($R$8:$R$9)</f>
        <v>68.75</v>
      </c>
      <c r="H23" s="97">
        <f>+AVERAGE($S$8:$S$9)</f>
        <v>12.120000000000001</v>
      </c>
      <c r="I23" s="97">
        <f>+AVERAGE($T$8:$T$9)</f>
        <v>9.3650000000000002</v>
      </c>
      <c r="J23" s="97">
        <f>+AVERAGE($U$8:$U$9)</f>
        <v>5.5999999999999994E-2</v>
      </c>
      <c r="K23" s="97">
        <f>+AVERAGE($W$8:$W$9)</f>
        <v>13.914999999999999</v>
      </c>
      <c r="L23" s="97">
        <f>+AVERAGE($X$8:$X$9)</f>
        <v>14.120000000000001</v>
      </c>
      <c r="M23" s="97">
        <f>+AVERAGE($Y$8:$Y$9)</f>
        <v>2.4500000000000002</v>
      </c>
      <c r="N23" s="53">
        <f>+AVERAGE($Z$8:$Z$9)</f>
        <v>1550</v>
      </c>
      <c r="O23" s="53">
        <f>+AVERAGE($AA$8:$AA$9)</f>
        <v>180</v>
      </c>
    </row>
    <row r="24" spans="1:15" x14ac:dyDescent="0.25">
      <c r="A24" s="1" t="s">
        <v>664</v>
      </c>
      <c r="B24" s="113">
        <f>+AVERAGE($K$14:$K$15,$K$10)</f>
        <v>3.4500000000000003E-2</v>
      </c>
      <c r="C24" s="97">
        <f>+AVERAGE($L$14:$L$15,$L$10)</f>
        <v>6.8400000000000002E-2</v>
      </c>
      <c r="D24" s="97">
        <f>+AVERAGE($M$14:$M$15,$M$10)</f>
        <v>2.6200000000000001E-2</v>
      </c>
      <c r="E24" s="97">
        <f>+AVERAGE($O$14:$O$15,$O$10)</f>
        <v>47.666666666666664</v>
      </c>
      <c r="F24" s="97">
        <f>+AVERAGE($Q$14:$Q$15,$Q$10)</f>
        <v>29.360000000000003</v>
      </c>
      <c r="G24" s="97">
        <f>+AVERAGE($R$14:$R$15,$R$10)</f>
        <v>42.033333333333331</v>
      </c>
      <c r="H24" s="97">
        <f>+AVERAGE($S$14:$S$15,$S$10)</f>
        <v>7.68</v>
      </c>
      <c r="I24" s="97">
        <f>+AVERAGE($T$14:$T$15,$T$10)</f>
        <v>4.92</v>
      </c>
      <c r="J24" s="97">
        <f>+AVERAGE($U$14:$U$15,$U$10)</f>
        <v>5.5266666666666665E-2</v>
      </c>
      <c r="K24" s="97">
        <f>+AVERAGE($W$14:$W$15,$W$10)</f>
        <v>5.0066666666666668</v>
      </c>
      <c r="L24" s="97">
        <f>+AVERAGE($X$14:$X$15,$X$10)</f>
        <v>11.486666666666666</v>
      </c>
      <c r="M24" s="97">
        <f>+AVERAGE($Y$14:$Y$15,$Y$10)</f>
        <v>3.3733333333333335</v>
      </c>
      <c r="N24" s="53">
        <f>+AVERAGE($Z$14:$Z$15,$Z$10)</f>
        <v>1313.3333333333333</v>
      </c>
      <c r="O24" s="53">
        <f>+AVERAGE($AA$14:$AA$15,$AA$10)</f>
        <v>180</v>
      </c>
    </row>
    <row r="25" spans="1:15" x14ac:dyDescent="0.25">
      <c r="B25" s="96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112"/>
      <c r="O25" s="112"/>
    </row>
    <row r="26" spans="1:15" ht="30" x14ac:dyDescent="0.25">
      <c r="A26" s="148" t="s">
        <v>794</v>
      </c>
      <c r="B26" s="89" t="s">
        <v>556</v>
      </c>
      <c r="C26" s="89" t="s">
        <v>557</v>
      </c>
      <c r="D26" s="89" t="s">
        <v>558</v>
      </c>
      <c r="E26" s="89" t="s">
        <v>559</v>
      </c>
      <c r="F26" s="89" t="s">
        <v>561</v>
      </c>
      <c r="G26" s="89" t="s">
        <v>562</v>
      </c>
      <c r="H26" s="89" t="s">
        <v>563</v>
      </c>
      <c r="I26" s="89" t="s">
        <v>564</v>
      </c>
      <c r="J26" s="89" t="s">
        <v>565</v>
      </c>
      <c r="K26" s="89" t="s">
        <v>567</v>
      </c>
      <c r="L26" s="89" t="s">
        <v>568</v>
      </c>
      <c r="M26" s="89" t="s">
        <v>569</v>
      </c>
      <c r="N26" s="89" t="s">
        <v>570</v>
      </c>
      <c r="O26" s="109" t="s">
        <v>571</v>
      </c>
    </row>
    <row r="27" spans="1:15" x14ac:dyDescent="0.25">
      <c r="A27" s="148"/>
      <c r="B27" s="88" t="s">
        <v>577</v>
      </c>
      <c r="C27" s="88" t="s">
        <v>578</v>
      </c>
      <c r="D27" s="88" t="s">
        <v>579</v>
      </c>
      <c r="E27" s="42" t="s">
        <v>580</v>
      </c>
      <c r="F27" s="42" t="s">
        <v>582</v>
      </c>
      <c r="G27" s="42" t="s">
        <v>583</v>
      </c>
      <c r="H27" s="42" t="s">
        <v>584</v>
      </c>
      <c r="I27" s="42" t="s">
        <v>585</v>
      </c>
      <c r="J27" s="42" t="s">
        <v>586</v>
      </c>
      <c r="K27" s="42" t="s">
        <v>588</v>
      </c>
      <c r="L27" s="42" t="s">
        <v>589</v>
      </c>
      <c r="M27" s="42" t="s">
        <v>590</v>
      </c>
      <c r="N27" s="42" t="s">
        <v>591</v>
      </c>
      <c r="O27" s="42" t="s">
        <v>591</v>
      </c>
    </row>
    <row r="28" spans="1:15" x14ac:dyDescent="0.25">
      <c r="A28" s="1" t="s">
        <v>600</v>
      </c>
      <c r="B28" s="113">
        <f>$K$12</f>
        <v>0.04</v>
      </c>
      <c r="C28" s="65">
        <f>$L$12</f>
        <v>7.1999999999999995E-2</v>
      </c>
      <c r="D28" s="65">
        <f>$M$12</f>
        <v>0.124</v>
      </c>
      <c r="E28" s="65">
        <f>$O$12</f>
        <v>71.3</v>
      </c>
      <c r="F28" s="65">
        <f>$Q$12</f>
        <v>23.33</v>
      </c>
      <c r="G28" s="65">
        <f>$R$12</f>
        <v>57.7</v>
      </c>
      <c r="H28" s="65">
        <f>$S$12</f>
        <v>9.02</v>
      </c>
      <c r="I28" s="65">
        <f>$T$12</f>
        <v>8.57</v>
      </c>
      <c r="J28" s="65">
        <f>$U$12</f>
        <v>0.17199999999999999</v>
      </c>
      <c r="K28" s="65">
        <f>$W$12</f>
        <v>11.46</v>
      </c>
      <c r="L28" s="65">
        <f>$X$12</f>
        <v>14.45</v>
      </c>
      <c r="M28" s="65">
        <f>$Y$12</f>
        <v>8.5399999999999991</v>
      </c>
      <c r="N28" s="53">
        <f>$Z$12</f>
        <v>2400</v>
      </c>
      <c r="O28" s="53">
        <f>$AA$12</f>
        <v>370</v>
      </c>
    </row>
    <row r="29" spans="1:15" x14ac:dyDescent="0.25">
      <c r="A29" s="1" t="s">
        <v>177</v>
      </c>
      <c r="B29" s="113">
        <f>+AVERAGE($K$13,$K$11)</f>
        <v>3.6000000000000004E-2</v>
      </c>
      <c r="C29" s="1">
        <f>+AVERAGE($L$13,$L$11)</f>
        <v>7.6500000000000012E-2</v>
      </c>
      <c r="D29" s="1">
        <f>+AVERAGE($M$13,$M$11)</f>
        <v>0.12</v>
      </c>
      <c r="E29" s="1">
        <f>+AVERAGE($O$13,$O$11)</f>
        <v>74.25</v>
      </c>
      <c r="F29" s="1">
        <f>+AVERAGE($Q$13,$Q$11)</f>
        <v>22.95</v>
      </c>
      <c r="G29" s="1">
        <f>+AVERAGE($R$13,$R$11)</f>
        <v>53.75</v>
      </c>
      <c r="H29" s="1">
        <f>+AVERAGE($S$13,$S$11)</f>
        <v>8.8299999999999983</v>
      </c>
      <c r="I29" s="1">
        <f>+AVERAGE($T$13,$T$11)</f>
        <v>7.6850000000000005</v>
      </c>
      <c r="J29" s="1">
        <f>+AVERAGE($U$13,$U$11)</f>
        <v>0.19500000000000001</v>
      </c>
      <c r="K29" s="1">
        <f>+AVERAGE($W$13,$W$11)</f>
        <v>11.63</v>
      </c>
      <c r="L29" s="1">
        <f>+AVERAGE($X$13,$X$11)</f>
        <v>15.004999999999999</v>
      </c>
      <c r="M29" s="1">
        <f>+AVERAGE($Y$13,$Y$11)</f>
        <v>11.59</v>
      </c>
      <c r="N29" s="53">
        <f>+AVERAGE($Z$13,$Z$11)</f>
        <v>2400</v>
      </c>
      <c r="O29" s="53">
        <f>+AVERAGE($AA$13,$AA$11)</f>
        <v>360</v>
      </c>
    </row>
    <row r="30" spans="1:15" x14ac:dyDescent="0.25">
      <c r="A30" s="1" t="s">
        <v>15</v>
      </c>
      <c r="B30" s="113">
        <f>+AVERAGE($K$8:$K$9)</f>
        <v>3.3500000000000002E-2</v>
      </c>
      <c r="C30" s="1">
        <f>+AVERAGE($L$8:$L$9)</f>
        <v>6.3500000000000001E-2</v>
      </c>
      <c r="D30" s="1">
        <f>+AVERAGE($M$8:$M$9)</f>
        <v>7.2999999999999995E-2</v>
      </c>
      <c r="E30" s="1">
        <f>+AVERAGE($O$8:$O$9)</f>
        <v>64</v>
      </c>
      <c r="F30" s="1">
        <f>+AVERAGE($Q$8:$Q$9)</f>
        <v>14.265000000000001</v>
      </c>
      <c r="G30" s="1">
        <f>+AVERAGE($R$8:$R$9)</f>
        <v>68.75</v>
      </c>
      <c r="H30" s="1">
        <f>+AVERAGE($S$8:$S$9)</f>
        <v>12.120000000000001</v>
      </c>
      <c r="I30" s="1">
        <f>+AVERAGE($T$8:$T$9)</f>
        <v>9.3650000000000002</v>
      </c>
      <c r="J30" s="1">
        <f>+AVERAGE($U$8:$U$9)</f>
        <v>5.5999999999999994E-2</v>
      </c>
      <c r="K30" s="1">
        <f>+AVERAGE($W$8:$W$9)</f>
        <v>13.914999999999999</v>
      </c>
      <c r="L30" s="1">
        <f>+AVERAGE($X$8:$X$9)</f>
        <v>14.120000000000001</v>
      </c>
      <c r="M30" s="1">
        <f>+AVERAGE($Y$8:$Y$9)</f>
        <v>2.4500000000000002</v>
      </c>
      <c r="N30" s="53">
        <f>+AVERAGE($Z$8:$Z$9)</f>
        <v>1550</v>
      </c>
      <c r="O30" s="53">
        <f>+AVERAGE($AA$8:$AA$9)</f>
        <v>180</v>
      </c>
    </row>
    <row r="31" spans="1:15" x14ac:dyDescent="0.25">
      <c r="A31" s="1" t="s">
        <v>20</v>
      </c>
      <c r="B31" s="113">
        <f>+AVERAGE($K$10,$K$14)</f>
        <v>3.6650000000000002E-2</v>
      </c>
      <c r="C31" s="1">
        <f>+AVERAGE($L$10,$L$14)</f>
        <v>6.6799999999999998E-2</v>
      </c>
      <c r="D31" s="1">
        <f>+AVERAGE($M$10,$M$14)</f>
        <v>2.6200000000000001E-2</v>
      </c>
      <c r="E31" s="1">
        <f>+AVERAGE($O$10,$O$14)</f>
        <v>55</v>
      </c>
      <c r="F31" s="1">
        <f>+AVERAGE($Q$10,$Q$14)</f>
        <v>26.05</v>
      </c>
      <c r="G31" s="1">
        <f>+AVERAGE($R$10,$R$14)</f>
        <v>47.924999999999997</v>
      </c>
      <c r="H31" s="1">
        <f>+AVERAGE($S$10,$S$14)</f>
        <v>8.3149999999999995</v>
      </c>
      <c r="I31" s="1">
        <f>+AVERAGE($T$10,$T$14)</f>
        <v>5.65</v>
      </c>
      <c r="J31" s="1">
        <f>+AVERAGE($U$10,$U$14)</f>
        <v>6.13E-2</v>
      </c>
      <c r="K31" s="1">
        <f>+AVERAGE($W$10,$W$14)</f>
        <v>6.42</v>
      </c>
      <c r="L31" s="1">
        <f>+AVERAGE($X$10,$X$14)</f>
        <v>11.844999999999999</v>
      </c>
      <c r="M31" s="1">
        <f>+AVERAGE($Y$10,$Y$14)</f>
        <v>4.37</v>
      </c>
      <c r="N31" s="53">
        <f>+AVERAGE($Z$10,$Z$14)</f>
        <v>1475</v>
      </c>
      <c r="O31" s="53">
        <f>+AVERAGE($AA$10,$AA$14)</f>
        <v>200</v>
      </c>
    </row>
    <row r="32" spans="1:15" x14ac:dyDescent="0.25">
      <c r="A32" s="1" t="s">
        <v>24</v>
      </c>
      <c r="B32" s="113">
        <f>+$J$15</f>
        <v>1E-4</v>
      </c>
      <c r="C32" s="1">
        <f>+$K$15</f>
        <v>3.0200000000000001E-2</v>
      </c>
      <c r="D32" s="1">
        <v>4.0000000000000001E-3</v>
      </c>
      <c r="E32" s="1">
        <f>+$O$15</f>
        <v>33</v>
      </c>
      <c r="F32" s="1">
        <f>+$Q$15</f>
        <v>35.979999999999997</v>
      </c>
      <c r="G32" s="1">
        <f>+$R$15</f>
        <v>30.25</v>
      </c>
      <c r="H32" s="1">
        <f>+$S$15</f>
        <v>6.41</v>
      </c>
      <c r="I32" s="1">
        <f>+$T$15</f>
        <v>3.46</v>
      </c>
      <c r="J32" s="1">
        <f>+$U$15</f>
        <v>4.3200000000000002E-2</v>
      </c>
      <c r="K32" s="1">
        <f>+$W$15</f>
        <v>2.1800000000000002</v>
      </c>
      <c r="L32" s="1">
        <f>+$X$15</f>
        <v>10.77</v>
      </c>
      <c r="M32" s="1">
        <f>+$Y$15</f>
        <v>1.38</v>
      </c>
      <c r="N32" s="53">
        <f>+$Z$15</f>
        <v>990</v>
      </c>
      <c r="O32" s="53">
        <f>+$AA$15</f>
        <v>140</v>
      </c>
    </row>
  </sheetData>
  <mergeCells count="7">
    <mergeCell ref="A20:A21"/>
    <mergeCell ref="A26:A27"/>
    <mergeCell ref="E6:E7"/>
    <mergeCell ref="A6:A7"/>
    <mergeCell ref="C6:C7"/>
    <mergeCell ref="B6:B7"/>
    <mergeCell ref="D6:D7"/>
  </mergeCells>
  <pageMargins left="0.51181102362204722" right="0.51181102362204722" top="0.74803149606299213" bottom="0.74803149606299213" header="0.31496062992125984" footer="0.31496062992125984"/>
  <pageSetup scale="80" orientation="portrait" horizontalDpi="4294967293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52FDF-1FE0-4C37-BCE4-60FE6D416DD6}">
  <sheetPr>
    <tabColor theme="7"/>
  </sheetPr>
  <dimension ref="A1:R228"/>
  <sheetViews>
    <sheetView workbookViewId="0">
      <selection activeCell="A2" sqref="A2"/>
    </sheetView>
  </sheetViews>
  <sheetFormatPr baseColWidth="10" defaultColWidth="11.42578125" defaultRowHeight="15" x14ac:dyDescent="0.25"/>
  <cols>
    <col min="3" max="3" width="19.85546875" bestFit="1" customWidth="1"/>
    <col min="6" max="6" width="11.42578125" bestFit="1" customWidth="1"/>
    <col min="7" max="7" width="16.140625" bestFit="1" customWidth="1"/>
    <col min="8" max="8" width="15" bestFit="1" customWidth="1"/>
    <col min="9" max="9" width="15.140625" bestFit="1" customWidth="1"/>
    <col min="12" max="12" width="19.5703125" bestFit="1" customWidth="1"/>
    <col min="13" max="13" width="10.28515625" customWidth="1"/>
    <col min="14" max="14" width="7.7109375" customWidth="1"/>
    <col min="15" max="15" width="8.85546875" customWidth="1"/>
    <col min="16" max="16" width="17.85546875" bestFit="1" customWidth="1"/>
    <col min="17" max="17" width="23.28515625" bestFit="1" customWidth="1"/>
    <col min="18" max="18" width="21" bestFit="1" customWidth="1"/>
  </cols>
  <sheetData>
    <row r="1" spans="1:18" x14ac:dyDescent="0.25">
      <c r="A1" s="4" t="s">
        <v>477</v>
      </c>
    </row>
    <row r="3" spans="1:18" ht="30" x14ac:dyDescent="0.25">
      <c r="A3" s="16" t="s">
        <v>478</v>
      </c>
      <c r="B3" s="16" t="s">
        <v>479</v>
      </c>
      <c r="C3" s="16" t="s">
        <v>480</v>
      </c>
      <c r="D3" s="16" t="s">
        <v>481</v>
      </c>
      <c r="E3" s="16" t="s">
        <v>482</v>
      </c>
      <c r="F3" s="77" t="s">
        <v>483</v>
      </c>
      <c r="G3" s="16" t="s">
        <v>484</v>
      </c>
      <c r="H3" s="16" t="s">
        <v>485</v>
      </c>
      <c r="I3" s="16" t="s">
        <v>486</v>
      </c>
      <c r="J3" s="78"/>
      <c r="L3" s="16" t="s">
        <v>480</v>
      </c>
      <c r="M3" s="16" t="s">
        <v>481</v>
      </c>
      <c r="N3" s="16" t="s">
        <v>482</v>
      </c>
      <c r="O3" s="16" t="s">
        <v>487</v>
      </c>
      <c r="P3" s="16" t="s">
        <v>488</v>
      </c>
      <c r="Q3" s="16" t="s">
        <v>489</v>
      </c>
      <c r="R3" s="16" t="s">
        <v>490</v>
      </c>
    </row>
    <row r="4" spans="1:18" x14ac:dyDescent="0.25">
      <c r="A4" s="13">
        <v>45629</v>
      </c>
      <c r="B4" s="1" t="s">
        <v>491</v>
      </c>
      <c r="C4" s="1" t="s">
        <v>492</v>
      </c>
      <c r="D4" s="1" t="s">
        <v>473</v>
      </c>
      <c r="E4" s="1">
        <v>1</v>
      </c>
      <c r="F4" s="1">
        <v>430</v>
      </c>
      <c r="G4" s="65">
        <v>5.1999999999999998E-2</v>
      </c>
      <c r="H4" s="1">
        <v>10</v>
      </c>
      <c r="I4" s="1">
        <v>1</v>
      </c>
      <c r="L4" s="19" t="s">
        <v>493</v>
      </c>
      <c r="M4" s="19" t="s">
        <v>107</v>
      </c>
      <c r="N4" s="19" t="s">
        <v>494</v>
      </c>
      <c r="O4" s="79">
        <v>3.8759999999999994</v>
      </c>
      <c r="P4" s="156">
        <v>1.8531575755990095</v>
      </c>
      <c r="Q4" s="156">
        <v>1.1114999999999999</v>
      </c>
      <c r="R4" s="153">
        <f>+ AVERAGE(O4:O15)</f>
        <v>1.4629999999999999</v>
      </c>
    </row>
    <row r="5" spans="1:18" x14ac:dyDescent="0.25">
      <c r="A5" s="13">
        <v>45629</v>
      </c>
      <c r="B5" s="1" t="s">
        <v>491</v>
      </c>
      <c r="C5" s="1" t="s">
        <v>492</v>
      </c>
      <c r="D5" s="1" t="s">
        <v>473</v>
      </c>
      <c r="E5" s="1">
        <v>1</v>
      </c>
      <c r="F5" s="1">
        <v>665</v>
      </c>
      <c r="G5" s="65">
        <v>3.9E-2</v>
      </c>
      <c r="H5" s="1">
        <v>10</v>
      </c>
      <c r="I5" s="1">
        <v>1</v>
      </c>
      <c r="L5" s="19" t="s">
        <v>493</v>
      </c>
      <c r="M5" s="19" t="s">
        <v>107</v>
      </c>
      <c r="N5" s="19" t="s">
        <v>495</v>
      </c>
      <c r="O5" s="79">
        <v>0.45600000000000041</v>
      </c>
      <c r="P5" s="156"/>
      <c r="Q5" s="156"/>
      <c r="R5" s="154"/>
    </row>
    <row r="6" spans="1:18" x14ac:dyDescent="0.25">
      <c r="A6" s="13">
        <v>45629</v>
      </c>
      <c r="B6" s="1" t="s">
        <v>491</v>
      </c>
      <c r="C6" s="1" t="s">
        <v>492</v>
      </c>
      <c r="D6" s="1" t="s">
        <v>473</v>
      </c>
      <c r="E6" s="1">
        <v>1</v>
      </c>
      <c r="F6" s="1">
        <v>750</v>
      </c>
      <c r="G6" s="65">
        <v>3.4000000000000002E-2</v>
      </c>
      <c r="H6" s="1">
        <v>10</v>
      </c>
      <c r="I6" s="1">
        <v>1</v>
      </c>
      <c r="L6" s="19" t="s">
        <v>493</v>
      </c>
      <c r="M6" s="19" t="s">
        <v>107</v>
      </c>
      <c r="N6" s="19" t="s">
        <v>496</v>
      </c>
      <c r="O6" s="79">
        <v>0.1140000000000001</v>
      </c>
      <c r="P6" s="156"/>
      <c r="Q6" s="156"/>
      <c r="R6" s="154"/>
    </row>
    <row r="7" spans="1:18" x14ac:dyDescent="0.25">
      <c r="A7" s="13">
        <v>45629</v>
      </c>
      <c r="B7" s="1" t="s">
        <v>491</v>
      </c>
      <c r="C7" s="1" t="s">
        <v>492</v>
      </c>
      <c r="D7" s="1" t="s">
        <v>473</v>
      </c>
      <c r="E7" s="1">
        <v>2</v>
      </c>
      <c r="F7" s="1">
        <v>430</v>
      </c>
      <c r="G7" s="65">
        <v>5.0999999999999997E-2</v>
      </c>
      <c r="H7" s="1">
        <v>10</v>
      </c>
      <c r="I7" s="1">
        <v>1</v>
      </c>
      <c r="L7" s="19" t="s">
        <v>493</v>
      </c>
      <c r="M7" s="19" t="s">
        <v>107</v>
      </c>
      <c r="N7" s="19" t="s">
        <v>497</v>
      </c>
      <c r="O7" s="79">
        <v>0</v>
      </c>
      <c r="P7" s="156"/>
      <c r="Q7" s="156"/>
      <c r="R7" s="154"/>
    </row>
    <row r="8" spans="1:18" x14ac:dyDescent="0.25">
      <c r="A8" s="13">
        <v>45629</v>
      </c>
      <c r="B8" s="1" t="s">
        <v>491</v>
      </c>
      <c r="C8" s="1" t="s">
        <v>492</v>
      </c>
      <c r="D8" s="1" t="s">
        <v>473</v>
      </c>
      <c r="E8" s="1">
        <v>2</v>
      </c>
      <c r="F8" s="1">
        <v>665</v>
      </c>
      <c r="G8" s="65">
        <v>3.9E-2</v>
      </c>
      <c r="H8" s="1">
        <v>10</v>
      </c>
      <c r="I8" s="1">
        <v>1</v>
      </c>
      <c r="L8" s="19" t="s">
        <v>493</v>
      </c>
      <c r="M8" s="19" t="s">
        <v>159</v>
      </c>
      <c r="N8" s="19" t="s">
        <v>494</v>
      </c>
      <c r="O8" s="79">
        <v>0.1140000000000001</v>
      </c>
      <c r="P8" s="156">
        <v>0.40971331440410846</v>
      </c>
      <c r="Q8" s="156">
        <v>0.48450000000000004</v>
      </c>
      <c r="R8" s="154"/>
    </row>
    <row r="9" spans="1:18" x14ac:dyDescent="0.25">
      <c r="A9" s="13">
        <v>45629</v>
      </c>
      <c r="B9" s="1" t="s">
        <v>491</v>
      </c>
      <c r="C9" s="1" t="s">
        <v>492</v>
      </c>
      <c r="D9" s="1" t="s">
        <v>473</v>
      </c>
      <c r="E9" s="1">
        <v>2</v>
      </c>
      <c r="F9" s="1">
        <v>750</v>
      </c>
      <c r="G9" s="65">
        <v>3.5000000000000003E-2</v>
      </c>
      <c r="H9" s="1">
        <v>10</v>
      </c>
      <c r="I9" s="1">
        <v>1</v>
      </c>
      <c r="L9" s="19" t="s">
        <v>493</v>
      </c>
      <c r="M9" s="19" t="s">
        <v>159</v>
      </c>
      <c r="N9" s="19" t="s">
        <v>495</v>
      </c>
      <c r="O9" s="79">
        <v>1.026</v>
      </c>
      <c r="P9" s="156"/>
      <c r="Q9" s="156"/>
      <c r="R9" s="154"/>
    </row>
    <row r="10" spans="1:18" x14ac:dyDescent="0.25">
      <c r="A10" s="13">
        <v>45629</v>
      </c>
      <c r="B10" s="1" t="s">
        <v>491</v>
      </c>
      <c r="C10" s="1" t="s">
        <v>492</v>
      </c>
      <c r="D10" s="1" t="s">
        <v>473</v>
      </c>
      <c r="E10" s="1">
        <v>3</v>
      </c>
      <c r="F10" s="1">
        <v>430</v>
      </c>
      <c r="G10" s="65">
        <v>6.7000000000000004E-2</v>
      </c>
      <c r="H10" s="1">
        <v>10</v>
      </c>
      <c r="I10" s="1">
        <v>1</v>
      </c>
      <c r="L10" s="19" t="s">
        <v>493</v>
      </c>
      <c r="M10" s="19" t="s">
        <v>159</v>
      </c>
      <c r="N10" s="19" t="s">
        <v>496</v>
      </c>
      <c r="O10" s="79">
        <v>0.56999999999999973</v>
      </c>
      <c r="P10" s="156"/>
      <c r="Q10" s="156"/>
      <c r="R10" s="154"/>
    </row>
    <row r="11" spans="1:18" x14ac:dyDescent="0.25">
      <c r="A11" s="13">
        <v>45629</v>
      </c>
      <c r="B11" s="1" t="s">
        <v>491</v>
      </c>
      <c r="C11" s="1" t="s">
        <v>492</v>
      </c>
      <c r="D11" s="1" t="s">
        <v>473</v>
      </c>
      <c r="E11" s="1">
        <v>3</v>
      </c>
      <c r="F11" s="1">
        <v>665</v>
      </c>
      <c r="G11" s="65">
        <v>4.7E-2</v>
      </c>
      <c r="H11" s="1">
        <v>10</v>
      </c>
      <c r="I11" s="1">
        <v>1</v>
      </c>
      <c r="L11" s="19" t="s">
        <v>493</v>
      </c>
      <c r="M11" s="19" t="s">
        <v>159</v>
      </c>
      <c r="N11" s="19" t="s">
        <v>497</v>
      </c>
      <c r="O11" s="79">
        <v>0.2280000000000002</v>
      </c>
      <c r="P11" s="156"/>
      <c r="Q11" s="156"/>
      <c r="R11" s="154"/>
    </row>
    <row r="12" spans="1:18" x14ac:dyDescent="0.25">
      <c r="A12" s="13">
        <v>45629</v>
      </c>
      <c r="B12" s="1" t="s">
        <v>491</v>
      </c>
      <c r="C12" s="1" t="s">
        <v>492</v>
      </c>
      <c r="D12" s="1" t="s">
        <v>473</v>
      </c>
      <c r="E12" s="1">
        <v>3</v>
      </c>
      <c r="F12" s="1">
        <v>750</v>
      </c>
      <c r="G12" s="65">
        <v>3.4000000000000002E-2</v>
      </c>
      <c r="H12" s="1">
        <v>10</v>
      </c>
      <c r="I12" s="1">
        <v>1</v>
      </c>
      <c r="L12" s="19" t="s">
        <v>493</v>
      </c>
      <c r="M12" s="19" t="s">
        <v>470</v>
      </c>
      <c r="N12" s="19" t="s">
        <v>494</v>
      </c>
      <c r="O12" s="79">
        <v>2.3939999999999997</v>
      </c>
      <c r="P12" s="156">
        <v>0.74754799177042697</v>
      </c>
      <c r="Q12" s="156">
        <v>2.7930000000000006</v>
      </c>
      <c r="R12" s="154"/>
    </row>
    <row r="13" spans="1:18" x14ac:dyDescent="0.25">
      <c r="A13" s="13">
        <v>45629</v>
      </c>
      <c r="B13" s="1" t="s">
        <v>491</v>
      </c>
      <c r="C13" s="1" t="s">
        <v>492</v>
      </c>
      <c r="D13" s="1" t="s">
        <v>472</v>
      </c>
      <c r="E13" s="1">
        <v>1</v>
      </c>
      <c r="F13" s="1">
        <v>430</v>
      </c>
      <c r="G13" s="65">
        <v>0.13700000000000001</v>
      </c>
      <c r="H13" s="1">
        <v>10</v>
      </c>
      <c r="I13" s="1">
        <v>1</v>
      </c>
      <c r="L13" s="19" t="s">
        <v>493</v>
      </c>
      <c r="M13" s="19" t="s">
        <v>470</v>
      </c>
      <c r="N13" s="19" t="s">
        <v>495</v>
      </c>
      <c r="O13" s="79">
        <v>3.42</v>
      </c>
      <c r="P13" s="156"/>
      <c r="Q13" s="156"/>
      <c r="R13" s="154"/>
    </row>
    <row r="14" spans="1:18" x14ac:dyDescent="0.25">
      <c r="A14" s="13">
        <v>45629</v>
      </c>
      <c r="B14" s="1" t="s">
        <v>491</v>
      </c>
      <c r="C14" s="1" t="s">
        <v>492</v>
      </c>
      <c r="D14" s="1" t="s">
        <v>472</v>
      </c>
      <c r="E14" s="1">
        <v>1</v>
      </c>
      <c r="F14" s="1">
        <v>665</v>
      </c>
      <c r="G14" s="65">
        <v>6.4000000000000001E-2</v>
      </c>
      <c r="H14" s="1">
        <v>10</v>
      </c>
      <c r="I14" s="1">
        <v>1</v>
      </c>
      <c r="L14" s="19" t="s">
        <v>493</v>
      </c>
      <c r="M14" s="19" t="s">
        <v>470</v>
      </c>
      <c r="N14" s="19" t="s">
        <v>496</v>
      </c>
      <c r="O14" s="79">
        <v>3.4200000000000008</v>
      </c>
      <c r="P14" s="156"/>
      <c r="Q14" s="156"/>
      <c r="R14" s="154"/>
    </row>
    <row r="15" spans="1:18" x14ac:dyDescent="0.25">
      <c r="A15" s="13">
        <v>45629</v>
      </c>
      <c r="B15" s="1" t="s">
        <v>491</v>
      </c>
      <c r="C15" s="1" t="s">
        <v>492</v>
      </c>
      <c r="D15" s="1" t="s">
        <v>472</v>
      </c>
      <c r="E15" s="1">
        <v>1</v>
      </c>
      <c r="F15" s="1">
        <v>750</v>
      </c>
      <c r="G15" s="65">
        <v>3.6999999999999998E-2</v>
      </c>
      <c r="H15" s="1">
        <v>10</v>
      </c>
      <c r="I15" s="1">
        <v>1</v>
      </c>
      <c r="L15" s="19" t="s">
        <v>493</v>
      </c>
      <c r="M15" s="19" t="s">
        <v>470</v>
      </c>
      <c r="N15" s="19" t="s">
        <v>497</v>
      </c>
      <c r="O15" s="79">
        <v>1.9380000000000002</v>
      </c>
      <c r="P15" s="156"/>
      <c r="Q15" s="156"/>
      <c r="R15" s="155"/>
    </row>
    <row r="16" spans="1:18" x14ac:dyDescent="0.25">
      <c r="A16" s="13">
        <v>45629</v>
      </c>
      <c r="B16" s="1" t="s">
        <v>491</v>
      </c>
      <c r="C16" s="1" t="s">
        <v>492</v>
      </c>
      <c r="D16" s="1" t="s">
        <v>472</v>
      </c>
      <c r="E16" s="1">
        <v>2</v>
      </c>
      <c r="F16" s="1">
        <v>430</v>
      </c>
      <c r="G16" s="65">
        <v>8.6999999999999994E-2</v>
      </c>
      <c r="H16" s="1">
        <v>10</v>
      </c>
      <c r="I16" s="1">
        <v>1</v>
      </c>
      <c r="L16" s="19" t="s">
        <v>498</v>
      </c>
      <c r="M16" s="19" t="s">
        <v>470</v>
      </c>
      <c r="N16" s="19" t="s">
        <v>494</v>
      </c>
      <c r="O16" s="79">
        <v>0.91200000000000003</v>
      </c>
      <c r="P16" s="156">
        <v>0.30161564946136354</v>
      </c>
      <c r="Q16" s="156">
        <v>0.5129999999999999</v>
      </c>
      <c r="R16" s="153">
        <f>+ AVERAGE(O16:O27)</f>
        <v>0.5129999999999999</v>
      </c>
    </row>
    <row r="17" spans="1:18" x14ac:dyDescent="0.25">
      <c r="A17" s="13">
        <v>45629</v>
      </c>
      <c r="B17" s="1" t="s">
        <v>491</v>
      </c>
      <c r="C17" s="1" t="s">
        <v>492</v>
      </c>
      <c r="D17" s="1" t="s">
        <v>472</v>
      </c>
      <c r="E17" s="1">
        <v>2</v>
      </c>
      <c r="F17" s="1">
        <v>665</v>
      </c>
      <c r="G17" s="65">
        <v>0.05</v>
      </c>
      <c r="H17" s="1">
        <v>10</v>
      </c>
      <c r="I17" s="1">
        <v>1</v>
      </c>
      <c r="L17" s="19" t="s">
        <v>498</v>
      </c>
      <c r="M17" s="19" t="s">
        <v>470</v>
      </c>
      <c r="N17" s="19" t="s">
        <v>495</v>
      </c>
      <c r="O17" s="79">
        <v>0.22799999999999943</v>
      </c>
      <c r="P17" s="156"/>
      <c r="Q17" s="156"/>
      <c r="R17" s="154"/>
    </row>
    <row r="18" spans="1:18" x14ac:dyDescent="0.25">
      <c r="A18" s="13">
        <v>45629</v>
      </c>
      <c r="B18" s="1" t="s">
        <v>491</v>
      </c>
      <c r="C18" s="1" t="s">
        <v>492</v>
      </c>
      <c r="D18" s="1" t="s">
        <v>472</v>
      </c>
      <c r="E18" s="1">
        <v>2</v>
      </c>
      <c r="F18" s="1">
        <v>750</v>
      </c>
      <c r="G18" s="65">
        <v>3.7999999999999999E-2</v>
      </c>
      <c r="H18" s="1">
        <v>10</v>
      </c>
      <c r="I18" s="1">
        <v>1</v>
      </c>
      <c r="L18" s="19" t="s">
        <v>498</v>
      </c>
      <c r="M18" s="19" t="s">
        <v>470</v>
      </c>
      <c r="N18" s="19" t="s">
        <v>496</v>
      </c>
      <c r="O18" s="79">
        <v>0.57000000000000051</v>
      </c>
      <c r="P18" s="156"/>
      <c r="Q18" s="156"/>
      <c r="R18" s="154"/>
    </row>
    <row r="19" spans="1:18" x14ac:dyDescent="0.25">
      <c r="A19" s="13">
        <v>45629</v>
      </c>
      <c r="B19" s="1" t="s">
        <v>491</v>
      </c>
      <c r="C19" s="1" t="s">
        <v>492</v>
      </c>
      <c r="D19" s="1" t="s">
        <v>472</v>
      </c>
      <c r="E19" s="1">
        <v>3</v>
      </c>
      <c r="F19" s="1">
        <v>430</v>
      </c>
      <c r="G19" s="65">
        <v>0.09</v>
      </c>
      <c r="H19" s="1">
        <v>10</v>
      </c>
      <c r="I19" s="1">
        <v>1</v>
      </c>
      <c r="L19" s="19" t="s">
        <v>498</v>
      </c>
      <c r="M19" s="19" t="s">
        <v>470</v>
      </c>
      <c r="N19" s="19" t="s">
        <v>497</v>
      </c>
      <c r="O19" s="79">
        <v>0.34199999999999953</v>
      </c>
      <c r="P19" s="156"/>
      <c r="Q19" s="156"/>
      <c r="R19" s="154"/>
    </row>
    <row r="20" spans="1:18" x14ac:dyDescent="0.25">
      <c r="A20" s="13">
        <v>45629</v>
      </c>
      <c r="B20" s="1" t="s">
        <v>491</v>
      </c>
      <c r="C20" s="1" t="s">
        <v>492</v>
      </c>
      <c r="D20" s="1" t="s">
        <v>472</v>
      </c>
      <c r="E20" s="1">
        <v>3</v>
      </c>
      <c r="F20" s="1">
        <v>665</v>
      </c>
      <c r="G20" s="65">
        <v>0.05</v>
      </c>
      <c r="H20" s="1">
        <v>10</v>
      </c>
      <c r="I20" s="1">
        <v>1</v>
      </c>
      <c r="L20" s="19" t="s">
        <v>498</v>
      </c>
      <c r="M20" s="19" t="s">
        <v>159</v>
      </c>
      <c r="N20" s="19" t="s">
        <v>494</v>
      </c>
      <c r="O20" s="79">
        <v>0.1140000000000001</v>
      </c>
      <c r="P20" s="156">
        <v>0.70505106198061995</v>
      </c>
      <c r="Q20" s="156">
        <v>0.54149999999999987</v>
      </c>
      <c r="R20" s="154"/>
    </row>
    <row r="21" spans="1:18" x14ac:dyDescent="0.25">
      <c r="A21" s="13">
        <v>45629</v>
      </c>
      <c r="B21" s="1" t="s">
        <v>491</v>
      </c>
      <c r="C21" s="1" t="s">
        <v>492</v>
      </c>
      <c r="D21" s="1" t="s">
        <v>472</v>
      </c>
      <c r="E21" s="1">
        <v>3</v>
      </c>
      <c r="F21" s="1">
        <v>750</v>
      </c>
      <c r="G21" s="65">
        <v>3.5999999999999997E-2</v>
      </c>
      <c r="H21" s="1">
        <v>10</v>
      </c>
      <c r="I21" s="1">
        <v>1</v>
      </c>
      <c r="L21" s="19" t="s">
        <v>498</v>
      </c>
      <c r="M21" s="19" t="s">
        <v>159</v>
      </c>
      <c r="N21" s="19" t="s">
        <v>495</v>
      </c>
      <c r="O21" s="79">
        <v>1.5959999999999999</v>
      </c>
      <c r="P21" s="156"/>
      <c r="Q21" s="156"/>
      <c r="R21" s="154"/>
    </row>
    <row r="22" spans="1:18" x14ac:dyDescent="0.25">
      <c r="A22" s="13">
        <v>45625</v>
      </c>
      <c r="B22" s="1" t="s">
        <v>491</v>
      </c>
      <c r="C22" s="1" t="s">
        <v>499</v>
      </c>
      <c r="D22" s="1" t="s">
        <v>473</v>
      </c>
      <c r="E22" s="1">
        <v>1</v>
      </c>
      <c r="F22" s="1">
        <v>430</v>
      </c>
      <c r="G22" s="65">
        <v>5.8999999999999997E-2</v>
      </c>
      <c r="H22" s="1">
        <v>10</v>
      </c>
      <c r="I22" s="1">
        <v>1</v>
      </c>
      <c r="L22" s="19" t="s">
        <v>498</v>
      </c>
      <c r="M22" s="19" t="s">
        <v>159</v>
      </c>
      <c r="N22" s="19" t="s">
        <v>496</v>
      </c>
      <c r="O22" s="79">
        <v>0.2280000000000002</v>
      </c>
      <c r="P22" s="156"/>
      <c r="Q22" s="156"/>
      <c r="R22" s="154"/>
    </row>
    <row r="23" spans="1:18" x14ac:dyDescent="0.25">
      <c r="A23" s="13">
        <v>45625</v>
      </c>
      <c r="B23" s="1" t="s">
        <v>491</v>
      </c>
      <c r="C23" s="1" t="s">
        <v>499</v>
      </c>
      <c r="D23" s="1" t="s">
        <v>473</v>
      </c>
      <c r="E23" s="1">
        <v>1</v>
      </c>
      <c r="F23" s="1">
        <v>665</v>
      </c>
      <c r="G23" s="65">
        <v>4.2999999999999997E-2</v>
      </c>
      <c r="H23" s="1">
        <v>10</v>
      </c>
      <c r="I23" s="1">
        <v>1</v>
      </c>
      <c r="L23" s="19" t="s">
        <v>498</v>
      </c>
      <c r="M23" s="19" t="s">
        <v>159</v>
      </c>
      <c r="N23" s="19" t="s">
        <v>497</v>
      </c>
      <c r="O23" s="79">
        <v>0.22799999999999943</v>
      </c>
      <c r="P23" s="156"/>
      <c r="Q23" s="156"/>
      <c r="R23" s="154"/>
    </row>
    <row r="24" spans="1:18" x14ac:dyDescent="0.25">
      <c r="A24" s="13">
        <v>45625</v>
      </c>
      <c r="B24" s="1" t="s">
        <v>491</v>
      </c>
      <c r="C24" s="1" t="s">
        <v>499</v>
      </c>
      <c r="D24" s="1" t="s">
        <v>473</v>
      </c>
      <c r="E24" s="1">
        <v>1</v>
      </c>
      <c r="F24" s="1">
        <v>750</v>
      </c>
      <c r="G24" s="65">
        <v>3.3000000000000002E-2</v>
      </c>
      <c r="H24" s="1">
        <v>10</v>
      </c>
      <c r="I24" s="1">
        <v>1</v>
      </c>
      <c r="L24" s="19" t="s">
        <v>498</v>
      </c>
      <c r="M24" s="19" t="s">
        <v>107</v>
      </c>
      <c r="N24" s="19" t="s">
        <v>494</v>
      </c>
      <c r="O24" s="79">
        <v>0.1140000000000001</v>
      </c>
      <c r="P24" s="156">
        <v>0.34041298447620905</v>
      </c>
      <c r="Q24" s="156">
        <v>0.48450000000000004</v>
      </c>
      <c r="R24" s="154"/>
    </row>
    <row r="25" spans="1:18" x14ac:dyDescent="0.25">
      <c r="A25" s="13">
        <v>45625</v>
      </c>
      <c r="B25" s="1" t="s">
        <v>491</v>
      </c>
      <c r="C25" s="1" t="s">
        <v>499</v>
      </c>
      <c r="D25" s="1" t="s">
        <v>473</v>
      </c>
      <c r="E25" s="1">
        <v>2</v>
      </c>
      <c r="F25" s="1">
        <v>430</v>
      </c>
      <c r="G25" s="65">
        <v>0.11600000000000001</v>
      </c>
      <c r="H25" s="1">
        <v>10</v>
      </c>
      <c r="I25" s="1">
        <v>1</v>
      </c>
      <c r="L25" s="19" t="s">
        <v>498</v>
      </c>
      <c r="M25" s="19" t="s">
        <v>107</v>
      </c>
      <c r="N25" s="19" t="s">
        <v>495</v>
      </c>
      <c r="O25" s="79">
        <v>0.91199999999999926</v>
      </c>
      <c r="P25" s="156"/>
      <c r="Q25" s="156"/>
      <c r="R25" s="154"/>
    </row>
    <row r="26" spans="1:18" x14ac:dyDescent="0.25">
      <c r="A26" s="13">
        <v>45625</v>
      </c>
      <c r="B26" s="1" t="s">
        <v>491</v>
      </c>
      <c r="C26" s="1" t="s">
        <v>499</v>
      </c>
      <c r="D26" s="1" t="s">
        <v>473</v>
      </c>
      <c r="E26" s="1">
        <v>2</v>
      </c>
      <c r="F26" s="1">
        <v>665</v>
      </c>
      <c r="G26" s="65">
        <v>6.8000000000000005E-2</v>
      </c>
      <c r="H26" s="1">
        <v>10</v>
      </c>
      <c r="I26" s="1">
        <v>1</v>
      </c>
      <c r="L26" s="19" t="s">
        <v>498</v>
      </c>
      <c r="M26" s="19" t="s">
        <v>107</v>
      </c>
      <c r="N26" s="19" t="s">
        <v>496</v>
      </c>
      <c r="O26" s="79">
        <v>0.3420000000000003</v>
      </c>
      <c r="P26" s="156"/>
      <c r="Q26" s="156"/>
      <c r="R26" s="154"/>
    </row>
    <row r="27" spans="1:18" x14ac:dyDescent="0.25">
      <c r="A27" s="13">
        <v>45625</v>
      </c>
      <c r="B27" s="1" t="s">
        <v>491</v>
      </c>
      <c r="C27" s="1" t="s">
        <v>499</v>
      </c>
      <c r="D27" s="1" t="s">
        <v>473</v>
      </c>
      <c r="E27" s="1">
        <v>2</v>
      </c>
      <c r="F27" s="1">
        <v>750</v>
      </c>
      <c r="G27" s="65">
        <v>3.3000000000000002E-2</v>
      </c>
      <c r="H27" s="1">
        <v>10</v>
      </c>
      <c r="I27" s="1">
        <v>1</v>
      </c>
      <c r="L27" s="19" t="s">
        <v>498</v>
      </c>
      <c r="M27" s="19" t="s">
        <v>107</v>
      </c>
      <c r="N27" s="19" t="s">
        <v>497</v>
      </c>
      <c r="O27" s="79">
        <v>0.57000000000000051</v>
      </c>
      <c r="P27" s="156"/>
      <c r="Q27" s="156"/>
      <c r="R27" s="155"/>
    </row>
    <row r="28" spans="1:18" x14ac:dyDescent="0.25">
      <c r="A28" s="13">
        <v>45625</v>
      </c>
      <c r="B28" s="1" t="s">
        <v>491</v>
      </c>
      <c r="C28" s="1" t="s">
        <v>499</v>
      </c>
      <c r="D28" s="1" t="s">
        <v>473</v>
      </c>
      <c r="E28" s="1">
        <v>3</v>
      </c>
      <c r="F28" s="1">
        <v>430</v>
      </c>
      <c r="G28" s="65">
        <v>0.08</v>
      </c>
      <c r="H28" s="1">
        <v>10</v>
      </c>
      <c r="I28" s="1">
        <v>1</v>
      </c>
      <c r="L28" s="19" t="s">
        <v>500</v>
      </c>
      <c r="M28" s="19" t="s">
        <v>107</v>
      </c>
      <c r="N28" s="19" t="s">
        <v>494</v>
      </c>
      <c r="O28" s="79">
        <v>0.1140000000000001</v>
      </c>
      <c r="P28" s="156">
        <v>0.14717336715588197</v>
      </c>
      <c r="Q28" s="156">
        <v>0.17100000000000015</v>
      </c>
      <c r="R28" s="153">
        <f>+AVERAGE(O28:O39)</f>
        <v>0.16150000000000014</v>
      </c>
    </row>
    <row r="29" spans="1:18" x14ac:dyDescent="0.25">
      <c r="A29" s="13">
        <v>45625</v>
      </c>
      <c r="B29" s="1" t="s">
        <v>491</v>
      </c>
      <c r="C29" s="1" t="s">
        <v>499</v>
      </c>
      <c r="D29" s="1" t="s">
        <v>473</v>
      </c>
      <c r="E29" s="1">
        <v>3</v>
      </c>
      <c r="F29" s="1">
        <v>665</v>
      </c>
      <c r="G29" s="65">
        <v>5.1999999999999998E-2</v>
      </c>
      <c r="H29" s="1">
        <v>10</v>
      </c>
      <c r="I29" s="1">
        <v>1</v>
      </c>
      <c r="L29" s="19" t="s">
        <v>500</v>
      </c>
      <c r="M29" s="19" t="s">
        <v>107</v>
      </c>
      <c r="N29" s="19" t="s">
        <v>495</v>
      </c>
      <c r="O29" s="79">
        <v>0</v>
      </c>
      <c r="P29" s="156"/>
      <c r="Q29" s="156"/>
      <c r="R29" s="154"/>
    </row>
    <row r="30" spans="1:18" x14ac:dyDescent="0.25">
      <c r="A30" s="13">
        <v>45625</v>
      </c>
      <c r="B30" s="1" t="s">
        <v>491</v>
      </c>
      <c r="C30" s="1" t="s">
        <v>499</v>
      </c>
      <c r="D30" s="1" t="s">
        <v>473</v>
      </c>
      <c r="E30" s="1">
        <v>3</v>
      </c>
      <c r="F30" s="1">
        <v>750</v>
      </c>
      <c r="G30" s="65">
        <v>3.4000000000000002E-2</v>
      </c>
      <c r="H30" s="1">
        <v>10</v>
      </c>
      <c r="I30" s="1">
        <v>1</v>
      </c>
      <c r="L30" s="19" t="s">
        <v>500</v>
      </c>
      <c r="M30" s="19" t="s">
        <v>107</v>
      </c>
      <c r="N30" s="19" t="s">
        <v>496</v>
      </c>
      <c r="O30" s="79">
        <v>0.3420000000000003</v>
      </c>
      <c r="P30" s="156"/>
      <c r="Q30" s="156"/>
      <c r="R30" s="154"/>
    </row>
    <row r="31" spans="1:18" x14ac:dyDescent="0.25">
      <c r="A31" s="13">
        <v>45625</v>
      </c>
      <c r="B31" s="1" t="s">
        <v>491</v>
      </c>
      <c r="C31" s="1" t="s">
        <v>499</v>
      </c>
      <c r="D31" s="1" t="s">
        <v>159</v>
      </c>
      <c r="E31" s="1">
        <v>1</v>
      </c>
      <c r="F31" s="1">
        <v>430</v>
      </c>
      <c r="G31" s="65">
        <v>4.9000000000000002E-2</v>
      </c>
      <c r="H31" s="1">
        <v>10</v>
      </c>
      <c r="I31" s="1">
        <v>1</v>
      </c>
      <c r="L31" s="19" t="s">
        <v>500</v>
      </c>
      <c r="M31" s="19" t="s">
        <v>107</v>
      </c>
      <c r="N31" s="19" t="s">
        <v>497</v>
      </c>
      <c r="O31" s="79">
        <v>0.2280000000000002</v>
      </c>
      <c r="P31" s="156"/>
      <c r="Q31" s="156"/>
      <c r="R31" s="154"/>
    </row>
    <row r="32" spans="1:18" x14ac:dyDescent="0.25">
      <c r="A32" s="13">
        <v>45625</v>
      </c>
      <c r="B32" s="1" t="s">
        <v>491</v>
      </c>
      <c r="C32" s="1" t="s">
        <v>499</v>
      </c>
      <c r="D32" s="1" t="s">
        <v>159</v>
      </c>
      <c r="E32" s="1">
        <v>1</v>
      </c>
      <c r="F32" s="1">
        <v>665</v>
      </c>
      <c r="G32" s="65">
        <v>3.6999999999999998E-2</v>
      </c>
      <c r="H32" s="1">
        <v>10</v>
      </c>
      <c r="I32" s="1">
        <v>1</v>
      </c>
      <c r="L32" s="19" t="s">
        <v>500</v>
      </c>
      <c r="M32" s="19" t="s">
        <v>470</v>
      </c>
      <c r="N32" s="19" t="s">
        <v>494</v>
      </c>
      <c r="O32" s="79">
        <v>0</v>
      </c>
      <c r="P32" s="156">
        <v>5.7000000000000058E-2</v>
      </c>
      <c r="Q32" s="156">
        <v>8.5500000000000076E-2</v>
      </c>
      <c r="R32" s="154"/>
    </row>
    <row r="33" spans="1:18" x14ac:dyDescent="0.25">
      <c r="A33" s="13">
        <v>45625</v>
      </c>
      <c r="B33" s="1" t="s">
        <v>491</v>
      </c>
      <c r="C33" s="1" t="s">
        <v>499</v>
      </c>
      <c r="D33" s="1" t="s">
        <v>159</v>
      </c>
      <c r="E33" s="1">
        <v>1</v>
      </c>
      <c r="F33" s="1">
        <v>750</v>
      </c>
      <c r="G33" s="65">
        <v>3.3000000000000002E-2</v>
      </c>
      <c r="H33" s="1">
        <v>10</v>
      </c>
      <c r="I33" s="1">
        <v>1</v>
      </c>
      <c r="L33" s="19" t="s">
        <v>500</v>
      </c>
      <c r="M33" s="19" t="s">
        <v>470</v>
      </c>
      <c r="N33" s="19" t="s">
        <v>495</v>
      </c>
      <c r="O33" s="79">
        <v>0.1140000000000001</v>
      </c>
      <c r="P33" s="156"/>
      <c r="Q33" s="156"/>
      <c r="R33" s="154"/>
    </row>
    <row r="34" spans="1:18" x14ac:dyDescent="0.25">
      <c r="A34" s="13">
        <v>45625</v>
      </c>
      <c r="B34" s="1" t="s">
        <v>491</v>
      </c>
      <c r="C34" s="1" t="s">
        <v>499</v>
      </c>
      <c r="D34" s="1" t="s">
        <v>159</v>
      </c>
      <c r="E34" s="1">
        <v>2</v>
      </c>
      <c r="F34" s="1">
        <v>430</v>
      </c>
      <c r="G34" s="65">
        <v>4.8000000000000001E-2</v>
      </c>
      <c r="H34" s="1">
        <v>10</v>
      </c>
      <c r="I34" s="1">
        <v>1</v>
      </c>
      <c r="L34" s="19" t="s">
        <v>500</v>
      </c>
      <c r="M34" s="19" t="s">
        <v>470</v>
      </c>
      <c r="N34" s="19" t="s">
        <v>496</v>
      </c>
      <c r="O34" s="79">
        <v>0.1140000000000001</v>
      </c>
      <c r="P34" s="156"/>
      <c r="Q34" s="156"/>
      <c r="R34" s="154"/>
    </row>
    <row r="35" spans="1:18" x14ac:dyDescent="0.25">
      <c r="A35" s="13">
        <v>45625</v>
      </c>
      <c r="B35" s="1" t="s">
        <v>491</v>
      </c>
      <c r="C35" s="1" t="s">
        <v>499</v>
      </c>
      <c r="D35" s="1" t="s">
        <v>159</v>
      </c>
      <c r="E35" s="1">
        <v>2</v>
      </c>
      <c r="F35" s="1">
        <v>665</v>
      </c>
      <c r="G35" s="65">
        <v>3.7999999999999999E-2</v>
      </c>
      <c r="H35" s="1">
        <v>10</v>
      </c>
      <c r="I35" s="1">
        <v>1</v>
      </c>
      <c r="L35" s="19" t="s">
        <v>500</v>
      </c>
      <c r="M35" s="19" t="s">
        <v>470</v>
      </c>
      <c r="N35" s="19" t="s">
        <v>497</v>
      </c>
      <c r="O35" s="79">
        <v>0.1140000000000001</v>
      </c>
      <c r="P35" s="156"/>
      <c r="Q35" s="156"/>
      <c r="R35" s="154"/>
    </row>
    <row r="36" spans="1:18" x14ac:dyDescent="0.25">
      <c r="A36" s="13">
        <v>45625</v>
      </c>
      <c r="B36" s="1" t="s">
        <v>491</v>
      </c>
      <c r="C36" s="1" t="s">
        <v>499</v>
      </c>
      <c r="D36" s="1" t="s">
        <v>159</v>
      </c>
      <c r="E36" s="1">
        <v>2</v>
      </c>
      <c r="F36" s="1">
        <v>750</v>
      </c>
      <c r="G36" s="65">
        <v>3.3000000000000002E-2</v>
      </c>
      <c r="H36" s="1">
        <v>10</v>
      </c>
      <c r="I36" s="1">
        <v>1</v>
      </c>
      <c r="L36" s="19" t="s">
        <v>500</v>
      </c>
      <c r="M36" s="19" t="s">
        <v>159</v>
      </c>
      <c r="N36" s="19" t="s">
        <v>494</v>
      </c>
      <c r="O36" s="79">
        <v>0.3420000000000003</v>
      </c>
      <c r="P36" s="156">
        <v>9.3080610225760835E-2</v>
      </c>
      <c r="Q36" s="156">
        <v>0.2280000000000002</v>
      </c>
      <c r="R36" s="154"/>
    </row>
    <row r="37" spans="1:18" x14ac:dyDescent="0.25">
      <c r="A37" s="13">
        <v>45625</v>
      </c>
      <c r="B37" s="1" t="s">
        <v>491</v>
      </c>
      <c r="C37" s="1" t="s">
        <v>499</v>
      </c>
      <c r="D37" s="1" t="s">
        <v>159</v>
      </c>
      <c r="E37" s="1">
        <v>3</v>
      </c>
      <c r="F37" s="1">
        <v>430</v>
      </c>
      <c r="G37" s="65">
        <v>3.6999999999999998E-2</v>
      </c>
      <c r="H37" s="1">
        <v>10</v>
      </c>
      <c r="I37" s="1">
        <v>1</v>
      </c>
      <c r="L37" s="19" t="s">
        <v>500</v>
      </c>
      <c r="M37" s="19" t="s">
        <v>159</v>
      </c>
      <c r="N37" s="19" t="s">
        <v>495</v>
      </c>
      <c r="O37" s="79">
        <v>0.2280000000000002</v>
      </c>
      <c r="P37" s="156"/>
      <c r="Q37" s="156"/>
      <c r="R37" s="154"/>
    </row>
    <row r="38" spans="1:18" x14ac:dyDescent="0.25">
      <c r="A38" s="13">
        <v>45625</v>
      </c>
      <c r="B38" s="1" t="s">
        <v>491</v>
      </c>
      <c r="C38" s="1" t="s">
        <v>499</v>
      </c>
      <c r="D38" s="1" t="s">
        <v>159</v>
      </c>
      <c r="E38" s="1">
        <v>3</v>
      </c>
      <c r="F38" s="1">
        <v>665</v>
      </c>
      <c r="G38" s="65">
        <v>3.3000000000000002E-2</v>
      </c>
      <c r="H38" s="1">
        <v>10</v>
      </c>
      <c r="I38" s="1">
        <v>1</v>
      </c>
      <c r="L38" s="19" t="s">
        <v>500</v>
      </c>
      <c r="M38" s="19" t="s">
        <v>159</v>
      </c>
      <c r="N38" s="19" t="s">
        <v>496</v>
      </c>
      <c r="O38" s="79">
        <v>0.1140000000000001</v>
      </c>
      <c r="P38" s="156"/>
      <c r="Q38" s="156"/>
      <c r="R38" s="154"/>
    </row>
    <row r="39" spans="1:18" x14ac:dyDescent="0.25">
      <c r="A39" s="13">
        <v>45625</v>
      </c>
      <c r="B39" s="1" t="s">
        <v>491</v>
      </c>
      <c r="C39" s="1" t="s">
        <v>499</v>
      </c>
      <c r="D39" s="1" t="s">
        <v>159</v>
      </c>
      <c r="E39" s="1">
        <v>3</v>
      </c>
      <c r="F39" s="1">
        <v>750</v>
      </c>
      <c r="G39" s="65">
        <v>3.2000000000000001E-2</v>
      </c>
      <c r="H39" s="1">
        <v>10</v>
      </c>
      <c r="I39" s="1">
        <v>1</v>
      </c>
      <c r="L39" s="19" t="s">
        <v>500</v>
      </c>
      <c r="M39" s="19" t="s">
        <v>159</v>
      </c>
      <c r="N39" s="19" t="s">
        <v>497</v>
      </c>
      <c r="O39" s="79">
        <v>0.2280000000000002</v>
      </c>
      <c r="P39" s="156"/>
      <c r="Q39" s="156"/>
      <c r="R39" s="155"/>
    </row>
    <row r="40" spans="1:18" x14ac:dyDescent="0.25">
      <c r="A40" s="13">
        <v>45625</v>
      </c>
      <c r="B40" s="1" t="s">
        <v>491</v>
      </c>
      <c r="C40" s="1" t="s">
        <v>499</v>
      </c>
      <c r="D40" s="1" t="s">
        <v>107</v>
      </c>
      <c r="E40" s="1">
        <v>1</v>
      </c>
      <c r="F40" s="1">
        <v>430</v>
      </c>
      <c r="G40" s="65">
        <v>0.19600000000000001</v>
      </c>
      <c r="H40" s="1">
        <v>10</v>
      </c>
      <c r="I40" s="1">
        <v>1</v>
      </c>
      <c r="L40" s="1" t="s">
        <v>493</v>
      </c>
      <c r="M40" s="1" t="s">
        <v>470</v>
      </c>
      <c r="N40" s="1" t="s">
        <v>494</v>
      </c>
      <c r="O40" s="1">
        <v>0.56999999999999973</v>
      </c>
      <c r="P40" s="153">
        <v>0.56234864630405212</v>
      </c>
      <c r="Q40" s="153">
        <v>0.83599999999999974</v>
      </c>
      <c r="R40" s="153">
        <f>+AVERAGE(O40:O45)</f>
        <v>1.425</v>
      </c>
    </row>
    <row r="41" spans="1:18" x14ac:dyDescent="0.25">
      <c r="A41" s="13">
        <v>45625</v>
      </c>
      <c r="B41" s="1" t="s">
        <v>491</v>
      </c>
      <c r="C41" s="1" t="s">
        <v>499</v>
      </c>
      <c r="D41" s="1" t="s">
        <v>107</v>
      </c>
      <c r="E41" s="1">
        <v>1</v>
      </c>
      <c r="F41" s="1">
        <v>665</v>
      </c>
      <c r="G41" s="65">
        <v>0.1</v>
      </c>
      <c r="H41" s="1">
        <v>10</v>
      </c>
      <c r="I41" s="1">
        <v>1</v>
      </c>
      <c r="L41" s="1" t="s">
        <v>493</v>
      </c>
      <c r="M41" s="1" t="s">
        <v>470</v>
      </c>
      <c r="N41" s="1" t="s">
        <v>495</v>
      </c>
      <c r="O41" s="1">
        <v>0.45599999999999963</v>
      </c>
      <c r="P41" s="154"/>
      <c r="Q41" s="154"/>
      <c r="R41" s="154"/>
    </row>
    <row r="42" spans="1:18" x14ac:dyDescent="0.25">
      <c r="A42" s="13">
        <v>45625</v>
      </c>
      <c r="B42" s="1" t="s">
        <v>491</v>
      </c>
      <c r="C42" s="1" t="s">
        <v>499</v>
      </c>
      <c r="D42" s="1" t="s">
        <v>107</v>
      </c>
      <c r="E42" s="1">
        <v>1</v>
      </c>
      <c r="F42" s="1">
        <v>750</v>
      </c>
      <c r="G42" s="65">
        <v>3.4000000000000002E-2</v>
      </c>
      <c r="H42" s="1">
        <v>10</v>
      </c>
      <c r="I42" s="1">
        <v>1</v>
      </c>
      <c r="L42" s="1" t="s">
        <v>493</v>
      </c>
      <c r="M42" s="1" t="s">
        <v>470</v>
      </c>
      <c r="N42" s="1" t="s">
        <v>496</v>
      </c>
      <c r="O42" s="1">
        <v>1.4819999999999998</v>
      </c>
      <c r="P42" s="155"/>
      <c r="Q42" s="155"/>
      <c r="R42" s="154"/>
    </row>
    <row r="43" spans="1:18" x14ac:dyDescent="0.25">
      <c r="A43" s="13">
        <v>45625</v>
      </c>
      <c r="B43" s="1" t="s">
        <v>491</v>
      </c>
      <c r="C43" s="1" t="s">
        <v>499</v>
      </c>
      <c r="D43" s="1" t="s">
        <v>107</v>
      </c>
      <c r="E43" s="1">
        <v>2</v>
      </c>
      <c r="F43" s="1">
        <v>430</v>
      </c>
      <c r="G43" s="65">
        <v>0.36</v>
      </c>
      <c r="H43" s="1">
        <v>10</v>
      </c>
      <c r="I43" s="1">
        <v>1</v>
      </c>
      <c r="L43" s="1" t="s">
        <v>493</v>
      </c>
      <c r="M43" s="1" t="s">
        <v>107</v>
      </c>
      <c r="N43" s="1" t="s">
        <v>494</v>
      </c>
      <c r="O43" s="1">
        <v>3.0780000000000003</v>
      </c>
      <c r="P43" s="153">
        <v>0.92847617093816626</v>
      </c>
      <c r="Q43" s="153">
        <v>2.0140000000000007</v>
      </c>
      <c r="R43" s="154"/>
    </row>
    <row r="44" spans="1:18" x14ac:dyDescent="0.25">
      <c r="A44" s="13">
        <v>45625</v>
      </c>
      <c r="B44" s="1" t="s">
        <v>491</v>
      </c>
      <c r="C44" s="1" t="s">
        <v>499</v>
      </c>
      <c r="D44" s="1" t="s">
        <v>107</v>
      </c>
      <c r="E44" s="1">
        <v>2</v>
      </c>
      <c r="F44" s="1">
        <v>665</v>
      </c>
      <c r="G44" s="65">
        <v>0.17699999999999999</v>
      </c>
      <c r="H44" s="1">
        <v>10</v>
      </c>
      <c r="I44" s="1">
        <v>1</v>
      </c>
      <c r="L44" s="1" t="s">
        <v>493</v>
      </c>
      <c r="M44" s="1" t="s">
        <v>107</v>
      </c>
      <c r="N44" s="1" t="s">
        <v>495</v>
      </c>
      <c r="O44" s="1">
        <v>1.3680000000000005</v>
      </c>
      <c r="P44" s="154"/>
      <c r="Q44" s="154"/>
      <c r="R44" s="154"/>
    </row>
    <row r="45" spans="1:18" x14ac:dyDescent="0.25">
      <c r="A45" s="13">
        <v>45625</v>
      </c>
      <c r="B45" s="1" t="s">
        <v>491</v>
      </c>
      <c r="C45" s="1" t="s">
        <v>499</v>
      </c>
      <c r="D45" s="1" t="s">
        <v>107</v>
      </c>
      <c r="E45" s="1">
        <v>2</v>
      </c>
      <c r="F45" s="1">
        <v>750</v>
      </c>
      <c r="G45" s="65">
        <v>3.5999999999999997E-2</v>
      </c>
      <c r="H45" s="1">
        <v>10</v>
      </c>
      <c r="I45" s="1">
        <v>1</v>
      </c>
      <c r="L45" s="1" t="s">
        <v>493</v>
      </c>
      <c r="M45" s="1" t="s">
        <v>107</v>
      </c>
      <c r="N45" s="1" t="s">
        <v>496</v>
      </c>
      <c r="O45" s="1">
        <v>1.5960000000000008</v>
      </c>
      <c r="P45" s="155"/>
      <c r="Q45" s="155"/>
      <c r="R45" s="154"/>
    </row>
    <row r="46" spans="1:18" x14ac:dyDescent="0.25">
      <c r="A46" s="13">
        <v>45625</v>
      </c>
      <c r="B46" s="1" t="s">
        <v>491</v>
      </c>
      <c r="C46" s="1" t="s">
        <v>499</v>
      </c>
      <c r="D46" s="1" t="s">
        <v>107</v>
      </c>
      <c r="E46" s="1">
        <v>3</v>
      </c>
      <c r="F46" s="1">
        <v>430</v>
      </c>
      <c r="G46" s="65">
        <v>0.47699999999999998</v>
      </c>
      <c r="H46" s="1">
        <v>10</v>
      </c>
      <c r="I46" s="1">
        <v>1</v>
      </c>
      <c r="L46" s="1" t="s">
        <v>493</v>
      </c>
      <c r="M46" s="1" t="s">
        <v>159</v>
      </c>
      <c r="N46" s="1" t="s">
        <v>494</v>
      </c>
      <c r="O46" s="157" t="s">
        <v>501</v>
      </c>
      <c r="P46" s="158"/>
      <c r="Q46" s="159"/>
      <c r="R46" s="154"/>
    </row>
    <row r="47" spans="1:18" x14ac:dyDescent="0.25">
      <c r="A47" s="13">
        <v>45625</v>
      </c>
      <c r="B47" s="1" t="s">
        <v>491</v>
      </c>
      <c r="C47" s="1" t="s">
        <v>499</v>
      </c>
      <c r="D47" s="1" t="s">
        <v>107</v>
      </c>
      <c r="E47" s="1">
        <v>3</v>
      </c>
      <c r="F47" s="1">
        <v>665</v>
      </c>
      <c r="G47" s="65">
        <v>0.22600000000000001</v>
      </c>
      <c r="H47" s="1">
        <v>10</v>
      </c>
      <c r="I47" s="1">
        <v>1</v>
      </c>
      <c r="L47" s="1" t="s">
        <v>493</v>
      </c>
      <c r="M47" s="1" t="s">
        <v>159</v>
      </c>
      <c r="N47" s="1" t="s">
        <v>495</v>
      </c>
      <c r="O47" s="160"/>
      <c r="P47" s="161"/>
      <c r="Q47" s="162"/>
      <c r="R47" s="154"/>
    </row>
    <row r="48" spans="1:18" x14ac:dyDescent="0.25">
      <c r="A48" s="13">
        <v>45625</v>
      </c>
      <c r="B48" s="1" t="s">
        <v>491</v>
      </c>
      <c r="C48" s="1" t="s">
        <v>499</v>
      </c>
      <c r="D48" s="1" t="s">
        <v>107</v>
      </c>
      <c r="E48" s="1">
        <v>3</v>
      </c>
      <c r="F48" s="1">
        <v>750</v>
      </c>
      <c r="G48" s="65">
        <v>3.5000000000000003E-2</v>
      </c>
      <c r="H48" s="1">
        <v>10</v>
      </c>
      <c r="I48" s="1">
        <v>1</v>
      </c>
      <c r="L48" s="1" t="s">
        <v>493</v>
      </c>
      <c r="M48" s="1" t="s">
        <v>159</v>
      </c>
      <c r="N48" s="1" t="s">
        <v>496</v>
      </c>
      <c r="O48" s="163"/>
      <c r="P48" s="164"/>
      <c r="Q48" s="165"/>
      <c r="R48" s="155"/>
    </row>
    <row r="49" spans="1:18" x14ac:dyDescent="0.25">
      <c r="A49" s="13">
        <v>45779</v>
      </c>
      <c r="B49" s="13" t="s">
        <v>502</v>
      </c>
      <c r="C49" s="1" t="s">
        <v>493</v>
      </c>
      <c r="D49" s="1" t="s">
        <v>107</v>
      </c>
      <c r="E49" s="1">
        <v>1</v>
      </c>
      <c r="F49" s="1">
        <v>430</v>
      </c>
      <c r="G49" s="1">
        <v>0.124</v>
      </c>
      <c r="H49" s="1">
        <v>10</v>
      </c>
      <c r="I49" s="1">
        <v>1</v>
      </c>
      <c r="L49" s="1" t="s">
        <v>503</v>
      </c>
      <c r="M49" s="1" t="s">
        <v>470</v>
      </c>
      <c r="N49" s="1" t="s">
        <v>494</v>
      </c>
      <c r="O49" s="1">
        <v>1.1399999999999995</v>
      </c>
      <c r="P49" s="153">
        <v>1.4554545681676232</v>
      </c>
      <c r="Q49" s="153">
        <v>2.3939999999999997</v>
      </c>
      <c r="R49" s="153">
        <f>+AVERAGE(O49:O57)</f>
        <v>5.9660000000000002</v>
      </c>
    </row>
    <row r="50" spans="1:18" x14ac:dyDescent="0.25">
      <c r="A50" s="13">
        <v>45779</v>
      </c>
      <c r="B50" s="13" t="s">
        <v>502</v>
      </c>
      <c r="C50" s="1" t="s">
        <v>493</v>
      </c>
      <c r="D50" s="1" t="s">
        <v>107</v>
      </c>
      <c r="E50" s="1">
        <v>1</v>
      </c>
      <c r="F50" s="1">
        <v>630</v>
      </c>
      <c r="G50" s="1">
        <v>4.7E-2</v>
      </c>
      <c r="H50" s="1">
        <v>10</v>
      </c>
      <c r="I50" s="1">
        <v>1</v>
      </c>
      <c r="L50" s="1" t="s">
        <v>503</v>
      </c>
      <c r="M50" s="1" t="s">
        <v>470</v>
      </c>
      <c r="N50" s="1" t="s">
        <v>495</v>
      </c>
      <c r="O50" s="1">
        <v>3.9900000000000007</v>
      </c>
      <c r="P50" s="154"/>
      <c r="Q50" s="154"/>
      <c r="R50" s="154"/>
    </row>
    <row r="51" spans="1:18" x14ac:dyDescent="0.25">
      <c r="A51" s="13">
        <v>45779</v>
      </c>
      <c r="B51" s="13" t="s">
        <v>502</v>
      </c>
      <c r="C51" s="1" t="s">
        <v>493</v>
      </c>
      <c r="D51" s="1" t="s">
        <v>107</v>
      </c>
      <c r="E51" s="1">
        <v>1</v>
      </c>
      <c r="F51" s="1">
        <v>645</v>
      </c>
      <c r="G51" s="1">
        <v>5.3999999999999999E-2</v>
      </c>
      <c r="H51" s="1">
        <v>10</v>
      </c>
      <c r="I51" s="1">
        <v>1</v>
      </c>
      <c r="L51" s="1" t="s">
        <v>503</v>
      </c>
      <c r="M51" s="1" t="s">
        <v>470</v>
      </c>
      <c r="N51" s="1" t="s">
        <v>496</v>
      </c>
      <c r="O51" s="1">
        <v>2.0519999999999996</v>
      </c>
      <c r="P51" s="155"/>
      <c r="Q51" s="155"/>
      <c r="R51" s="154"/>
    </row>
    <row r="52" spans="1:18" x14ac:dyDescent="0.25">
      <c r="A52" s="13">
        <v>45779</v>
      </c>
      <c r="B52" s="13" t="s">
        <v>502</v>
      </c>
      <c r="C52" s="1" t="s">
        <v>493</v>
      </c>
      <c r="D52" s="1" t="s">
        <v>107</v>
      </c>
      <c r="E52" s="1">
        <v>1</v>
      </c>
      <c r="F52" s="1">
        <v>665</v>
      </c>
      <c r="G52" s="1">
        <v>7.1999999999999995E-2</v>
      </c>
      <c r="H52" s="1">
        <v>10</v>
      </c>
      <c r="I52" s="1">
        <v>1</v>
      </c>
      <c r="L52" s="1" t="s">
        <v>503</v>
      </c>
      <c r="M52" s="1" t="s">
        <v>159</v>
      </c>
      <c r="N52" s="1" t="s">
        <v>494</v>
      </c>
      <c r="O52" s="1">
        <v>0.45599999999999963</v>
      </c>
      <c r="P52" s="153">
        <v>0.23730992393913886</v>
      </c>
      <c r="Q52" s="153">
        <v>0.37999999999999984</v>
      </c>
      <c r="R52" s="154"/>
    </row>
    <row r="53" spans="1:18" x14ac:dyDescent="0.25">
      <c r="A53" s="13">
        <v>45779</v>
      </c>
      <c r="B53" s="13" t="s">
        <v>502</v>
      </c>
      <c r="C53" s="1" t="s">
        <v>493</v>
      </c>
      <c r="D53" s="1" t="s">
        <v>107</v>
      </c>
      <c r="E53" s="1">
        <v>1</v>
      </c>
      <c r="F53" s="1">
        <v>750</v>
      </c>
      <c r="G53" s="1">
        <v>3.7999999999999999E-2</v>
      </c>
      <c r="H53" s="1">
        <v>10</v>
      </c>
      <c r="I53" s="1">
        <v>1</v>
      </c>
      <c r="L53" s="1" t="s">
        <v>503</v>
      </c>
      <c r="M53" s="1" t="s">
        <v>159</v>
      </c>
      <c r="N53" s="1" t="s">
        <v>495</v>
      </c>
      <c r="O53" s="1">
        <v>0.56999999999999973</v>
      </c>
      <c r="P53" s="154"/>
      <c r="Q53" s="154"/>
      <c r="R53" s="154"/>
    </row>
    <row r="54" spans="1:18" x14ac:dyDescent="0.25">
      <c r="A54" s="13">
        <v>45779</v>
      </c>
      <c r="B54" s="13" t="s">
        <v>502</v>
      </c>
      <c r="C54" s="1" t="s">
        <v>493</v>
      </c>
      <c r="D54" s="1" t="s">
        <v>107</v>
      </c>
      <c r="E54" s="1">
        <v>2</v>
      </c>
      <c r="F54" s="1">
        <v>430</v>
      </c>
      <c r="G54" s="1">
        <v>6.4000000000000001E-2</v>
      </c>
      <c r="H54" s="1">
        <v>10</v>
      </c>
      <c r="I54" s="1">
        <v>1</v>
      </c>
      <c r="L54" s="1" t="s">
        <v>503</v>
      </c>
      <c r="M54" s="1" t="s">
        <v>159</v>
      </c>
      <c r="N54" s="1" t="s">
        <v>496</v>
      </c>
      <c r="O54" s="1">
        <v>0.1140000000000001</v>
      </c>
      <c r="P54" s="155"/>
      <c r="Q54" s="155"/>
      <c r="R54" s="154"/>
    </row>
    <row r="55" spans="1:18" x14ac:dyDescent="0.25">
      <c r="A55" s="13">
        <v>45779</v>
      </c>
      <c r="B55" s="13" t="s">
        <v>502</v>
      </c>
      <c r="C55" s="1" t="s">
        <v>493</v>
      </c>
      <c r="D55" s="1" t="s">
        <v>107</v>
      </c>
      <c r="E55" s="1">
        <v>2</v>
      </c>
      <c r="F55" s="1">
        <v>630</v>
      </c>
      <c r="G55" s="1">
        <v>3.6999999999999998E-2</v>
      </c>
      <c r="H55" s="1">
        <v>10</v>
      </c>
      <c r="I55" s="1">
        <v>1</v>
      </c>
      <c r="L55" s="1" t="s">
        <v>503</v>
      </c>
      <c r="M55" s="1" t="s">
        <v>107</v>
      </c>
      <c r="N55" s="1" t="s">
        <v>494</v>
      </c>
      <c r="O55" s="1">
        <v>7.5240000000000009</v>
      </c>
      <c r="P55" s="153">
        <v>7.1723427135072155</v>
      </c>
      <c r="Q55" s="153">
        <v>15.124000000000001</v>
      </c>
      <c r="R55" s="154"/>
    </row>
    <row r="56" spans="1:18" x14ac:dyDescent="0.25">
      <c r="A56" s="13">
        <v>45779</v>
      </c>
      <c r="B56" s="13" t="s">
        <v>502</v>
      </c>
      <c r="C56" s="1" t="s">
        <v>493</v>
      </c>
      <c r="D56" s="1" t="s">
        <v>107</v>
      </c>
      <c r="E56" s="1">
        <v>2</v>
      </c>
      <c r="F56" s="1">
        <v>645</v>
      </c>
      <c r="G56" s="1">
        <v>3.6999999999999998E-2</v>
      </c>
      <c r="H56" s="1">
        <v>10</v>
      </c>
      <c r="I56" s="1">
        <v>1</v>
      </c>
      <c r="L56" s="1" t="s">
        <v>503</v>
      </c>
      <c r="M56" s="1" t="s">
        <v>107</v>
      </c>
      <c r="N56" s="1" t="s">
        <v>495</v>
      </c>
      <c r="O56" s="1">
        <v>16.073999999999998</v>
      </c>
      <c r="P56" s="154"/>
      <c r="Q56" s="154"/>
      <c r="R56" s="154"/>
    </row>
    <row r="57" spans="1:18" x14ac:dyDescent="0.25">
      <c r="A57" s="13">
        <v>45779</v>
      </c>
      <c r="B57" s="13" t="s">
        <v>502</v>
      </c>
      <c r="C57" s="1" t="s">
        <v>493</v>
      </c>
      <c r="D57" s="1" t="s">
        <v>107</v>
      </c>
      <c r="E57" s="1">
        <v>2</v>
      </c>
      <c r="F57" s="1">
        <v>665</v>
      </c>
      <c r="G57" s="1">
        <v>4.1000000000000002E-2</v>
      </c>
      <c r="H57" s="1">
        <v>10</v>
      </c>
      <c r="I57" s="1">
        <v>1</v>
      </c>
      <c r="L57" s="1" t="s">
        <v>503</v>
      </c>
      <c r="M57" s="1" t="s">
        <v>107</v>
      </c>
      <c r="N57" s="1" t="s">
        <v>496</v>
      </c>
      <c r="O57" s="1">
        <v>21.774000000000001</v>
      </c>
      <c r="P57" s="155"/>
      <c r="Q57" s="155"/>
      <c r="R57" s="155"/>
    </row>
    <row r="58" spans="1:18" x14ac:dyDescent="0.25">
      <c r="A58" s="13">
        <v>45779</v>
      </c>
      <c r="B58" s="13" t="s">
        <v>502</v>
      </c>
      <c r="C58" s="1" t="s">
        <v>493</v>
      </c>
      <c r="D58" s="1" t="s">
        <v>107</v>
      </c>
      <c r="E58" s="1">
        <v>2</v>
      </c>
      <c r="F58" s="1">
        <v>750</v>
      </c>
      <c r="G58" s="1">
        <v>3.6999999999999998E-2</v>
      </c>
      <c r="H58" s="1">
        <v>10</v>
      </c>
      <c r="I58" s="1">
        <v>1</v>
      </c>
    </row>
    <row r="59" spans="1:18" x14ac:dyDescent="0.25">
      <c r="A59" s="13">
        <v>45779</v>
      </c>
      <c r="B59" s="13" t="s">
        <v>502</v>
      </c>
      <c r="C59" s="1" t="s">
        <v>493</v>
      </c>
      <c r="D59" s="1" t="s">
        <v>107</v>
      </c>
      <c r="E59" s="1">
        <v>3</v>
      </c>
      <c r="F59" s="1">
        <v>430</v>
      </c>
      <c r="G59" s="1">
        <v>4.1000000000000002E-2</v>
      </c>
      <c r="H59" s="1">
        <v>10</v>
      </c>
      <c r="I59" s="1">
        <v>1</v>
      </c>
    </row>
    <row r="60" spans="1:18" x14ac:dyDescent="0.25">
      <c r="A60" s="13">
        <v>45779</v>
      </c>
      <c r="B60" s="13" t="s">
        <v>502</v>
      </c>
      <c r="C60" s="1" t="s">
        <v>493</v>
      </c>
      <c r="D60" s="1" t="s">
        <v>107</v>
      </c>
      <c r="E60" s="1">
        <v>3</v>
      </c>
      <c r="F60" s="1">
        <v>630</v>
      </c>
      <c r="G60" s="1">
        <v>3.4000000000000002E-2</v>
      </c>
      <c r="H60" s="1">
        <v>10</v>
      </c>
      <c r="I60" s="1">
        <v>1</v>
      </c>
    </row>
    <row r="61" spans="1:18" x14ac:dyDescent="0.25">
      <c r="A61" s="13">
        <v>45779</v>
      </c>
      <c r="B61" s="13" t="s">
        <v>502</v>
      </c>
      <c r="C61" s="1" t="s">
        <v>493</v>
      </c>
      <c r="D61" s="1" t="s">
        <v>107</v>
      </c>
      <c r="E61" s="1">
        <v>3</v>
      </c>
      <c r="F61" s="1">
        <v>645</v>
      </c>
      <c r="G61" s="1">
        <v>3.3000000000000002E-2</v>
      </c>
      <c r="H61" s="1">
        <v>10</v>
      </c>
      <c r="I61" s="1">
        <v>1</v>
      </c>
    </row>
    <row r="62" spans="1:18" x14ac:dyDescent="0.25">
      <c r="A62" s="13">
        <v>45779</v>
      </c>
      <c r="B62" s="13" t="s">
        <v>502</v>
      </c>
      <c r="C62" s="1" t="s">
        <v>493</v>
      </c>
      <c r="D62" s="1" t="s">
        <v>107</v>
      </c>
      <c r="E62" s="1">
        <v>3</v>
      </c>
      <c r="F62" s="1">
        <v>665</v>
      </c>
      <c r="G62" s="1">
        <v>3.5000000000000003E-2</v>
      </c>
      <c r="H62" s="1">
        <v>10</v>
      </c>
      <c r="I62" s="1">
        <v>1</v>
      </c>
    </row>
    <row r="63" spans="1:18" x14ac:dyDescent="0.25">
      <c r="A63" s="13">
        <v>45779</v>
      </c>
      <c r="B63" s="13" t="s">
        <v>502</v>
      </c>
      <c r="C63" s="1" t="s">
        <v>493</v>
      </c>
      <c r="D63" s="1" t="s">
        <v>107</v>
      </c>
      <c r="E63" s="1">
        <v>3</v>
      </c>
      <c r="F63" s="1">
        <v>750</v>
      </c>
      <c r="G63" s="1">
        <v>3.4000000000000002E-2</v>
      </c>
      <c r="H63" s="1">
        <v>10</v>
      </c>
      <c r="I63" s="1">
        <v>1</v>
      </c>
    </row>
    <row r="64" spans="1:18" x14ac:dyDescent="0.25">
      <c r="A64" s="13">
        <v>45779</v>
      </c>
      <c r="B64" s="13" t="s">
        <v>502</v>
      </c>
      <c r="C64" s="1" t="s">
        <v>493</v>
      </c>
      <c r="D64" s="1" t="s">
        <v>107</v>
      </c>
      <c r="E64" s="1">
        <v>4</v>
      </c>
      <c r="F64" s="1">
        <v>430</v>
      </c>
      <c r="G64" s="1">
        <v>5.8000000000000003E-2</v>
      </c>
      <c r="H64" s="1">
        <v>10</v>
      </c>
      <c r="I64" s="1">
        <v>1</v>
      </c>
    </row>
    <row r="65" spans="1:9" x14ac:dyDescent="0.25">
      <c r="A65" s="13">
        <v>45779</v>
      </c>
      <c r="B65" s="13" t="s">
        <v>502</v>
      </c>
      <c r="C65" s="1" t="s">
        <v>493</v>
      </c>
      <c r="D65" s="1" t="s">
        <v>107</v>
      </c>
      <c r="E65" s="1">
        <v>4</v>
      </c>
      <c r="F65" s="1">
        <v>630</v>
      </c>
      <c r="G65" s="1">
        <v>4.1000000000000002E-2</v>
      </c>
      <c r="H65" s="1">
        <v>10</v>
      </c>
      <c r="I65" s="1">
        <v>1</v>
      </c>
    </row>
    <row r="66" spans="1:9" x14ac:dyDescent="0.25">
      <c r="A66" s="13">
        <v>45779</v>
      </c>
      <c r="B66" s="13" t="s">
        <v>502</v>
      </c>
      <c r="C66" s="1" t="s">
        <v>493</v>
      </c>
      <c r="D66" s="1" t="s">
        <v>107</v>
      </c>
      <c r="E66" s="1">
        <v>4</v>
      </c>
      <c r="F66" s="1">
        <v>645</v>
      </c>
      <c r="G66" s="1">
        <v>0.04</v>
      </c>
      <c r="H66" s="1">
        <v>10</v>
      </c>
      <c r="I66" s="1">
        <v>1</v>
      </c>
    </row>
    <row r="67" spans="1:9" x14ac:dyDescent="0.25">
      <c r="A67" s="13">
        <v>45779</v>
      </c>
      <c r="B67" s="13" t="s">
        <v>502</v>
      </c>
      <c r="C67" s="1" t="s">
        <v>493</v>
      </c>
      <c r="D67" s="1" t="s">
        <v>107</v>
      </c>
      <c r="E67" s="1">
        <v>4</v>
      </c>
      <c r="F67" s="1">
        <v>665</v>
      </c>
      <c r="G67" s="1">
        <v>4.2000000000000003E-2</v>
      </c>
      <c r="H67" s="1">
        <v>10</v>
      </c>
      <c r="I67" s="1">
        <v>1</v>
      </c>
    </row>
    <row r="68" spans="1:9" x14ac:dyDescent="0.25">
      <c r="A68" s="13">
        <v>45779</v>
      </c>
      <c r="B68" s="13" t="s">
        <v>502</v>
      </c>
      <c r="C68" s="1" t="s">
        <v>493</v>
      </c>
      <c r="D68" s="1" t="s">
        <v>107</v>
      </c>
      <c r="E68" s="1">
        <v>4</v>
      </c>
      <c r="F68" s="1">
        <v>750</v>
      </c>
      <c r="G68" s="1">
        <v>4.2000000000000003E-2</v>
      </c>
      <c r="H68" s="1">
        <v>10</v>
      </c>
      <c r="I68" s="1">
        <v>1</v>
      </c>
    </row>
    <row r="69" spans="1:9" x14ac:dyDescent="0.25">
      <c r="A69" s="13">
        <v>45779</v>
      </c>
      <c r="B69" s="13" t="s">
        <v>502</v>
      </c>
      <c r="C69" s="1" t="s">
        <v>493</v>
      </c>
      <c r="D69" s="1" t="s">
        <v>159</v>
      </c>
      <c r="E69" s="1">
        <v>1</v>
      </c>
      <c r="F69" s="1">
        <v>430</v>
      </c>
      <c r="G69" s="1">
        <v>0.04</v>
      </c>
      <c r="H69" s="1">
        <v>10</v>
      </c>
      <c r="I69" s="1">
        <v>1</v>
      </c>
    </row>
    <row r="70" spans="1:9" x14ac:dyDescent="0.25">
      <c r="A70" s="13">
        <v>45779</v>
      </c>
      <c r="B70" s="13" t="s">
        <v>502</v>
      </c>
      <c r="C70" s="1" t="s">
        <v>493</v>
      </c>
      <c r="D70" s="1" t="s">
        <v>159</v>
      </c>
      <c r="E70" s="1">
        <v>1</v>
      </c>
      <c r="F70" s="1">
        <v>630</v>
      </c>
      <c r="G70" s="1">
        <v>3.3000000000000002E-2</v>
      </c>
      <c r="H70" s="1">
        <v>10</v>
      </c>
      <c r="I70" s="1">
        <v>1</v>
      </c>
    </row>
    <row r="71" spans="1:9" x14ac:dyDescent="0.25">
      <c r="A71" s="13">
        <v>45779</v>
      </c>
      <c r="B71" s="13" t="s">
        <v>502</v>
      </c>
      <c r="C71" s="1" t="s">
        <v>493</v>
      </c>
      <c r="D71" s="1" t="s">
        <v>159</v>
      </c>
      <c r="E71" s="1">
        <v>1</v>
      </c>
      <c r="F71" s="1">
        <v>645</v>
      </c>
      <c r="G71" s="1">
        <v>3.3000000000000002E-2</v>
      </c>
      <c r="H71" s="1">
        <v>10</v>
      </c>
      <c r="I71" s="1">
        <v>1</v>
      </c>
    </row>
    <row r="72" spans="1:9" x14ac:dyDescent="0.25">
      <c r="A72" s="13">
        <v>45779</v>
      </c>
      <c r="B72" s="13" t="s">
        <v>502</v>
      </c>
      <c r="C72" s="1" t="s">
        <v>493</v>
      </c>
      <c r="D72" s="1" t="s">
        <v>159</v>
      </c>
      <c r="E72" s="1">
        <v>1</v>
      </c>
      <c r="F72" s="1">
        <v>665</v>
      </c>
      <c r="G72" s="1">
        <v>3.4000000000000002E-2</v>
      </c>
      <c r="H72" s="1">
        <v>10</v>
      </c>
      <c r="I72" s="1">
        <v>1</v>
      </c>
    </row>
    <row r="73" spans="1:9" x14ac:dyDescent="0.25">
      <c r="A73" s="13">
        <v>45779</v>
      </c>
      <c r="B73" s="13" t="s">
        <v>502</v>
      </c>
      <c r="C73" s="1" t="s">
        <v>493</v>
      </c>
      <c r="D73" s="1" t="s">
        <v>159</v>
      </c>
      <c r="E73" s="1">
        <v>1</v>
      </c>
      <c r="F73" s="1">
        <v>750</v>
      </c>
      <c r="G73" s="1">
        <v>3.5000000000000003E-2</v>
      </c>
      <c r="H73" s="1">
        <v>10</v>
      </c>
      <c r="I73" s="1">
        <v>1</v>
      </c>
    </row>
    <row r="74" spans="1:9" x14ac:dyDescent="0.25">
      <c r="A74" s="13">
        <v>45779</v>
      </c>
      <c r="B74" s="13" t="s">
        <v>502</v>
      </c>
      <c r="C74" s="1" t="s">
        <v>493</v>
      </c>
      <c r="D74" s="1" t="s">
        <v>159</v>
      </c>
      <c r="E74" s="1">
        <v>2</v>
      </c>
      <c r="F74" s="1">
        <v>430</v>
      </c>
      <c r="G74" s="1">
        <v>6.3E-2</v>
      </c>
      <c r="H74" s="1">
        <v>10</v>
      </c>
      <c r="I74" s="1">
        <v>1</v>
      </c>
    </row>
    <row r="75" spans="1:9" x14ac:dyDescent="0.25">
      <c r="A75" s="13">
        <v>45779</v>
      </c>
      <c r="B75" s="13" t="s">
        <v>502</v>
      </c>
      <c r="C75" s="1" t="s">
        <v>493</v>
      </c>
      <c r="D75" s="1" t="s">
        <v>159</v>
      </c>
      <c r="E75" s="1">
        <v>2</v>
      </c>
      <c r="F75" s="1">
        <v>630</v>
      </c>
      <c r="G75" s="1">
        <v>3.7999999999999999E-2</v>
      </c>
      <c r="H75" s="1">
        <v>10</v>
      </c>
      <c r="I75" s="1">
        <v>1</v>
      </c>
    </row>
    <row r="76" spans="1:9" x14ac:dyDescent="0.25">
      <c r="A76" s="13">
        <v>45779</v>
      </c>
      <c r="B76" s="13" t="s">
        <v>502</v>
      </c>
      <c r="C76" s="1" t="s">
        <v>493</v>
      </c>
      <c r="D76" s="1" t="s">
        <v>159</v>
      </c>
      <c r="E76" s="1">
        <v>2</v>
      </c>
      <c r="F76" s="1">
        <v>645</v>
      </c>
      <c r="G76" s="1">
        <v>3.9E-2</v>
      </c>
      <c r="H76" s="1">
        <v>10</v>
      </c>
      <c r="I76" s="1">
        <v>1</v>
      </c>
    </row>
    <row r="77" spans="1:9" x14ac:dyDescent="0.25">
      <c r="A77" s="13">
        <v>45779</v>
      </c>
      <c r="B77" s="13" t="s">
        <v>502</v>
      </c>
      <c r="C77" s="1" t="s">
        <v>493</v>
      </c>
      <c r="D77" s="1" t="s">
        <v>159</v>
      </c>
      <c r="E77" s="1">
        <v>2</v>
      </c>
      <c r="F77" s="1">
        <v>665</v>
      </c>
      <c r="G77" s="1">
        <v>4.5999999999999999E-2</v>
      </c>
      <c r="H77" s="1">
        <v>10</v>
      </c>
      <c r="I77" s="1">
        <v>1</v>
      </c>
    </row>
    <row r="78" spans="1:9" x14ac:dyDescent="0.25">
      <c r="A78" s="13">
        <v>45779</v>
      </c>
      <c r="B78" s="13" t="s">
        <v>502</v>
      </c>
      <c r="C78" s="1" t="s">
        <v>493</v>
      </c>
      <c r="D78" s="1" t="s">
        <v>159</v>
      </c>
      <c r="E78" s="1">
        <v>2</v>
      </c>
      <c r="F78" s="1">
        <v>750</v>
      </c>
      <c r="G78" s="1">
        <v>3.6999999999999998E-2</v>
      </c>
      <c r="H78" s="1">
        <v>10</v>
      </c>
      <c r="I78" s="1">
        <v>1</v>
      </c>
    </row>
    <row r="79" spans="1:9" x14ac:dyDescent="0.25">
      <c r="A79" s="13">
        <v>45779</v>
      </c>
      <c r="B79" s="13" t="s">
        <v>502</v>
      </c>
      <c r="C79" s="1" t="s">
        <v>493</v>
      </c>
      <c r="D79" s="1" t="s">
        <v>159</v>
      </c>
      <c r="E79" s="1">
        <v>3</v>
      </c>
      <c r="F79" s="1">
        <v>430</v>
      </c>
      <c r="G79" s="1">
        <v>7.4999999999999997E-2</v>
      </c>
      <c r="H79" s="1">
        <v>10</v>
      </c>
      <c r="I79" s="1">
        <v>1</v>
      </c>
    </row>
    <row r="80" spans="1:9" x14ac:dyDescent="0.25">
      <c r="A80" s="13">
        <v>45779</v>
      </c>
      <c r="B80" s="13" t="s">
        <v>502</v>
      </c>
      <c r="C80" s="1" t="s">
        <v>493</v>
      </c>
      <c r="D80" s="1" t="s">
        <v>159</v>
      </c>
      <c r="E80" s="1">
        <v>3</v>
      </c>
      <c r="F80" s="1">
        <v>630</v>
      </c>
      <c r="G80" s="1">
        <v>4.2999999999999997E-2</v>
      </c>
      <c r="H80" s="1">
        <v>10</v>
      </c>
      <c r="I80" s="1">
        <v>1</v>
      </c>
    </row>
    <row r="81" spans="1:9" x14ac:dyDescent="0.25">
      <c r="A81" s="13">
        <v>45779</v>
      </c>
      <c r="B81" s="13" t="s">
        <v>502</v>
      </c>
      <c r="C81" s="1" t="s">
        <v>493</v>
      </c>
      <c r="D81" s="1" t="s">
        <v>159</v>
      </c>
      <c r="E81" s="1">
        <v>3</v>
      </c>
      <c r="F81" s="1">
        <v>645</v>
      </c>
      <c r="G81" s="1">
        <v>4.2999999999999997E-2</v>
      </c>
      <c r="H81" s="1">
        <v>10</v>
      </c>
      <c r="I81" s="1">
        <v>1</v>
      </c>
    </row>
    <row r="82" spans="1:9" x14ac:dyDescent="0.25">
      <c r="A82" s="13">
        <v>45779</v>
      </c>
      <c r="B82" s="13" t="s">
        <v>502</v>
      </c>
      <c r="C82" s="1" t="s">
        <v>493</v>
      </c>
      <c r="D82" s="1" t="s">
        <v>159</v>
      </c>
      <c r="E82" s="1">
        <v>3</v>
      </c>
      <c r="F82" s="1">
        <v>665</v>
      </c>
      <c r="G82" s="1">
        <v>4.7E-2</v>
      </c>
      <c r="H82" s="1">
        <v>10</v>
      </c>
      <c r="I82" s="1">
        <v>1</v>
      </c>
    </row>
    <row r="83" spans="1:9" x14ac:dyDescent="0.25">
      <c r="A83" s="13">
        <v>45779</v>
      </c>
      <c r="B83" s="13" t="s">
        <v>502</v>
      </c>
      <c r="C83" s="1" t="s">
        <v>493</v>
      </c>
      <c r="D83" s="1" t="s">
        <v>159</v>
      </c>
      <c r="E83" s="1">
        <v>3</v>
      </c>
      <c r="F83" s="1">
        <v>750</v>
      </c>
      <c r="G83" s="1">
        <v>4.2000000000000003E-2</v>
      </c>
      <c r="H83" s="1">
        <v>10</v>
      </c>
      <c r="I83" s="1">
        <v>1</v>
      </c>
    </row>
    <row r="84" spans="1:9" x14ac:dyDescent="0.25">
      <c r="A84" s="13">
        <v>45779</v>
      </c>
      <c r="B84" s="13" t="s">
        <v>502</v>
      </c>
      <c r="C84" s="1" t="s">
        <v>493</v>
      </c>
      <c r="D84" s="1" t="s">
        <v>159</v>
      </c>
      <c r="E84" s="1">
        <v>4</v>
      </c>
      <c r="F84" s="1">
        <v>430</v>
      </c>
      <c r="G84" s="1">
        <v>5.8000000000000003E-2</v>
      </c>
      <c r="H84" s="1">
        <v>10</v>
      </c>
      <c r="I84" s="1">
        <v>1</v>
      </c>
    </row>
    <row r="85" spans="1:9" x14ac:dyDescent="0.25">
      <c r="A85" s="13">
        <v>45779</v>
      </c>
      <c r="B85" s="13" t="s">
        <v>502</v>
      </c>
      <c r="C85" s="1" t="s">
        <v>493</v>
      </c>
      <c r="D85" s="1" t="s">
        <v>159</v>
      </c>
      <c r="E85" s="1">
        <v>4</v>
      </c>
      <c r="F85" s="1">
        <v>630</v>
      </c>
      <c r="G85" s="1">
        <v>3.7999999999999999E-2</v>
      </c>
      <c r="H85" s="1">
        <v>10</v>
      </c>
      <c r="I85" s="1">
        <v>1</v>
      </c>
    </row>
    <row r="86" spans="1:9" x14ac:dyDescent="0.25">
      <c r="A86" s="13">
        <v>45779</v>
      </c>
      <c r="B86" s="13" t="s">
        <v>502</v>
      </c>
      <c r="C86" s="1" t="s">
        <v>493</v>
      </c>
      <c r="D86" s="1" t="s">
        <v>159</v>
      </c>
      <c r="E86" s="1">
        <v>4</v>
      </c>
      <c r="F86" s="1">
        <v>645</v>
      </c>
      <c r="G86" s="1">
        <v>3.7999999999999999E-2</v>
      </c>
      <c r="H86" s="1">
        <v>10</v>
      </c>
      <c r="I86" s="1">
        <v>1</v>
      </c>
    </row>
    <row r="87" spans="1:9" x14ac:dyDescent="0.25">
      <c r="A87" s="13">
        <v>45779</v>
      </c>
      <c r="B87" s="13" t="s">
        <v>502</v>
      </c>
      <c r="C87" s="1" t="s">
        <v>493</v>
      </c>
      <c r="D87" s="1" t="s">
        <v>159</v>
      </c>
      <c r="E87" s="1">
        <v>4</v>
      </c>
      <c r="F87" s="1">
        <v>665</v>
      </c>
      <c r="G87" s="1">
        <v>4.1000000000000002E-2</v>
      </c>
      <c r="H87" s="1">
        <v>10</v>
      </c>
      <c r="I87" s="1">
        <v>1</v>
      </c>
    </row>
    <row r="88" spans="1:9" x14ac:dyDescent="0.25">
      <c r="A88" s="13">
        <v>45779</v>
      </c>
      <c r="B88" s="13" t="s">
        <v>502</v>
      </c>
      <c r="C88" s="1" t="s">
        <v>493</v>
      </c>
      <c r="D88" s="1" t="s">
        <v>159</v>
      </c>
      <c r="E88" s="1">
        <v>4</v>
      </c>
      <c r="F88" s="1">
        <v>750</v>
      </c>
      <c r="G88" s="1">
        <v>3.9E-2</v>
      </c>
      <c r="H88" s="1">
        <v>10</v>
      </c>
      <c r="I88" s="1">
        <v>1</v>
      </c>
    </row>
    <row r="89" spans="1:9" x14ac:dyDescent="0.25">
      <c r="A89" s="13">
        <v>45779</v>
      </c>
      <c r="B89" s="13" t="s">
        <v>502</v>
      </c>
      <c r="C89" s="1" t="s">
        <v>493</v>
      </c>
      <c r="D89" s="1" t="s">
        <v>470</v>
      </c>
      <c r="E89" s="1">
        <v>1</v>
      </c>
      <c r="F89" s="1">
        <v>430</v>
      </c>
      <c r="G89" s="1">
        <v>8.5999999999999993E-2</v>
      </c>
      <c r="H89" s="1">
        <v>10</v>
      </c>
      <c r="I89" s="1">
        <v>1</v>
      </c>
    </row>
    <row r="90" spans="1:9" x14ac:dyDescent="0.25">
      <c r="A90" s="13">
        <v>45779</v>
      </c>
      <c r="B90" s="13" t="s">
        <v>502</v>
      </c>
      <c r="C90" s="1" t="s">
        <v>493</v>
      </c>
      <c r="D90" s="1" t="s">
        <v>470</v>
      </c>
      <c r="E90" s="1">
        <v>1</v>
      </c>
      <c r="F90" s="1">
        <v>630</v>
      </c>
      <c r="G90" s="1">
        <v>0.04</v>
      </c>
      <c r="H90" s="1">
        <v>10</v>
      </c>
      <c r="I90" s="1">
        <v>1</v>
      </c>
    </row>
    <row r="91" spans="1:9" x14ac:dyDescent="0.25">
      <c r="A91" s="13">
        <v>45779</v>
      </c>
      <c r="B91" s="13" t="s">
        <v>502</v>
      </c>
      <c r="C91" s="1" t="s">
        <v>493</v>
      </c>
      <c r="D91" s="1" t="s">
        <v>470</v>
      </c>
      <c r="E91" s="1">
        <v>1</v>
      </c>
      <c r="F91" s="1">
        <v>645</v>
      </c>
      <c r="G91" s="1">
        <v>4.1000000000000002E-2</v>
      </c>
      <c r="H91" s="1">
        <v>10</v>
      </c>
      <c r="I91" s="1">
        <v>1</v>
      </c>
    </row>
    <row r="92" spans="1:9" x14ac:dyDescent="0.25">
      <c r="A92" s="13">
        <v>45779</v>
      </c>
      <c r="B92" s="13" t="s">
        <v>502</v>
      </c>
      <c r="C92" s="1" t="s">
        <v>493</v>
      </c>
      <c r="D92" s="1" t="s">
        <v>470</v>
      </c>
      <c r="E92" s="1">
        <v>1</v>
      </c>
      <c r="F92" s="1">
        <v>665</v>
      </c>
      <c r="G92" s="1">
        <v>5.6000000000000001E-2</v>
      </c>
      <c r="H92" s="1">
        <v>10</v>
      </c>
      <c r="I92" s="1">
        <v>1</v>
      </c>
    </row>
    <row r="93" spans="1:9" x14ac:dyDescent="0.25">
      <c r="A93" s="13">
        <v>45779</v>
      </c>
      <c r="B93" s="13" t="s">
        <v>502</v>
      </c>
      <c r="C93" s="1" t="s">
        <v>493</v>
      </c>
      <c r="D93" s="1" t="s">
        <v>470</v>
      </c>
      <c r="E93" s="1">
        <v>1</v>
      </c>
      <c r="F93" s="1">
        <v>750</v>
      </c>
      <c r="G93" s="1">
        <v>3.5000000000000003E-2</v>
      </c>
      <c r="H93" s="1">
        <v>10</v>
      </c>
      <c r="I93" s="1">
        <v>1</v>
      </c>
    </row>
    <row r="94" spans="1:9" x14ac:dyDescent="0.25">
      <c r="A94" s="13">
        <v>45779</v>
      </c>
      <c r="B94" s="13" t="s">
        <v>502</v>
      </c>
      <c r="C94" s="1" t="s">
        <v>493</v>
      </c>
      <c r="D94" s="1" t="s">
        <v>470</v>
      </c>
      <c r="E94" s="1">
        <v>2</v>
      </c>
      <c r="F94" s="1">
        <v>430</v>
      </c>
      <c r="G94" s="1">
        <v>0.10199999999999999</v>
      </c>
      <c r="H94" s="1">
        <v>10</v>
      </c>
      <c r="I94" s="1">
        <v>1</v>
      </c>
    </row>
    <row r="95" spans="1:9" x14ac:dyDescent="0.25">
      <c r="A95" s="13">
        <v>45779</v>
      </c>
      <c r="B95" s="13" t="s">
        <v>502</v>
      </c>
      <c r="C95" s="1" t="s">
        <v>493</v>
      </c>
      <c r="D95" s="1" t="s">
        <v>470</v>
      </c>
      <c r="E95" s="1">
        <v>2</v>
      </c>
      <c r="F95" s="1">
        <v>630</v>
      </c>
      <c r="G95" s="1">
        <v>4.1000000000000002E-2</v>
      </c>
      <c r="H95" s="1">
        <v>10</v>
      </c>
      <c r="I95" s="1">
        <v>1</v>
      </c>
    </row>
    <row r="96" spans="1:9" x14ac:dyDescent="0.25">
      <c r="A96" s="13">
        <v>45779</v>
      </c>
      <c r="B96" s="13" t="s">
        <v>502</v>
      </c>
      <c r="C96" s="1" t="s">
        <v>493</v>
      </c>
      <c r="D96" s="1" t="s">
        <v>470</v>
      </c>
      <c r="E96" s="1">
        <v>2</v>
      </c>
      <c r="F96" s="1">
        <v>645</v>
      </c>
      <c r="G96" s="1">
        <v>4.3999999999999997E-2</v>
      </c>
      <c r="H96" s="1">
        <v>10</v>
      </c>
      <c r="I96" s="1">
        <v>1</v>
      </c>
    </row>
    <row r="97" spans="1:9" x14ac:dyDescent="0.25">
      <c r="A97" s="13">
        <v>45779</v>
      </c>
      <c r="B97" s="13" t="s">
        <v>502</v>
      </c>
      <c r="C97" s="1" t="s">
        <v>493</v>
      </c>
      <c r="D97" s="1" t="s">
        <v>470</v>
      </c>
      <c r="E97" s="1">
        <v>2</v>
      </c>
      <c r="F97" s="1">
        <v>665</v>
      </c>
      <c r="G97" s="1">
        <v>6.5000000000000002E-2</v>
      </c>
      <c r="H97" s="1">
        <v>10</v>
      </c>
      <c r="I97" s="1">
        <v>1</v>
      </c>
    </row>
    <row r="98" spans="1:9" x14ac:dyDescent="0.25">
      <c r="A98" s="13">
        <v>45779</v>
      </c>
      <c r="B98" s="13" t="s">
        <v>502</v>
      </c>
      <c r="C98" s="1" t="s">
        <v>493</v>
      </c>
      <c r="D98" s="1" t="s">
        <v>470</v>
      </c>
      <c r="E98" s="1">
        <v>2</v>
      </c>
      <c r="F98" s="1">
        <v>750</v>
      </c>
      <c r="G98" s="1">
        <v>3.5000000000000003E-2</v>
      </c>
      <c r="H98" s="1">
        <v>10</v>
      </c>
      <c r="I98" s="1">
        <v>1</v>
      </c>
    </row>
    <row r="99" spans="1:9" x14ac:dyDescent="0.25">
      <c r="A99" s="13">
        <v>45779</v>
      </c>
      <c r="B99" s="13" t="s">
        <v>502</v>
      </c>
      <c r="C99" s="1" t="s">
        <v>493</v>
      </c>
      <c r="D99" s="1" t="s">
        <v>470</v>
      </c>
      <c r="E99" s="1">
        <v>3</v>
      </c>
      <c r="F99" s="1">
        <v>430</v>
      </c>
      <c r="G99" s="1">
        <v>0.107</v>
      </c>
      <c r="H99" s="1">
        <v>10</v>
      </c>
      <c r="I99" s="1">
        <v>1</v>
      </c>
    </row>
    <row r="100" spans="1:9" x14ac:dyDescent="0.25">
      <c r="A100" s="13">
        <v>45779</v>
      </c>
      <c r="B100" s="13" t="s">
        <v>502</v>
      </c>
      <c r="C100" s="1" t="s">
        <v>493</v>
      </c>
      <c r="D100" s="1" t="s">
        <v>470</v>
      </c>
      <c r="E100" s="1">
        <v>3</v>
      </c>
      <c r="F100" s="1">
        <v>630</v>
      </c>
      <c r="G100" s="1">
        <v>4.2999999999999997E-2</v>
      </c>
      <c r="H100" s="1">
        <v>10</v>
      </c>
      <c r="I100" s="1">
        <v>1</v>
      </c>
    </row>
    <row r="101" spans="1:9" x14ac:dyDescent="0.25">
      <c r="A101" s="13">
        <v>45779</v>
      </c>
      <c r="B101" s="13" t="s">
        <v>502</v>
      </c>
      <c r="C101" s="1" t="s">
        <v>493</v>
      </c>
      <c r="D101" s="1" t="s">
        <v>470</v>
      </c>
      <c r="E101" s="1">
        <v>3</v>
      </c>
      <c r="F101" s="1">
        <v>645</v>
      </c>
      <c r="G101" s="1">
        <v>4.4999999999999998E-2</v>
      </c>
      <c r="H101" s="1">
        <v>10</v>
      </c>
      <c r="I101" s="1">
        <v>1</v>
      </c>
    </row>
    <row r="102" spans="1:9" x14ac:dyDescent="0.25">
      <c r="A102" s="13">
        <v>45779</v>
      </c>
      <c r="B102" s="13" t="s">
        <v>502</v>
      </c>
      <c r="C102" s="1" t="s">
        <v>493</v>
      </c>
      <c r="D102" s="1" t="s">
        <v>470</v>
      </c>
      <c r="E102" s="1">
        <v>3</v>
      </c>
      <c r="F102" s="1">
        <v>665</v>
      </c>
      <c r="G102" s="1">
        <v>6.7000000000000004E-2</v>
      </c>
      <c r="H102" s="1">
        <v>10</v>
      </c>
      <c r="I102" s="1">
        <v>1</v>
      </c>
    </row>
    <row r="103" spans="1:9" x14ac:dyDescent="0.25">
      <c r="A103" s="13">
        <v>45779</v>
      </c>
      <c r="B103" s="13" t="s">
        <v>502</v>
      </c>
      <c r="C103" s="1" t="s">
        <v>493</v>
      </c>
      <c r="D103" s="1" t="s">
        <v>470</v>
      </c>
      <c r="E103" s="1">
        <v>3</v>
      </c>
      <c r="F103" s="1">
        <v>750</v>
      </c>
      <c r="G103" s="1">
        <v>3.6999999999999998E-2</v>
      </c>
      <c r="H103" s="1">
        <v>10</v>
      </c>
      <c r="I103" s="1">
        <v>1</v>
      </c>
    </row>
    <row r="104" spans="1:9" x14ac:dyDescent="0.25">
      <c r="A104" s="13">
        <v>45779</v>
      </c>
      <c r="B104" s="13" t="s">
        <v>502</v>
      </c>
      <c r="C104" s="1" t="s">
        <v>493</v>
      </c>
      <c r="D104" s="1" t="s">
        <v>470</v>
      </c>
      <c r="E104" s="1">
        <v>4</v>
      </c>
      <c r="F104" s="1">
        <v>430</v>
      </c>
      <c r="G104" s="1">
        <v>7.9000000000000001E-2</v>
      </c>
      <c r="H104" s="1">
        <v>10</v>
      </c>
      <c r="I104" s="1">
        <v>1</v>
      </c>
    </row>
    <row r="105" spans="1:9" x14ac:dyDescent="0.25">
      <c r="A105" s="13">
        <v>45779</v>
      </c>
      <c r="B105" s="13" t="s">
        <v>502</v>
      </c>
      <c r="C105" s="1" t="s">
        <v>493</v>
      </c>
      <c r="D105" s="1" t="s">
        <v>470</v>
      </c>
      <c r="E105" s="1">
        <v>4</v>
      </c>
      <c r="F105" s="1">
        <v>630</v>
      </c>
      <c r="G105" s="1">
        <v>3.9E-2</v>
      </c>
      <c r="H105" s="1">
        <v>10</v>
      </c>
      <c r="I105" s="1">
        <v>1</v>
      </c>
    </row>
    <row r="106" spans="1:9" x14ac:dyDescent="0.25">
      <c r="A106" s="13">
        <v>45779</v>
      </c>
      <c r="B106" s="13" t="s">
        <v>502</v>
      </c>
      <c r="C106" s="1" t="s">
        <v>493</v>
      </c>
      <c r="D106" s="1" t="s">
        <v>470</v>
      </c>
      <c r="E106" s="1">
        <v>4</v>
      </c>
      <c r="F106" s="1">
        <v>645</v>
      </c>
      <c r="G106" s="1">
        <v>3.9E-2</v>
      </c>
      <c r="H106" s="1">
        <v>10</v>
      </c>
      <c r="I106" s="1">
        <v>1</v>
      </c>
    </row>
    <row r="107" spans="1:9" x14ac:dyDescent="0.25">
      <c r="A107" s="13">
        <v>45779</v>
      </c>
      <c r="B107" s="13" t="s">
        <v>502</v>
      </c>
      <c r="C107" s="1" t="s">
        <v>493</v>
      </c>
      <c r="D107" s="1" t="s">
        <v>470</v>
      </c>
      <c r="E107" s="1">
        <v>4</v>
      </c>
      <c r="F107" s="1">
        <v>665</v>
      </c>
      <c r="G107" s="1">
        <v>5.2999999999999999E-2</v>
      </c>
      <c r="H107" s="1">
        <v>10</v>
      </c>
      <c r="I107" s="1">
        <v>1</v>
      </c>
    </row>
    <row r="108" spans="1:9" x14ac:dyDescent="0.25">
      <c r="A108" s="13">
        <v>45779</v>
      </c>
      <c r="B108" s="13" t="s">
        <v>502</v>
      </c>
      <c r="C108" s="1" t="s">
        <v>493</v>
      </c>
      <c r="D108" s="1" t="s">
        <v>470</v>
      </c>
      <c r="E108" s="1">
        <v>4</v>
      </c>
      <c r="F108" s="1">
        <v>750</v>
      </c>
      <c r="G108" s="1">
        <v>3.5999999999999997E-2</v>
      </c>
      <c r="H108" s="1">
        <v>10</v>
      </c>
      <c r="I108" s="1">
        <v>1</v>
      </c>
    </row>
    <row r="109" spans="1:9" x14ac:dyDescent="0.25">
      <c r="A109" s="13">
        <v>45779</v>
      </c>
      <c r="B109" s="13" t="s">
        <v>502</v>
      </c>
      <c r="C109" s="1" t="s">
        <v>504</v>
      </c>
      <c r="D109" s="1" t="s">
        <v>470</v>
      </c>
      <c r="E109" s="1">
        <v>1</v>
      </c>
      <c r="F109" s="1">
        <v>430</v>
      </c>
      <c r="G109" s="1">
        <v>5.8999999999999997E-2</v>
      </c>
      <c r="H109" s="1">
        <v>10</v>
      </c>
      <c r="I109" s="1">
        <v>1</v>
      </c>
    </row>
    <row r="110" spans="1:9" x14ac:dyDescent="0.25">
      <c r="A110" s="13">
        <v>45779</v>
      </c>
      <c r="B110" s="13" t="s">
        <v>502</v>
      </c>
      <c r="C110" s="1" t="s">
        <v>504</v>
      </c>
      <c r="D110" s="1" t="s">
        <v>470</v>
      </c>
      <c r="E110" s="1">
        <v>1</v>
      </c>
      <c r="F110" s="1">
        <v>630</v>
      </c>
      <c r="G110" s="1">
        <v>3.5000000000000003E-2</v>
      </c>
      <c r="H110" s="1">
        <v>10</v>
      </c>
      <c r="I110" s="1">
        <v>1</v>
      </c>
    </row>
    <row r="111" spans="1:9" x14ac:dyDescent="0.25">
      <c r="A111" s="13">
        <v>45779</v>
      </c>
      <c r="B111" s="13" t="s">
        <v>502</v>
      </c>
      <c r="C111" s="1" t="s">
        <v>504</v>
      </c>
      <c r="D111" s="1" t="s">
        <v>470</v>
      </c>
      <c r="E111" s="1">
        <v>1</v>
      </c>
      <c r="F111" s="1">
        <v>645</v>
      </c>
      <c r="G111" s="1">
        <v>3.5999999999999997E-2</v>
      </c>
      <c r="H111" s="1">
        <v>10</v>
      </c>
      <c r="I111" s="1">
        <v>1</v>
      </c>
    </row>
    <row r="112" spans="1:9" x14ac:dyDescent="0.25">
      <c r="A112" s="13">
        <v>45779</v>
      </c>
      <c r="B112" s="13" t="s">
        <v>502</v>
      </c>
      <c r="C112" s="1" t="s">
        <v>504</v>
      </c>
      <c r="D112" s="1" t="s">
        <v>470</v>
      </c>
      <c r="E112" s="1">
        <v>1</v>
      </c>
      <c r="F112" s="1">
        <v>665</v>
      </c>
      <c r="G112" s="1">
        <v>4.2000000000000003E-2</v>
      </c>
      <c r="H112" s="1">
        <v>10</v>
      </c>
      <c r="I112" s="1">
        <v>1</v>
      </c>
    </row>
    <row r="113" spans="1:9" x14ac:dyDescent="0.25">
      <c r="A113" s="13">
        <v>45779</v>
      </c>
      <c r="B113" s="13" t="s">
        <v>502</v>
      </c>
      <c r="C113" s="1" t="s">
        <v>504</v>
      </c>
      <c r="D113" s="1" t="s">
        <v>470</v>
      </c>
      <c r="E113" s="1">
        <v>1</v>
      </c>
      <c r="F113" s="1">
        <v>750</v>
      </c>
      <c r="G113" s="1">
        <v>3.4000000000000002E-2</v>
      </c>
      <c r="H113" s="1">
        <v>10</v>
      </c>
      <c r="I113" s="1">
        <v>1</v>
      </c>
    </row>
    <row r="114" spans="1:9" x14ac:dyDescent="0.25">
      <c r="A114" s="13">
        <v>45779</v>
      </c>
      <c r="B114" s="13" t="s">
        <v>502</v>
      </c>
      <c r="C114" s="1" t="s">
        <v>504</v>
      </c>
      <c r="D114" s="1" t="s">
        <v>470</v>
      </c>
      <c r="E114" s="1">
        <v>2</v>
      </c>
      <c r="F114" s="1">
        <v>430</v>
      </c>
      <c r="G114" s="1">
        <v>4.5999999999999999E-2</v>
      </c>
      <c r="H114" s="1">
        <v>10</v>
      </c>
      <c r="I114" s="1">
        <v>1</v>
      </c>
    </row>
    <row r="115" spans="1:9" x14ac:dyDescent="0.25">
      <c r="A115" s="13">
        <v>45779</v>
      </c>
      <c r="B115" s="13" t="s">
        <v>502</v>
      </c>
      <c r="C115" s="1" t="s">
        <v>504</v>
      </c>
      <c r="D115" s="1" t="s">
        <v>470</v>
      </c>
      <c r="E115" s="1">
        <v>2</v>
      </c>
      <c r="F115" s="1">
        <v>630</v>
      </c>
      <c r="G115" s="1">
        <v>3.3000000000000002E-2</v>
      </c>
      <c r="H115" s="1">
        <v>10</v>
      </c>
      <c r="I115" s="1">
        <v>1</v>
      </c>
    </row>
    <row r="116" spans="1:9" x14ac:dyDescent="0.25">
      <c r="A116" s="13">
        <v>45779</v>
      </c>
      <c r="B116" s="13" t="s">
        <v>502</v>
      </c>
      <c r="C116" s="1" t="s">
        <v>504</v>
      </c>
      <c r="D116" s="1" t="s">
        <v>470</v>
      </c>
      <c r="E116" s="1">
        <v>2</v>
      </c>
      <c r="F116" s="1">
        <v>645</v>
      </c>
      <c r="G116" s="1">
        <v>3.4000000000000002E-2</v>
      </c>
      <c r="H116" s="1">
        <v>10</v>
      </c>
      <c r="I116" s="1">
        <v>1</v>
      </c>
    </row>
    <row r="117" spans="1:9" x14ac:dyDescent="0.25">
      <c r="A117" s="13">
        <v>45779</v>
      </c>
      <c r="B117" s="13" t="s">
        <v>502</v>
      </c>
      <c r="C117" s="1" t="s">
        <v>504</v>
      </c>
      <c r="D117" s="1" t="s">
        <v>470</v>
      </c>
      <c r="E117" s="1">
        <v>2</v>
      </c>
      <c r="F117" s="1">
        <v>665</v>
      </c>
      <c r="G117" s="1">
        <v>3.5999999999999997E-2</v>
      </c>
      <c r="H117" s="1">
        <v>10</v>
      </c>
      <c r="I117" s="1">
        <v>1</v>
      </c>
    </row>
    <row r="118" spans="1:9" x14ac:dyDescent="0.25">
      <c r="A118" s="13">
        <v>45779</v>
      </c>
      <c r="B118" s="13" t="s">
        <v>502</v>
      </c>
      <c r="C118" s="1" t="s">
        <v>504</v>
      </c>
      <c r="D118" s="1" t="s">
        <v>470</v>
      </c>
      <c r="E118" s="1">
        <v>2</v>
      </c>
      <c r="F118" s="1">
        <v>750</v>
      </c>
      <c r="G118" s="1">
        <v>3.4000000000000002E-2</v>
      </c>
      <c r="H118" s="1">
        <v>10</v>
      </c>
      <c r="I118" s="1">
        <v>1</v>
      </c>
    </row>
    <row r="119" spans="1:9" x14ac:dyDescent="0.25">
      <c r="A119" s="13">
        <v>45779</v>
      </c>
      <c r="B119" s="13" t="s">
        <v>502</v>
      </c>
      <c r="C119" s="1" t="s">
        <v>504</v>
      </c>
      <c r="D119" s="1" t="s">
        <v>470</v>
      </c>
      <c r="E119" s="1">
        <v>3</v>
      </c>
      <c r="F119" s="1">
        <v>430</v>
      </c>
      <c r="G119" s="1">
        <v>5.7000000000000002E-2</v>
      </c>
      <c r="H119" s="1">
        <v>10</v>
      </c>
      <c r="I119" s="1">
        <v>1</v>
      </c>
    </row>
    <row r="120" spans="1:9" x14ac:dyDescent="0.25">
      <c r="A120" s="13">
        <v>45779</v>
      </c>
      <c r="B120" s="13" t="s">
        <v>502</v>
      </c>
      <c r="C120" s="1" t="s">
        <v>504</v>
      </c>
      <c r="D120" s="1" t="s">
        <v>470</v>
      </c>
      <c r="E120" s="1">
        <v>3</v>
      </c>
      <c r="F120" s="1">
        <v>630</v>
      </c>
      <c r="G120" s="1">
        <v>3.6999999999999998E-2</v>
      </c>
      <c r="H120" s="1">
        <v>10</v>
      </c>
      <c r="I120" s="1">
        <v>1</v>
      </c>
    </row>
    <row r="121" spans="1:9" x14ac:dyDescent="0.25">
      <c r="A121" s="13">
        <v>45779</v>
      </c>
      <c r="B121" s="13" t="s">
        <v>502</v>
      </c>
      <c r="C121" s="1" t="s">
        <v>504</v>
      </c>
      <c r="D121" s="1" t="s">
        <v>470</v>
      </c>
      <c r="E121" s="1">
        <v>3</v>
      </c>
      <c r="F121" s="1">
        <v>645</v>
      </c>
      <c r="G121" s="1">
        <v>3.7999999999999999E-2</v>
      </c>
      <c r="H121" s="1">
        <v>10</v>
      </c>
      <c r="I121" s="1">
        <v>1</v>
      </c>
    </row>
    <row r="122" spans="1:9" x14ac:dyDescent="0.25">
      <c r="A122" s="13">
        <v>45779</v>
      </c>
      <c r="B122" s="13" t="s">
        <v>502</v>
      </c>
      <c r="C122" s="1" t="s">
        <v>504</v>
      </c>
      <c r="D122" s="1" t="s">
        <v>470</v>
      </c>
      <c r="E122" s="1">
        <v>3</v>
      </c>
      <c r="F122" s="1">
        <v>665</v>
      </c>
      <c r="G122" s="1">
        <v>4.2000000000000003E-2</v>
      </c>
      <c r="H122" s="1">
        <v>10</v>
      </c>
      <c r="I122" s="1">
        <v>1</v>
      </c>
    </row>
    <row r="123" spans="1:9" x14ac:dyDescent="0.25">
      <c r="A123" s="13">
        <v>45779</v>
      </c>
      <c r="B123" s="13" t="s">
        <v>502</v>
      </c>
      <c r="C123" s="1" t="s">
        <v>504</v>
      </c>
      <c r="D123" s="1" t="s">
        <v>470</v>
      </c>
      <c r="E123" s="1">
        <v>3</v>
      </c>
      <c r="F123" s="1">
        <v>750</v>
      </c>
      <c r="G123" s="1">
        <v>3.6999999999999998E-2</v>
      </c>
      <c r="H123" s="1">
        <v>10</v>
      </c>
      <c r="I123" s="1">
        <v>1</v>
      </c>
    </row>
    <row r="124" spans="1:9" x14ac:dyDescent="0.25">
      <c r="A124" s="13">
        <v>45779</v>
      </c>
      <c r="B124" s="13" t="s">
        <v>502</v>
      </c>
      <c r="C124" s="1" t="s">
        <v>504</v>
      </c>
      <c r="D124" s="1" t="s">
        <v>470</v>
      </c>
      <c r="E124" s="1">
        <v>4</v>
      </c>
      <c r="F124" s="1">
        <v>430</v>
      </c>
      <c r="G124" s="1">
        <v>4.9000000000000002E-2</v>
      </c>
      <c r="H124" s="1">
        <v>10</v>
      </c>
      <c r="I124" s="1">
        <v>1</v>
      </c>
    </row>
    <row r="125" spans="1:9" x14ac:dyDescent="0.25">
      <c r="A125" s="13">
        <v>45779</v>
      </c>
      <c r="B125" s="13" t="s">
        <v>502</v>
      </c>
      <c r="C125" s="1" t="s">
        <v>504</v>
      </c>
      <c r="D125" s="1" t="s">
        <v>470</v>
      </c>
      <c r="E125" s="1">
        <v>4</v>
      </c>
      <c r="F125" s="1">
        <v>630</v>
      </c>
      <c r="G125" s="1">
        <v>3.5000000000000003E-2</v>
      </c>
      <c r="H125" s="1">
        <v>10</v>
      </c>
      <c r="I125" s="1">
        <v>1</v>
      </c>
    </row>
    <row r="126" spans="1:9" x14ac:dyDescent="0.25">
      <c r="A126" s="13">
        <v>45779</v>
      </c>
      <c r="B126" s="13" t="s">
        <v>502</v>
      </c>
      <c r="C126" s="1" t="s">
        <v>504</v>
      </c>
      <c r="D126" s="1" t="s">
        <v>470</v>
      </c>
      <c r="E126" s="1">
        <v>4</v>
      </c>
      <c r="F126" s="1">
        <v>645</v>
      </c>
      <c r="G126" s="1">
        <v>3.5999999999999997E-2</v>
      </c>
      <c r="H126" s="1">
        <v>10</v>
      </c>
      <c r="I126" s="1">
        <v>1</v>
      </c>
    </row>
    <row r="127" spans="1:9" x14ac:dyDescent="0.25">
      <c r="A127" s="13">
        <v>45779</v>
      </c>
      <c r="B127" s="13" t="s">
        <v>502</v>
      </c>
      <c r="C127" s="1" t="s">
        <v>504</v>
      </c>
      <c r="D127" s="1" t="s">
        <v>470</v>
      </c>
      <c r="E127" s="1">
        <v>4</v>
      </c>
      <c r="F127" s="1">
        <v>665</v>
      </c>
      <c r="G127" s="1">
        <v>3.7999999999999999E-2</v>
      </c>
      <c r="H127" s="1">
        <v>10</v>
      </c>
      <c r="I127" s="1">
        <v>1</v>
      </c>
    </row>
    <row r="128" spans="1:9" x14ac:dyDescent="0.25">
      <c r="A128" s="13">
        <v>45779</v>
      </c>
      <c r="B128" s="13" t="s">
        <v>502</v>
      </c>
      <c r="C128" s="1" t="s">
        <v>504</v>
      </c>
      <c r="D128" s="1" t="s">
        <v>470</v>
      </c>
      <c r="E128" s="1">
        <v>4</v>
      </c>
      <c r="F128" s="1">
        <v>750</v>
      </c>
      <c r="G128" s="1">
        <v>3.5000000000000003E-2</v>
      </c>
      <c r="H128" s="1">
        <v>10</v>
      </c>
      <c r="I128" s="1">
        <v>1</v>
      </c>
    </row>
    <row r="129" spans="1:9" x14ac:dyDescent="0.25">
      <c r="A129" s="13">
        <v>45779</v>
      </c>
      <c r="B129" s="13" t="s">
        <v>502</v>
      </c>
      <c r="C129" s="1" t="s">
        <v>504</v>
      </c>
      <c r="D129" s="1" t="s">
        <v>159</v>
      </c>
      <c r="E129" s="1">
        <v>1</v>
      </c>
      <c r="F129" s="1">
        <v>430</v>
      </c>
      <c r="G129" s="1">
        <v>5.0999999999999997E-2</v>
      </c>
      <c r="H129" s="1">
        <v>10</v>
      </c>
      <c r="I129" s="1">
        <v>1</v>
      </c>
    </row>
    <row r="130" spans="1:9" x14ac:dyDescent="0.25">
      <c r="A130" s="13">
        <v>45779</v>
      </c>
      <c r="B130" s="13" t="s">
        <v>502</v>
      </c>
      <c r="C130" s="1" t="s">
        <v>504</v>
      </c>
      <c r="D130" s="1" t="s">
        <v>159</v>
      </c>
      <c r="E130" s="1">
        <v>1</v>
      </c>
      <c r="F130" s="1">
        <v>630</v>
      </c>
      <c r="G130" s="1">
        <v>3.6999999999999998E-2</v>
      </c>
      <c r="H130" s="1">
        <v>10</v>
      </c>
      <c r="I130" s="1">
        <v>1</v>
      </c>
    </row>
    <row r="131" spans="1:9" x14ac:dyDescent="0.25">
      <c r="A131" s="13">
        <v>45779</v>
      </c>
      <c r="B131" s="13" t="s">
        <v>502</v>
      </c>
      <c r="C131" s="1" t="s">
        <v>504</v>
      </c>
      <c r="D131" s="1" t="s">
        <v>159</v>
      </c>
      <c r="E131" s="1">
        <v>1</v>
      </c>
      <c r="F131" s="1">
        <v>645</v>
      </c>
      <c r="G131" s="1">
        <v>3.6999999999999998E-2</v>
      </c>
      <c r="H131" s="1">
        <v>10</v>
      </c>
      <c r="I131" s="1">
        <v>1</v>
      </c>
    </row>
    <row r="132" spans="1:9" x14ac:dyDescent="0.25">
      <c r="A132" s="13">
        <v>45779</v>
      </c>
      <c r="B132" s="13" t="s">
        <v>502</v>
      </c>
      <c r="C132" s="1" t="s">
        <v>504</v>
      </c>
      <c r="D132" s="1" t="s">
        <v>159</v>
      </c>
      <c r="E132" s="1">
        <v>1</v>
      </c>
      <c r="F132" s="1">
        <v>665</v>
      </c>
      <c r="G132" s="1">
        <v>3.7999999999999999E-2</v>
      </c>
      <c r="H132" s="1">
        <v>10</v>
      </c>
      <c r="I132" s="1">
        <v>1</v>
      </c>
    </row>
    <row r="133" spans="1:9" x14ac:dyDescent="0.25">
      <c r="A133" s="13">
        <v>45779</v>
      </c>
      <c r="B133" s="13" t="s">
        <v>502</v>
      </c>
      <c r="C133" s="1" t="s">
        <v>504</v>
      </c>
      <c r="D133" s="1" t="s">
        <v>159</v>
      </c>
      <c r="E133" s="1">
        <v>1</v>
      </c>
      <c r="F133" s="1">
        <v>750</v>
      </c>
      <c r="G133" s="1">
        <v>3.6999999999999998E-2</v>
      </c>
      <c r="H133" s="1">
        <v>10</v>
      </c>
      <c r="I133" s="1">
        <v>1</v>
      </c>
    </row>
    <row r="134" spans="1:9" x14ac:dyDescent="0.25">
      <c r="A134" s="13">
        <v>45779</v>
      </c>
      <c r="B134" s="13" t="s">
        <v>502</v>
      </c>
      <c r="C134" s="1" t="s">
        <v>504</v>
      </c>
      <c r="D134" s="1" t="s">
        <v>159</v>
      </c>
      <c r="E134" s="1">
        <v>2</v>
      </c>
      <c r="F134" s="1">
        <v>430</v>
      </c>
      <c r="G134" s="1">
        <v>7.2999999999999995E-2</v>
      </c>
      <c r="H134" s="1">
        <v>10</v>
      </c>
      <c r="I134" s="1">
        <v>1</v>
      </c>
    </row>
    <row r="135" spans="1:9" x14ac:dyDescent="0.25">
      <c r="A135" s="13">
        <v>45779</v>
      </c>
      <c r="B135" s="13" t="s">
        <v>502</v>
      </c>
      <c r="C135" s="1" t="s">
        <v>504</v>
      </c>
      <c r="D135" s="1" t="s">
        <v>159</v>
      </c>
      <c r="E135" s="1">
        <v>2</v>
      </c>
      <c r="F135" s="1">
        <v>630</v>
      </c>
      <c r="G135" s="1">
        <v>3.7999999999999999E-2</v>
      </c>
      <c r="H135" s="1">
        <v>10</v>
      </c>
      <c r="I135" s="1">
        <v>1</v>
      </c>
    </row>
    <row r="136" spans="1:9" x14ac:dyDescent="0.25">
      <c r="A136" s="13">
        <v>45779</v>
      </c>
      <c r="B136" s="13" t="s">
        <v>502</v>
      </c>
      <c r="C136" s="1" t="s">
        <v>504</v>
      </c>
      <c r="D136" s="1" t="s">
        <v>159</v>
      </c>
      <c r="E136" s="1">
        <v>2</v>
      </c>
      <c r="F136" s="1">
        <v>645</v>
      </c>
      <c r="G136" s="1">
        <v>0.04</v>
      </c>
      <c r="H136" s="1">
        <v>10</v>
      </c>
      <c r="I136" s="1">
        <v>1</v>
      </c>
    </row>
    <row r="137" spans="1:9" x14ac:dyDescent="0.25">
      <c r="A137" s="13">
        <v>45779</v>
      </c>
      <c r="B137" s="13" t="s">
        <v>502</v>
      </c>
      <c r="C137" s="1" t="s">
        <v>504</v>
      </c>
      <c r="D137" s="1" t="s">
        <v>159</v>
      </c>
      <c r="E137" s="1">
        <v>2</v>
      </c>
      <c r="F137" s="1">
        <v>665</v>
      </c>
      <c r="G137" s="1">
        <v>4.9000000000000002E-2</v>
      </c>
      <c r="H137" s="1">
        <v>10</v>
      </c>
      <c r="I137" s="1">
        <v>1</v>
      </c>
    </row>
    <row r="138" spans="1:9" x14ac:dyDescent="0.25">
      <c r="A138" s="13">
        <v>45779</v>
      </c>
      <c r="B138" s="13" t="s">
        <v>502</v>
      </c>
      <c r="C138" s="1" t="s">
        <v>504</v>
      </c>
      <c r="D138" s="1" t="s">
        <v>159</v>
      </c>
      <c r="E138" s="1">
        <v>2</v>
      </c>
      <c r="F138" s="1">
        <v>750</v>
      </c>
      <c r="G138" s="1">
        <v>3.5000000000000003E-2</v>
      </c>
      <c r="H138" s="1">
        <v>10</v>
      </c>
      <c r="I138" s="1">
        <v>1</v>
      </c>
    </row>
    <row r="139" spans="1:9" x14ac:dyDescent="0.25">
      <c r="A139" s="13">
        <v>45779</v>
      </c>
      <c r="B139" s="13" t="s">
        <v>502</v>
      </c>
      <c r="C139" s="1" t="s">
        <v>504</v>
      </c>
      <c r="D139" s="1" t="s">
        <v>159</v>
      </c>
      <c r="E139" s="1">
        <v>3</v>
      </c>
      <c r="F139" s="1">
        <v>430</v>
      </c>
      <c r="G139" s="1">
        <v>0.05</v>
      </c>
      <c r="H139" s="1">
        <v>10</v>
      </c>
      <c r="I139" s="1">
        <v>1</v>
      </c>
    </row>
    <row r="140" spans="1:9" x14ac:dyDescent="0.25">
      <c r="A140" s="13">
        <v>45779</v>
      </c>
      <c r="B140" s="13" t="s">
        <v>502</v>
      </c>
      <c r="C140" s="1" t="s">
        <v>504</v>
      </c>
      <c r="D140" s="1" t="s">
        <v>159</v>
      </c>
      <c r="E140" s="1">
        <v>3</v>
      </c>
      <c r="F140" s="1">
        <v>630</v>
      </c>
      <c r="G140" s="1">
        <v>3.5999999999999997E-2</v>
      </c>
      <c r="H140" s="1">
        <v>10</v>
      </c>
      <c r="I140" s="1">
        <v>1</v>
      </c>
    </row>
    <row r="141" spans="1:9" x14ac:dyDescent="0.25">
      <c r="A141" s="13">
        <v>45779</v>
      </c>
      <c r="B141" s="13" t="s">
        <v>502</v>
      </c>
      <c r="C141" s="1" t="s">
        <v>504</v>
      </c>
      <c r="D141" s="1" t="s">
        <v>159</v>
      </c>
      <c r="E141" s="1">
        <v>3</v>
      </c>
      <c r="F141" s="1">
        <v>645</v>
      </c>
      <c r="G141" s="1">
        <v>3.5999999999999997E-2</v>
      </c>
      <c r="H141" s="1">
        <v>10</v>
      </c>
      <c r="I141" s="1">
        <v>1</v>
      </c>
    </row>
    <row r="142" spans="1:9" x14ac:dyDescent="0.25">
      <c r="A142" s="13">
        <v>45779</v>
      </c>
      <c r="B142" s="13" t="s">
        <v>502</v>
      </c>
      <c r="C142" s="1" t="s">
        <v>504</v>
      </c>
      <c r="D142" s="1" t="s">
        <v>159</v>
      </c>
      <c r="E142" s="1">
        <v>3</v>
      </c>
      <c r="F142" s="1">
        <v>665</v>
      </c>
      <c r="G142" s="1">
        <v>3.7999999999999999E-2</v>
      </c>
      <c r="H142" s="1">
        <v>10</v>
      </c>
      <c r="I142" s="1">
        <v>1</v>
      </c>
    </row>
    <row r="143" spans="1:9" x14ac:dyDescent="0.25">
      <c r="A143" s="13">
        <v>45779</v>
      </c>
      <c r="B143" s="13" t="s">
        <v>502</v>
      </c>
      <c r="C143" s="1" t="s">
        <v>504</v>
      </c>
      <c r="D143" s="1" t="s">
        <v>159</v>
      </c>
      <c r="E143" s="1">
        <v>3</v>
      </c>
      <c r="F143" s="1">
        <v>750</v>
      </c>
      <c r="G143" s="1">
        <v>3.5999999999999997E-2</v>
      </c>
      <c r="H143" s="1">
        <v>10</v>
      </c>
      <c r="I143" s="1">
        <v>1</v>
      </c>
    </row>
    <row r="144" spans="1:9" x14ac:dyDescent="0.25">
      <c r="A144" s="13">
        <v>45779</v>
      </c>
      <c r="B144" s="13" t="s">
        <v>502</v>
      </c>
      <c r="C144" s="1" t="s">
        <v>504</v>
      </c>
      <c r="D144" s="1" t="s">
        <v>159</v>
      </c>
      <c r="E144" s="1">
        <v>4</v>
      </c>
      <c r="F144" s="1">
        <v>430</v>
      </c>
      <c r="G144" s="1">
        <v>4.9000000000000002E-2</v>
      </c>
      <c r="H144" s="1">
        <v>10</v>
      </c>
      <c r="I144" s="1">
        <v>1</v>
      </c>
    </row>
    <row r="145" spans="1:9" x14ac:dyDescent="0.25">
      <c r="A145" s="13">
        <v>45779</v>
      </c>
      <c r="B145" s="13" t="s">
        <v>502</v>
      </c>
      <c r="C145" s="1" t="s">
        <v>504</v>
      </c>
      <c r="D145" s="1" t="s">
        <v>159</v>
      </c>
      <c r="E145" s="1">
        <v>4</v>
      </c>
      <c r="F145" s="1">
        <v>630</v>
      </c>
      <c r="G145" s="1">
        <v>3.4000000000000002E-2</v>
      </c>
      <c r="H145" s="1">
        <v>10</v>
      </c>
      <c r="I145" s="1">
        <v>1</v>
      </c>
    </row>
    <row r="146" spans="1:9" x14ac:dyDescent="0.25">
      <c r="A146" s="13">
        <v>45779</v>
      </c>
      <c r="B146" s="13" t="s">
        <v>502</v>
      </c>
      <c r="C146" s="1" t="s">
        <v>504</v>
      </c>
      <c r="D146" s="1" t="s">
        <v>159</v>
      </c>
      <c r="E146" s="1">
        <v>4</v>
      </c>
      <c r="F146" s="1">
        <v>645</v>
      </c>
      <c r="G146" s="1">
        <v>3.4000000000000002E-2</v>
      </c>
      <c r="H146" s="1">
        <v>10</v>
      </c>
      <c r="I146" s="1">
        <v>1</v>
      </c>
    </row>
    <row r="147" spans="1:9" x14ac:dyDescent="0.25">
      <c r="A147" s="13">
        <v>45779</v>
      </c>
      <c r="B147" s="13" t="s">
        <v>502</v>
      </c>
      <c r="C147" s="1" t="s">
        <v>504</v>
      </c>
      <c r="D147" s="1" t="s">
        <v>159</v>
      </c>
      <c r="E147" s="1">
        <v>4</v>
      </c>
      <c r="F147" s="1">
        <v>665</v>
      </c>
      <c r="G147" s="1">
        <v>3.5999999999999997E-2</v>
      </c>
      <c r="H147" s="1">
        <v>10</v>
      </c>
      <c r="I147" s="1">
        <v>1</v>
      </c>
    </row>
    <row r="148" spans="1:9" x14ac:dyDescent="0.25">
      <c r="A148" s="13">
        <v>45779</v>
      </c>
      <c r="B148" s="13" t="s">
        <v>502</v>
      </c>
      <c r="C148" s="1" t="s">
        <v>504</v>
      </c>
      <c r="D148" s="1" t="s">
        <v>159</v>
      </c>
      <c r="E148" s="1">
        <v>4</v>
      </c>
      <c r="F148" s="1">
        <v>750</v>
      </c>
      <c r="G148" s="1">
        <v>3.4000000000000002E-2</v>
      </c>
      <c r="H148" s="1">
        <v>10</v>
      </c>
      <c r="I148" s="1">
        <v>1</v>
      </c>
    </row>
    <row r="149" spans="1:9" x14ac:dyDescent="0.25">
      <c r="A149" s="13">
        <v>45779</v>
      </c>
      <c r="B149" s="13" t="s">
        <v>502</v>
      </c>
      <c r="C149" s="1" t="s">
        <v>504</v>
      </c>
      <c r="D149" s="1" t="s">
        <v>107</v>
      </c>
      <c r="E149" s="1">
        <v>1</v>
      </c>
      <c r="F149" s="1">
        <v>430</v>
      </c>
      <c r="G149" s="1">
        <v>5.3999999999999999E-2</v>
      </c>
      <c r="H149" s="1">
        <v>10</v>
      </c>
      <c r="I149" s="1">
        <v>1</v>
      </c>
    </row>
    <row r="150" spans="1:9" x14ac:dyDescent="0.25">
      <c r="A150" s="13">
        <v>45779</v>
      </c>
      <c r="B150" s="13" t="s">
        <v>502</v>
      </c>
      <c r="C150" s="1" t="s">
        <v>504</v>
      </c>
      <c r="D150" s="1" t="s">
        <v>107</v>
      </c>
      <c r="E150" s="1">
        <v>1</v>
      </c>
      <c r="F150" s="1">
        <v>630</v>
      </c>
      <c r="G150" s="1">
        <v>3.7999999999999999E-2</v>
      </c>
      <c r="H150" s="1">
        <v>10</v>
      </c>
      <c r="I150" s="1">
        <v>1</v>
      </c>
    </row>
    <row r="151" spans="1:9" x14ac:dyDescent="0.25">
      <c r="A151" s="13">
        <v>45779</v>
      </c>
      <c r="B151" s="13" t="s">
        <v>502</v>
      </c>
      <c r="C151" s="1" t="s">
        <v>504</v>
      </c>
      <c r="D151" s="1" t="s">
        <v>107</v>
      </c>
      <c r="E151" s="1">
        <v>1</v>
      </c>
      <c r="F151" s="1">
        <v>645</v>
      </c>
      <c r="G151" s="1">
        <v>3.7999999999999999E-2</v>
      </c>
      <c r="H151" s="1">
        <v>10</v>
      </c>
      <c r="I151" s="1">
        <v>1</v>
      </c>
    </row>
    <row r="152" spans="1:9" x14ac:dyDescent="0.25">
      <c r="A152" s="13">
        <v>45779</v>
      </c>
      <c r="B152" s="13" t="s">
        <v>502</v>
      </c>
      <c r="C152" s="1" t="s">
        <v>504</v>
      </c>
      <c r="D152" s="1" t="s">
        <v>107</v>
      </c>
      <c r="E152" s="1">
        <v>1</v>
      </c>
      <c r="F152" s="1">
        <v>665</v>
      </c>
      <c r="G152" s="1">
        <v>3.9E-2</v>
      </c>
      <c r="H152" s="1">
        <v>10</v>
      </c>
      <c r="I152" s="1">
        <v>1</v>
      </c>
    </row>
    <row r="153" spans="1:9" x14ac:dyDescent="0.25">
      <c r="A153" s="13">
        <v>45779</v>
      </c>
      <c r="B153" s="13" t="s">
        <v>502</v>
      </c>
      <c r="C153" s="1" t="s">
        <v>504</v>
      </c>
      <c r="D153" s="1" t="s">
        <v>107</v>
      </c>
      <c r="E153" s="1">
        <v>1</v>
      </c>
      <c r="F153" s="1">
        <v>750</v>
      </c>
      <c r="G153" s="1">
        <v>3.7999999999999999E-2</v>
      </c>
      <c r="H153" s="1">
        <v>10</v>
      </c>
      <c r="I153" s="1">
        <v>1</v>
      </c>
    </row>
    <row r="154" spans="1:9" x14ac:dyDescent="0.25">
      <c r="A154" s="13">
        <v>45779</v>
      </c>
      <c r="B154" s="13" t="s">
        <v>502</v>
      </c>
      <c r="C154" s="1" t="s">
        <v>504</v>
      </c>
      <c r="D154" s="1" t="s">
        <v>107</v>
      </c>
      <c r="E154" s="1">
        <v>2</v>
      </c>
      <c r="F154" s="1">
        <v>430</v>
      </c>
      <c r="G154" s="1">
        <v>7.0999999999999994E-2</v>
      </c>
      <c r="H154" s="1">
        <v>10</v>
      </c>
      <c r="I154" s="1">
        <v>1</v>
      </c>
    </row>
    <row r="155" spans="1:9" x14ac:dyDescent="0.25">
      <c r="A155" s="13">
        <v>45779</v>
      </c>
      <c r="B155" s="13" t="s">
        <v>502</v>
      </c>
      <c r="C155" s="1" t="s">
        <v>504</v>
      </c>
      <c r="D155" s="1" t="s">
        <v>107</v>
      </c>
      <c r="E155" s="1">
        <v>2</v>
      </c>
      <c r="F155" s="1">
        <v>630</v>
      </c>
      <c r="G155" s="1">
        <v>3.5999999999999997E-2</v>
      </c>
      <c r="H155" s="1">
        <v>10</v>
      </c>
      <c r="I155" s="1">
        <v>1</v>
      </c>
    </row>
    <row r="156" spans="1:9" x14ac:dyDescent="0.25">
      <c r="A156" s="13">
        <v>45779</v>
      </c>
      <c r="B156" s="13" t="s">
        <v>502</v>
      </c>
      <c r="C156" s="1" t="s">
        <v>504</v>
      </c>
      <c r="D156" s="1" t="s">
        <v>107</v>
      </c>
      <c r="E156" s="1">
        <v>2</v>
      </c>
      <c r="F156" s="1">
        <v>645</v>
      </c>
      <c r="G156" s="1">
        <v>3.6999999999999998E-2</v>
      </c>
      <c r="H156" s="1">
        <v>10</v>
      </c>
      <c r="I156" s="1">
        <v>1</v>
      </c>
    </row>
    <row r="157" spans="1:9" x14ac:dyDescent="0.25">
      <c r="A157" s="13">
        <v>45779</v>
      </c>
      <c r="B157" s="13" t="s">
        <v>502</v>
      </c>
      <c r="C157" s="1" t="s">
        <v>504</v>
      </c>
      <c r="D157" s="1" t="s">
        <v>107</v>
      </c>
      <c r="E157" s="1">
        <v>2</v>
      </c>
      <c r="F157" s="1">
        <v>665</v>
      </c>
      <c r="G157" s="1">
        <v>4.2999999999999997E-2</v>
      </c>
      <c r="H157" s="1">
        <v>10</v>
      </c>
      <c r="I157" s="1">
        <v>1</v>
      </c>
    </row>
    <row r="158" spans="1:9" x14ac:dyDescent="0.25">
      <c r="A158" s="13">
        <v>45779</v>
      </c>
      <c r="B158" s="13" t="s">
        <v>502</v>
      </c>
      <c r="C158" s="1" t="s">
        <v>504</v>
      </c>
      <c r="D158" s="1" t="s">
        <v>107</v>
      </c>
      <c r="E158" s="1">
        <v>2</v>
      </c>
      <c r="F158" s="1">
        <v>750</v>
      </c>
      <c r="G158" s="1">
        <v>3.5000000000000003E-2</v>
      </c>
      <c r="H158" s="1">
        <v>10</v>
      </c>
      <c r="I158" s="1">
        <v>1</v>
      </c>
    </row>
    <row r="159" spans="1:9" x14ac:dyDescent="0.25">
      <c r="A159" s="13">
        <v>45779</v>
      </c>
      <c r="B159" s="13" t="s">
        <v>502</v>
      </c>
      <c r="C159" s="1" t="s">
        <v>504</v>
      </c>
      <c r="D159" s="1" t="s">
        <v>107</v>
      </c>
      <c r="E159" s="1">
        <v>3</v>
      </c>
      <c r="F159" s="1">
        <v>430</v>
      </c>
      <c r="G159" s="1">
        <v>5.8999999999999997E-2</v>
      </c>
      <c r="H159" s="1">
        <v>10</v>
      </c>
      <c r="I159" s="1">
        <v>1</v>
      </c>
    </row>
    <row r="160" spans="1:9" x14ac:dyDescent="0.25">
      <c r="A160" s="13">
        <v>45779</v>
      </c>
      <c r="B160" s="13" t="s">
        <v>502</v>
      </c>
      <c r="C160" s="1" t="s">
        <v>504</v>
      </c>
      <c r="D160" s="1" t="s">
        <v>107</v>
      </c>
      <c r="E160" s="1">
        <v>3</v>
      </c>
      <c r="F160" s="1">
        <v>630</v>
      </c>
      <c r="G160" s="1">
        <v>3.5999999999999997E-2</v>
      </c>
      <c r="H160" s="1">
        <v>10</v>
      </c>
      <c r="I160" s="1">
        <v>1</v>
      </c>
    </row>
    <row r="161" spans="1:9" x14ac:dyDescent="0.25">
      <c r="A161" s="13">
        <v>45779</v>
      </c>
      <c r="B161" s="13" t="s">
        <v>502</v>
      </c>
      <c r="C161" s="1" t="s">
        <v>504</v>
      </c>
      <c r="D161" s="1" t="s">
        <v>107</v>
      </c>
      <c r="E161" s="1">
        <v>3</v>
      </c>
      <c r="F161" s="1">
        <v>645</v>
      </c>
      <c r="G161" s="1">
        <v>3.5999999999999997E-2</v>
      </c>
      <c r="H161" s="1">
        <v>10</v>
      </c>
      <c r="I161" s="1">
        <v>1</v>
      </c>
    </row>
    <row r="162" spans="1:9" x14ac:dyDescent="0.25">
      <c r="A162" s="13">
        <v>45779</v>
      </c>
      <c r="B162" s="13" t="s">
        <v>502</v>
      </c>
      <c r="C162" s="1" t="s">
        <v>504</v>
      </c>
      <c r="D162" s="1" t="s">
        <v>107</v>
      </c>
      <c r="E162" s="1">
        <v>3</v>
      </c>
      <c r="F162" s="1">
        <v>665</v>
      </c>
      <c r="G162" s="1">
        <v>0.04</v>
      </c>
      <c r="H162" s="1">
        <v>10</v>
      </c>
      <c r="I162" s="1">
        <v>1</v>
      </c>
    </row>
    <row r="163" spans="1:9" x14ac:dyDescent="0.25">
      <c r="A163" s="13">
        <v>45779</v>
      </c>
      <c r="B163" s="13" t="s">
        <v>502</v>
      </c>
      <c r="C163" s="1" t="s">
        <v>504</v>
      </c>
      <c r="D163" s="1" t="s">
        <v>107</v>
      </c>
      <c r="E163" s="1">
        <v>3</v>
      </c>
      <c r="F163" s="1">
        <v>750</v>
      </c>
      <c r="G163" s="1">
        <v>3.6999999999999998E-2</v>
      </c>
      <c r="H163" s="1">
        <v>10</v>
      </c>
      <c r="I163" s="1">
        <v>1</v>
      </c>
    </row>
    <row r="164" spans="1:9" x14ac:dyDescent="0.25">
      <c r="A164" s="13">
        <v>45779</v>
      </c>
      <c r="B164" s="13" t="s">
        <v>502</v>
      </c>
      <c r="C164" s="1" t="s">
        <v>504</v>
      </c>
      <c r="D164" s="1" t="s">
        <v>107</v>
      </c>
      <c r="E164" s="1">
        <v>4</v>
      </c>
      <c r="F164" s="1">
        <v>430</v>
      </c>
      <c r="G164" s="1">
        <v>0.08</v>
      </c>
      <c r="H164" s="1">
        <v>10</v>
      </c>
      <c r="I164" s="1">
        <v>1</v>
      </c>
    </row>
    <row r="165" spans="1:9" x14ac:dyDescent="0.25">
      <c r="A165" s="13">
        <v>45779</v>
      </c>
      <c r="B165" s="13" t="s">
        <v>502</v>
      </c>
      <c r="C165" s="1" t="s">
        <v>504</v>
      </c>
      <c r="D165" s="1" t="s">
        <v>107</v>
      </c>
      <c r="E165" s="1">
        <v>4</v>
      </c>
      <c r="F165" s="1">
        <v>630</v>
      </c>
      <c r="G165" s="1">
        <v>3.6999999999999998E-2</v>
      </c>
      <c r="H165" s="1">
        <v>10</v>
      </c>
      <c r="I165" s="1">
        <v>1</v>
      </c>
    </row>
    <row r="166" spans="1:9" x14ac:dyDescent="0.25">
      <c r="A166" s="13">
        <v>45779</v>
      </c>
      <c r="B166" s="13" t="s">
        <v>502</v>
      </c>
      <c r="C166" s="1" t="s">
        <v>504</v>
      </c>
      <c r="D166" s="1" t="s">
        <v>107</v>
      </c>
      <c r="E166" s="1">
        <v>4</v>
      </c>
      <c r="F166" s="1">
        <v>645</v>
      </c>
      <c r="G166" s="1">
        <v>3.6999999999999998E-2</v>
      </c>
      <c r="H166" s="1">
        <v>10</v>
      </c>
      <c r="I166" s="1">
        <v>1</v>
      </c>
    </row>
    <row r="167" spans="1:9" x14ac:dyDescent="0.25">
      <c r="A167" s="13">
        <v>45779</v>
      </c>
      <c r="B167" s="13" t="s">
        <v>502</v>
      </c>
      <c r="C167" s="1" t="s">
        <v>504</v>
      </c>
      <c r="D167" s="1" t="s">
        <v>107</v>
      </c>
      <c r="E167" s="1">
        <v>4</v>
      </c>
      <c r="F167" s="1">
        <v>665</v>
      </c>
      <c r="G167" s="1">
        <v>4.1000000000000002E-2</v>
      </c>
      <c r="H167" s="1">
        <v>10</v>
      </c>
      <c r="I167" s="1">
        <v>1</v>
      </c>
    </row>
    <row r="168" spans="1:9" x14ac:dyDescent="0.25">
      <c r="A168" s="13">
        <v>45779</v>
      </c>
      <c r="B168" s="13" t="s">
        <v>502</v>
      </c>
      <c r="C168" s="1" t="s">
        <v>504</v>
      </c>
      <c r="D168" s="1" t="s">
        <v>107</v>
      </c>
      <c r="E168" s="1">
        <v>4</v>
      </c>
      <c r="F168" s="1">
        <v>750</v>
      </c>
      <c r="G168" s="1">
        <v>3.5999999999999997E-2</v>
      </c>
      <c r="H168" s="1">
        <v>10</v>
      </c>
      <c r="I168" s="1">
        <v>1</v>
      </c>
    </row>
    <row r="169" spans="1:9" x14ac:dyDescent="0.25">
      <c r="A169" s="13">
        <v>45779</v>
      </c>
      <c r="B169" s="13" t="s">
        <v>502</v>
      </c>
      <c r="C169" s="1" t="s">
        <v>500</v>
      </c>
      <c r="D169" s="1" t="s">
        <v>107</v>
      </c>
      <c r="E169" s="1">
        <v>1</v>
      </c>
      <c r="F169" s="1">
        <v>430</v>
      </c>
      <c r="G169" s="1">
        <v>6.3E-2</v>
      </c>
      <c r="H169" s="1">
        <v>10</v>
      </c>
      <c r="I169" s="1">
        <v>1</v>
      </c>
    </row>
    <row r="170" spans="1:9" x14ac:dyDescent="0.25">
      <c r="A170" s="13">
        <v>45779</v>
      </c>
      <c r="B170" s="13" t="s">
        <v>502</v>
      </c>
      <c r="C170" s="1" t="s">
        <v>500</v>
      </c>
      <c r="D170" s="1" t="s">
        <v>107</v>
      </c>
      <c r="E170" s="1">
        <v>1</v>
      </c>
      <c r="F170" s="1">
        <v>630</v>
      </c>
      <c r="G170" s="1">
        <v>4.1000000000000002E-2</v>
      </c>
      <c r="H170" s="1">
        <v>10</v>
      </c>
      <c r="I170" s="1">
        <v>1</v>
      </c>
    </row>
    <row r="171" spans="1:9" x14ac:dyDescent="0.25">
      <c r="A171" s="13">
        <v>45779</v>
      </c>
      <c r="B171" s="13" t="s">
        <v>502</v>
      </c>
      <c r="C171" s="1" t="s">
        <v>500</v>
      </c>
      <c r="D171" s="1" t="s">
        <v>107</v>
      </c>
      <c r="E171" s="1">
        <v>1</v>
      </c>
      <c r="F171" s="1">
        <v>645</v>
      </c>
      <c r="G171" s="1">
        <v>0.04</v>
      </c>
      <c r="H171" s="1">
        <v>10</v>
      </c>
      <c r="I171" s="1">
        <v>1</v>
      </c>
    </row>
    <row r="172" spans="1:9" x14ac:dyDescent="0.25">
      <c r="A172" s="13">
        <v>45779</v>
      </c>
      <c r="B172" s="13" t="s">
        <v>502</v>
      </c>
      <c r="C172" s="1" t="s">
        <v>500</v>
      </c>
      <c r="D172" s="1" t="s">
        <v>107</v>
      </c>
      <c r="E172" s="1">
        <v>1</v>
      </c>
      <c r="F172" s="1">
        <v>665</v>
      </c>
      <c r="G172" s="1">
        <v>4.1000000000000002E-2</v>
      </c>
      <c r="H172" s="1">
        <v>10</v>
      </c>
      <c r="I172" s="1">
        <v>1</v>
      </c>
    </row>
    <row r="173" spans="1:9" x14ac:dyDescent="0.25">
      <c r="A173" s="13">
        <v>45779</v>
      </c>
      <c r="B173" s="13" t="s">
        <v>502</v>
      </c>
      <c r="C173" s="1" t="s">
        <v>500</v>
      </c>
      <c r="D173" s="1" t="s">
        <v>107</v>
      </c>
      <c r="E173" s="1">
        <v>1</v>
      </c>
      <c r="F173" s="1">
        <v>750</v>
      </c>
      <c r="G173" s="1">
        <v>0.04</v>
      </c>
      <c r="H173" s="1">
        <v>10</v>
      </c>
      <c r="I173" s="1">
        <v>1</v>
      </c>
    </row>
    <row r="174" spans="1:9" x14ac:dyDescent="0.25">
      <c r="A174" s="13">
        <v>45779</v>
      </c>
      <c r="B174" s="13" t="s">
        <v>502</v>
      </c>
      <c r="C174" s="1" t="s">
        <v>500</v>
      </c>
      <c r="D174" s="1" t="s">
        <v>107</v>
      </c>
      <c r="E174" s="1">
        <v>2</v>
      </c>
      <c r="F174" s="1">
        <v>430</v>
      </c>
      <c r="G174" s="1">
        <v>5.2999999999999999E-2</v>
      </c>
      <c r="H174" s="1">
        <v>10</v>
      </c>
      <c r="I174" s="1">
        <v>1</v>
      </c>
    </row>
    <row r="175" spans="1:9" x14ac:dyDescent="0.25">
      <c r="A175" s="13">
        <v>45779</v>
      </c>
      <c r="B175" s="13" t="s">
        <v>502</v>
      </c>
      <c r="C175" s="1" t="s">
        <v>500</v>
      </c>
      <c r="D175" s="1" t="s">
        <v>107</v>
      </c>
      <c r="E175" s="1">
        <v>2</v>
      </c>
      <c r="F175" s="1">
        <v>630</v>
      </c>
      <c r="G175" s="1">
        <v>3.5999999999999997E-2</v>
      </c>
      <c r="H175" s="1">
        <v>10</v>
      </c>
      <c r="I175" s="1">
        <v>1</v>
      </c>
    </row>
    <row r="176" spans="1:9" x14ac:dyDescent="0.25">
      <c r="A176" s="13">
        <v>45779</v>
      </c>
      <c r="B176" s="13" t="s">
        <v>502</v>
      </c>
      <c r="C176" s="1" t="s">
        <v>500</v>
      </c>
      <c r="D176" s="1" t="s">
        <v>107</v>
      </c>
      <c r="E176" s="1">
        <v>2</v>
      </c>
      <c r="F176" s="1">
        <v>645</v>
      </c>
      <c r="G176" s="1">
        <v>3.5000000000000003E-2</v>
      </c>
      <c r="H176" s="1">
        <v>10</v>
      </c>
      <c r="I176" s="1">
        <v>1</v>
      </c>
    </row>
    <row r="177" spans="1:9" x14ac:dyDescent="0.25">
      <c r="A177" s="13">
        <v>45779</v>
      </c>
      <c r="B177" s="13" t="s">
        <v>502</v>
      </c>
      <c r="C177" s="1" t="s">
        <v>500</v>
      </c>
      <c r="D177" s="1" t="s">
        <v>107</v>
      </c>
      <c r="E177" s="1">
        <v>2</v>
      </c>
      <c r="F177" s="1">
        <v>665</v>
      </c>
      <c r="G177" s="1">
        <v>3.5999999999999997E-2</v>
      </c>
      <c r="H177" s="1">
        <v>10</v>
      </c>
      <c r="I177" s="1">
        <v>1</v>
      </c>
    </row>
    <row r="178" spans="1:9" x14ac:dyDescent="0.25">
      <c r="A178" s="13">
        <v>45779</v>
      </c>
      <c r="B178" s="13" t="s">
        <v>502</v>
      </c>
      <c r="C178" s="1" t="s">
        <v>500</v>
      </c>
      <c r="D178" s="1" t="s">
        <v>107</v>
      </c>
      <c r="E178" s="1">
        <v>2</v>
      </c>
      <c r="F178" s="1">
        <v>750</v>
      </c>
      <c r="G178" s="1">
        <v>3.5999999999999997E-2</v>
      </c>
      <c r="H178" s="1">
        <v>10</v>
      </c>
      <c r="I178" s="1">
        <v>1</v>
      </c>
    </row>
    <row r="179" spans="1:9" x14ac:dyDescent="0.25">
      <c r="A179" s="13">
        <v>45779</v>
      </c>
      <c r="B179" s="13" t="s">
        <v>502</v>
      </c>
      <c r="C179" s="1" t="s">
        <v>500</v>
      </c>
      <c r="D179" s="1" t="s">
        <v>107</v>
      </c>
      <c r="E179" s="1">
        <v>3</v>
      </c>
      <c r="F179" s="1">
        <v>430</v>
      </c>
      <c r="G179" s="1">
        <v>8.8999999999999996E-2</v>
      </c>
      <c r="H179" s="1">
        <v>10</v>
      </c>
      <c r="I179" s="1">
        <v>1</v>
      </c>
    </row>
    <row r="180" spans="1:9" x14ac:dyDescent="0.25">
      <c r="A180" s="13">
        <v>45779</v>
      </c>
      <c r="B180" s="13" t="s">
        <v>502</v>
      </c>
      <c r="C180" s="1" t="s">
        <v>500</v>
      </c>
      <c r="D180" s="1" t="s">
        <v>107</v>
      </c>
      <c r="E180" s="1">
        <v>3</v>
      </c>
      <c r="F180" s="1">
        <v>630</v>
      </c>
      <c r="G180" s="1">
        <v>5.5E-2</v>
      </c>
      <c r="H180" s="1">
        <v>10</v>
      </c>
      <c r="I180" s="1">
        <v>1</v>
      </c>
    </row>
    <row r="181" spans="1:9" x14ac:dyDescent="0.25">
      <c r="A181" s="13">
        <v>45779</v>
      </c>
      <c r="B181" s="13" t="s">
        <v>502</v>
      </c>
      <c r="C181" s="1" t="s">
        <v>500</v>
      </c>
      <c r="D181" s="1" t="s">
        <v>107</v>
      </c>
      <c r="E181" s="1">
        <v>3</v>
      </c>
      <c r="F181" s="1">
        <v>645</v>
      </c>
      <c r="G181" s="1">
        <v>5.3999999999999999E-2</v>
      </c>
      <c r="H181" s="1">
        <v>10</v>
      </c>
      <c r="I181" s="1">
        <v>1</v>
      </c>
    </row>
    <row r="182" spans="1:9" x14ac:dyDescent="0.25">
      <c r="A182" s="13">
        <v>45779</v>
      </c>
      <c r="B182" s="13" t="s">
        <v>502</v>
      </c>
      <c r="C182" s="1" t="s">
        <v>500</v>
      </c>
      <c r="D182" s="1" t="s">
        <v>107</v>
      </c>
      <c r="E182" s="1">
        <v>3</v>
      </c>
      <c r="F182" s="1">
        <v>665</v>
      </c>
      <c r="G182" s="1">
        <v>5.1999999999999998E-2</v>
      </c>
      <c r="H182" s="1">
        <v>10</v>
      </c>
      <c r="I182" s="1">
        <v>1</v>
      </c>
    </row>
    <row r="183" spans="1:9" x14ac:dyDescent="0.25">
      <c r="A183" s="13">
        <v>45779</v>
      </c>
      <c r="B183" s="13" t="s">
        <v>502</v>
      </c>
      <c r="C183" s="1" t="s">
        <v>500</v>
      </c>
      <c r="D183" s="1" t="s">
        <v>107</v>
      </c>
      <c r="E183" s="1">
        <v>3</v>
      </c>
      <c r="F183" s="1">
        <v>750</v>
      </c>
      <c r="G183" s="1">
        <v>5.5E-2</v>
      </c>
      <c r="H183" s="1">
        <v>10</v>
      </c>
      <c r="I183" s="1">
        <v>1</v>
      </c>
    </row>
    <row r="184" spans="1:9" x14ac:dyDescent="0.25">
      <c r="A184" s="13">
        <v>45779</v>
      </c>
      <c r="B184" s="13" t="s">
        <v>502</v>
      </c>
      <c r="C184" s="1" t="s">
        <v>500</v>
      </c>
      <c r="D184" s="1" t="s">
        <v>107</v>
      </c>
      <c r="E184" s="1">
        <v>4</v>
      </c>
      <c r="F184" s="1">
        <v>430</v>
      </c>
      <c r="G184" s="1">
        <v>4.9000000000000002E-2</v>
      </c>
      <c r="H184" s="1">
        <v>10</v>
      </c>
      <c r="I184" s="1">
        <v>1</v>
      </c>
    </row>
    <row r="185" spans="1:9" x14ac:dyDescent="0.25">
      <c r="A185" s="13">
        <v>45779</v>
      </c>
      <c r="B185" s="13" t="s">
        <v>502</v>
      </c>
      <c r="C185" s="1" t="s">
        <v>500</v>
      </c>
      <c r="D185" s="1" t="s">
        <v>107</v>
      </c>
      <c r="E185" s="1">
        <v>4</v>
      </c>
      <c r="F185" s="1">
        <v>630</v>
      </c>
      <c r="G185" s="1">
        <v>3.7999999999999999E-2</v>
      </c>
      <c r="H185" s="1">
        <v>10</v>
      </c>
      <c r="I185" s="1">
        <v>1</v>
      </c>
    </row>
    <row r="186" spans="1:9" x14ac:dyDescent="0.25">
      <c r="A186" s="13">
        <v>45779</v>
      </c>
      <c r="B186" s="13" t="s">
        <v>502</v>
      </c>
      <c r="C186" s="1" t="s">
        <v>500</v>
      </c>
      <c r="D186" s="1" t="s">
        <v>107</v>
      </c>
      <c r="E186" s="1">
        <v>4</v>
      </c>
      <c r="F186" s="1">
        <v>645</v>
      </c>
      <c r="G186" s="1">
        <v>3.6999999999999998E-2</v>
      </c>
      <c r="H186" s="1">
        <v>10</v>
      </c>
      <c r="I186" s="1">
        <v>1</v>
      </c>
    </row>
    <row r="187" spans="1:9" x14ac:dyDescent="0.25">
      <c r="A187" s="13">
        <v>45779</v>
      </c>
      <c r="B187" s="13" t="s">
        <v>502</v>
      </c>
      <c r="C187" s="1" t="s">
        <v>500</v>
      </c>
      <c r="D187" s="1" t="s">
        <v>107</v>
      </c>
      <c r="E187" s="1">
        <v>4</v>
      </c>
      <c r="F187" s="1">
        <v>665</v>
      </c>
      <c r="G187" s="1">
        <v>3.5999999999999997E-2</v>
      </c>
      <c r="H187" s="1">
        <v>10</v>
      </c>
      <c r="I187" s="1">
        <v>1</v>
      </c>
    </row>
    <row r="188" spans="1:9" x14ac:dyDescent="0.25">
      <c r="A188" s="13">
        <v>45779</v>
      </c>
      <c r="B188" s="13" t="s">
        <v>502</v>
      </c>
      <c r="C188" s="1" t="s">
        <v>500</v>
      </c>
      <c r="D188" s="1" t="s">
        <v>107</v>
      </c>
      <c r="E188" s="1">
        <v>4</v>
      </c>
      <c r="F188" s="1">
        <v>750</v>
      </c>
      <c r="G188" s="1">
        <v>3.7999999999999999E-2</v>
      </c>
      <c r="H188" s="1">
        <v>10</v>
      </c>
      <c r="I188" s="1">
        <v>1</v>
      </c>
    </row>
    <row r="189" spans="1:9" x14ac:dyDescent="0.25">
      <c r="A189" s="13">
        <v>45779</v>
      </c>
      <c r="B189" s="13" t="s">
        <v>502</v>
      </c>
      <c r="C189" s="1" t="s">
        <v>500</v>
      </c>
      <c r="D189" s="1" t="s">
        <v>470</v>
      </c>
      <c r="E189" s="1">
        <v>1</v>
      </c>
      <c r="F189" s="1">
        <v>430</v>
      </c>
      <c r="G189" s="1">
        <v>5.1999999999999998E-2</v>
      </c>
      <c r="H189" s="1">
        <v>10</v>
      </c>
      <c r="I189" s="1">
        <v>1</v>
      </c>
    </row>
    <row r="190" spans="1:9" x14ac:dyDescent="0.25">
      <c r="A190" s="13">
        <v>45779</v>
      </c>
      <c r="B190" s="13" t="s">
        <v>502</v>
      </c>
      <c r="C190" s="1" t="s">
        <v>500</v>
      </c>
      <c r="D190" s="1" t="s">
        <v>470</v>
      </c>
      <c r="E190" s="1">
        <v>1</v>
      </c>
      <c r="F190" s="1">
        <v>630</v>
      </c>
      <c r="G190" s="1">
        <v>0.04</v>
      </c>
      <c r="H190" s="1">
        <v>10</v>
      </c>
      <c r="I190" s="1">
        <v>1</v>
      </c>
    </row>
    <row r="191" spans="1:9" x14ac:dyDescent="0.25">
      <c r="A191" s="13">
        <v>45779</v>
      </c>
      <c r="B191" s="13" t="s">
        <v>502</v>
      </c>
      <c r="C191" s="1" t="s">
        <v>500</v>
      </c>
      <c r="D191" s="1" t="s">
        <v>470</v>
      </c>
      <c r="E191" s="1">
        <v>1</v>
      </c>
      <c r="F191" s="1">
        <v>645</v>
      </c>
      <c r="G191" s="1">
        <v>0.04</v>
      </c>
      <c r="H191" s="1">
        <v>10</v>
      </c>
      <c r="I191" s="1">
        <v>1</v>
      </c>
    </row>
    <row r="192" spans="1:9" x14ac:dyDescent="0.25">
      <c r="A192" s="13">
        <v>45779</v>
      </c>
      <c r="B192" s="13" t="s">
        <v>502</v>
      </c>
      <c r="C192" s="1" t="s">
        <v>500</v>
      </c>
      <c r="D192" s="1" t="s">
        <v>470</v>
      </c>
      <c r="E192" s="1">
        <v>1</v>
      </c>
      <c r="F192" s="1">
        <v>665</v>
      </c>
      <c r="G192" s="1">
        <v>0.04</v>
      </c>
      <c r="H192" s="1">
        <v>10</v>
      </c>
      <c r="I192" s="1">
        <v>1</v>
      </c>
    </row>
    <row r="193" spans="1:9" x14ac:dyDescent="0.25">
      <c r="A193" s="13">
        <v>45779</v>
      </c>
      <c r="B193" s="13" t="s">
        <v>502</v>
      </c>
      <c r="C193" s="1" t="s">
        <v>500</v>
      </c>
      <c r="D193" s="1" t="s">
        <v>470</v>
      </c>
      <c r="E193" s="1">
        <v>1</v>
      </c>
      <c r="F193" s="1">
        <v>750</v>
      </c>
      <c r="G193" s="1">
        <v>0.04</v>
      </c>
      <c r="H193" s="1">
        <v>10</v>
      </c>
      <c r="I193" s="1">
        <v>1</v>
      </c>
    </row>
    <row r="194" spans="1:9" x14ac:dyDescent="0.25">
      <c r="A194" s="13">
        <v>45779</v>
      </c>
      <c r="B194" s="13" t="s">
        <v>502</v>
      </c>
      <c r="C194" s="1" t="s">
        <v>500</v>
      </c>
      <c r="D194" s="1" t="s">
        <v>470</v>
      </c>
      <c r="E194" s="1">
        <v>2</v>
      </c>
      <c r="F194" s="1">
        <v>430</v>
      </c>
      <c r="G194" s="1">
        <v>4.3999999999999997E-2</v>
      </c>
      <c r="H194" s="1">
        <v>10</v>
      </c>
      <c r="I194" s="1">
        <v>1</v>
      </c>
    </row>
    <row r="195" spans="1:9" x14ac:dyDescent="0.25">
      <c r="A195" s="13">
        <v>45779</v>
      </c>
      <c r="B195" s="13" t="s">
        <v>502</v>
      </c>
      <c r="C195" s="1" t="s">
        <v>500</v>
      </c>
      <c r="D195" s="1" t="s">
        <v>470</v>
      </c>
      <c r="E195" s="1">
        <v>2</v>
      </c>
      <c r="F195" s="1">
        <v>630</v>
      </c>
      <c r="G195" s="1">
        <v>3.4000000000000002E-2</v>
      </c>
      <c r="H195" s="1">
        <v>10</v>
      </c>
      <c r="I195" s="1">
        <v>1</v>
      </c>
    </row>
    <row r="196" spans="1:9" x14ac:dyDescent="0.25">
      <c r="A196" s="13">
        <v>45779</v>
      </c>
      <c r="B196" s="13" t="s">
        <v>502</v>
      </c>
      <c r="C196" s="1" t="s">
        <v>500</v>
      </c>
      <c r="D196" s="1" t="s">
        <v>470</v>
      </c>
      <c r="E196" s="1">
        <v>2</v>
      </c>
      <c r="F196" s="1">
        <v>645</v>
      </c>
      <c r="G196" s="1">
        <v>3.4000000000000002E-2</v>
      </c>
      <c r="H196" s="1">
        <v>10</v>
      </c>
      <c r="I196" s="1">
        <v>1</v>
      </c>
    </row>
    <row r="197" spans="1:9" x14ac:dyDescent="0.25">
      <c r="A197" s="13">
        <v>45779</v>
      </c>
      <c r="B197" s="13" t="s">
        <v>502</v>
      </c>
      <c r="C197" s="1" t="s">
        <v>500</v>
      </c>
      <c r="D197" s="1" t="s">
        <v>470</v>
      </c>
      <c r="E197" s="1">
        <v>2</v>
      </c>
      <c r="F197" s="1">
        <v>665</v>
      </c>
      <c r="G197" s="1">
        <v>3.5000000000000003E-2</v>
      </c>
      <c r="H197" s="1">
        <v>10</v>
      </c>
      <c r="I197" s="1">
        <v>1</v>
      </c>
    </row>
    <row r="198" spans="1:9" x14ac:dyDescent="0.25">
      <c r="A198" s="13">
        <v>45779</v>
      </c>
      <c r="B198" s="13" t="s">
        <v>502</v>
      </c>
      <c r="C198" s="1" t="s">
        <v>500</v>
      </c>
      <c r="D198" s="1" t="s">
        <v>470</v>
      </c>
      <c r="E198" s="1">
        <v>2</v>
      </c>
      <c r="F198" s="1">
        <v>750</v>
      </c>
      <c r="G198" s="1">
        <v>3.4000000000000002E-2</v>
      </c>
      <c r="H198" s="1">
        <v>10</v>
      </c>
      <c r="I198" s="1">
        <v>1</v>
      </c>
    </row>
    <row r="199" spans="1:9" x14ac:dyDescent="0.25">
      <c r="A199" s="13">
        <v>45779</v>
      </c>
      <c r="B199" s="13" t="s">
        <v>502</v>
      </c>
      <c r="C199" s="1" t="s">
        <v>500</v>
      </c>
      <c r="D199" s="1" t="s">
        <v>470</v>
      </c>
      <c r="E199" s="1">
        <v>3</v>
      </c>
      <c r="F199" s="1">
        <v>430</v>
      </c>
      <c r="G199" s="1">
        <v>5.2999999999999999E-2</v>
      </c>
      <c r="H199" s="1">
        <v>10</v>
      </c>
      <c r="I199" s="1">
        <v>1</v>
      </c>
    </row>
    <row r="200" spans="1:9" x14ac:dyDescent="0.25">
      <c r="A200" s="13">
        <v>45779</v>
      </c>
      <c r="B200" s="13" t="s">
        <v>502</v>
      </c>
      <c r="C200" s="1" t="s">
        <v>500</v>
      </c>
      <c r="D200" s="1" t="s">
        <v>470</v>
      </c>
      <c r="E200" s="1">
        <v>3</v>
      </c>
      <c r="F200" s="1">
        <v>630</v>
      </c>
      <c r="G200" s="1">
        <v>3.9E-2</v>
      </c>
      <c r="H200" s="1">
        <v>10</v>
      </c>
      <c r="I200" s="1">
        <v>1</v>
      </c>
    </row>
    <row r="201" spans="1:9" x14ac:dyDescent="0.25">
      <c r="A201" s="13">
        <v>45779</v>
      </c>
      <c r="B201" s="13" t="s">
        <v>502</v>
      </c>
      <c r="C201" s="1" t="s">
        <v>500</v>
      </c>
      <c r="D201" s="1" t="s">
        <v>470</v>
      </c>
      <c r="E201" s="1">
        <v>3</v>
      </c>
      <c r="F201" s="1">
        <v>645</v>
      </c>
      <c r="G201" s="1">
        <v>3.9E-2</v>
      </c>
      <c r="H201" s="1">
        <v>10</v>
      </c>
      <c r="I201" s="1">
        <v>1</v>
      </c>
    </row>
    <row r="202" spans="1:9" x14ac:dyDescent="0.25">
      <c r="A202" s="13">
        <v>45779</v>
      </c>
      <c r="B202" s="13" t="s">
        <v>502</v>
      </c>
      <c r="C202" s="1" t="s">
        <v>500</v>
      </c>
      <c r="D202" s="1" t="s">
        <v>470</v>
      </c>
      <c r="E202" s="1">
        <v>3</v>
      </c>
      <c r="F202" s="1">
        <v>665</v>
      </c>
      <c r="G202" s="1">
        <v>3.9E-2</v>
      </c>
      <c r="H202" s="1">
        <v>10</v>
      </c>
      <c r="I202" s="1">
        <v>1</v>
      </c>
    </row>
    <row r="203" spans="1:9" x14ac:dyDescent="0.25">
      <c r="A203" s="13">
        <v>45779</v>
      </c>
      <c r="B203" s="13" t="s">
        <v>502</v>
      </c>
      <c r="C203" s="1" t="s">
        <v>500</v>
      </c>
      <c r="D203" s="1" t="s">
        <v>470</v>
      </c>
      <c r="E203" s="1">
        <v>3</v>
      </c>
      <c r="F203" s="1">
        <v>750</v>
      </c>
      <c r="G203" s="1">
        <v>3.7999999999999999E-2</v>
      </c>
      <c r="H203" s="1">
        <v>10</v>
      </c>
      <c r="I203" s="1">
        <v>1</v>
      </c>
    </row>
    <row r="204" spans="1:9" x14ac:dyDescent="0.25">
      <c r="A204" s="13">
        <v>45779</v>
      </c>
      <c r="B204" s="13" t="s">
        <v>502</v>
      </c>
      <c r="C204" s="1" t="s">
        <v>500</v>
      </c>
      <c r="D204" s="1" t="s">
        <v>470</v>
      </c>
      <c r="E204" s="1">
        <v>4</v>
      </c>
      <c r="F204" s="1">
        <v>430</v>
      </c>
      <c r="G204" s="1">
        <v>5.3999999999999999E-2</v>
      </c>
      <c r="H204" s="1">
        <v>10</v>
      </c>
      <c r="I204" s="1">
        <v>1</v>
      </c>
    </row>
    <row r="205" spans="1:9" x14ac:dyDescent="0.25">
      <c r="A205" s="13">
        <v>45779</v>
      </c>
      <c r="B205" s="13" t="s">
        <v>502</v>
      </c>
      <c r="C205" s="1" t="s">
        <v>500</v>
      </c>
      <c r="D205" s="1" t="s">
        <v>470</v>
      </c>
      <c r="E205" s="1">
        <v>4</v>
      </c>
      <c r="F205" s="1">
        <v>630</v>
      </c>
      <c r="G205" s="1">
        <v>0.04</v>
      </c>
      <c r="H205" s="1">
        <v>10</v>
      </c>
      <c r="I205" s="1">
        <v>1</v>
      </c>
    </row>
    <row r="206" spans="1:9" x14ac:dyDescent="0.25">
      <c r="A206" s="13">
        <v>45779</v>
      </c>
      <c r="B206" s="13" t="s">
        <v>502</v>
      </c>
      <c r="C206" s="1" t="s">
        <v>500</v>
      </c>
      <c r="D206" s="1" t="s">
        <v>470</v>
      </c>
      <c r="E206" s="1">
        <v>4</v>
      </c>
      <c r="F206" s="1">
        <v>645</v>
      </c>
      <c r="G206" s="1">
        <v>0.04</v>
      </c>
      <c r="H206" s="1">
        <v>10</v>
      </c>
      <c r="I206" s="1">
        <v>1</v>
      </c>
    </row>
    <row r="207" spans="1:9" x14ac:dyDescent="0.25">
      <c r="A207" s="13">
        <v>45779</v>
      </c>
      <c r="B207" s="13" t="s">
        <v>502</v>
      </c>
      <c r="C207" s="1" t="s">
        <v>500</v>
      </c>
      <c r="D207" s="1" t="s">
        <v>470</v>
      </c>
      <c r="E207" s="1">
        <v>4</v>
      </c>
      <c r="F207" s="1">
        <v>665</v>
      </c>
      <c r="G207" s="1">
        <v>0.04</v>
      </c>
      <c r="H207" s="1">
        <v>10</v>
      </c>
      <c r="I207" s="1">
        <v>1</v>
      </c>
    </row>
    <row r="208" spans="1:9" x14ac:dyDescent="0.25">
      <c r="A208" s="13">
        <v>45779</v>
      </c>
      <c r="B208" s="13" t="s">
        <v>502</v>
      </c>
      <c r="C208" s="1" t="s">
        <v>500</v>
      </c>
      <c r="D208" s="1" t="s">
        <v>470</v>
      </c>
      <c r="E208" s="1">
        <v>4</v>
      </c>
      <c r="F208" s="1">
        <v>750</v>
      </c>
      <c r="G208" s="1">
        <v>4.1000000000000002E-2</v>
      </c>
      <c r="H208" s="1">
        <v>10</v>
      </c>
      <c r="I208" s="1">
        <v>1</v>
      </c>
    </row>
    <row r="209" spans="1:9" x14ac:dyDescent="0.25">
      <c r="A209" s="13">
        <v>45779</v>
      </c>
      <c r="B209" s="13" t="s">
        <v>502</v>
      </c>
      <c r="C209" s="1" t="s">
        <v>500</v>
      </c>
      <c r="D209" s="1" t="s">
        <v>159</v>
      </c>
      <c r="E209" s="1">
        <v>1</v>
      </c>
      <c r="F209" s="1">
        <v>430</v>
      </c>
      <c r="G209" s="1">
        <v>7.1999999999999995E-2</v>
      </c>
      <c r="H209" s="1">
        <v>10</v>
      </c>
      <c r="I209" s="1">
        <v>1</v>
      </c>
    </row>
    <row r="210" spans="1:9" x14ac:dyDescent="0.25">
      <c r="A210" s="13">
        <v>45779</v>
      </c>
      <c r="B210" s="13" t="s">
        <v>502</v>
      </c>
      <c r="C210" s="1" t="s">
        <v>500</v>
      </c>
      <c r="D210" s="1" t="s">
        <v>159</v>
      </c>
      <c r="E210" s="1">
        <v>1</v>
      </c>
      <c r="F210" s="1">
        <v>630</v>
      </c>
      <c r="G210" s="1">
        <v>4.7E-2</v>
      </c>
      <c r="H210" s="1">
        <v>10</v>
      </c>
      <c r="I210" s="1">
        <v>1</v>
      </c>
    </row>
    <row r="211" spans="1:9" x14ac:dyDescent="0.25">
      <c r="A211" s="13">
        <v>45779</v>
      </c>
      <c r="B211" s="13" t="s">
        <v>502</v>
      </c>
      <c r="C211" s="1" t="s">
        <v>500</v>
      </c>
      <c r="D211" s="1" t="s">
        <v>159</v>
      </c>
      <c r="E211" s="1">
        <v>1</v>
      </c>
      <c r="F211" s="1">
        <v>645</v>
      </c>
      <c r="G211" s="1">
        <v>4.7E-2</v>
      </c>
      <c r="H211" s="1">
        <v>10</v>
      </c>
      <c r="I211" s="1">
        <v>1</v>
      </c>
    </row>
    <row r="212" spans="1:9" x14ac:dyDescent="0.25">
      <c r="A212" s="13">
        <v>45779</v>
      </c>
      <c r="B212" s="13" t="s">
        <v>502</v>
      </c>
      <c r="C212" s="1" t="s">
        <v>500</v>
      </c>
      <c r="D212" s="1" t="s">
        <v>159</v>
      </c>
      <c r="E212" s="1">
        <v>1</v>
      </c>
      <c r="F212" s="1">
        <v>665</v>
      </c>
      <c r="G212" s="1">
        <v>4.9000000000000002E-2</v>
      </c>
      <c r="H212" s="1">
        <v>10</v>
      </c>
      <c r="I212" s="1">
        <v>1</v>
      </c>
    </row>
    <row r="213" spans="1:9" x14ac:dyDescent="0.25">
      <c r="A213" s="13">
        <v>45779</v>
      </c>
      <c r="B213" s="13" t="s">
        <v>502</v>
      </c>
      <c r="C213" s="1" t="s">
        <v>500</v>
      </c>
      <c r="D213" s="1" t="s">
        <v>159</v>
      </c>
      <c r="E213" s="1">
        <v>1</v>
      </c>
      <c r="F213" s="1">
        <v>750</v>
      </c>
      <c r="G213" s="1">
        <v>4.5999999999999999E-2</v>
      </c>
      <c r="H213" s="1">
        <v>10</v>
      </c>
      <c r="I213" s="1">
        <v>1</v>
      </c>
    </row>
    <row r="214" spans="1:9" x14ac:dyDescent="0.25">
      <c r="A214" s="13">
        <v>45779</v>
      </c>
      <c r="B214" s="13" t="s">
        <v>502</v>
      </c>
      <c r="C214" s="1" t="s">
        <v>500</v>
      </c>
      <c r="D214" s="1" t="s">
        <v>159</v>
      </c>
      <c r="E214" s="1">
        <v>2</v>
      </c>
      <c r="F214" s="1">
        <v>430</v>
      </c>
      <c r="G214" s="1">
        <v>5.6000000000000001E-2</v>
      </c>
      <c r="H214" s="1">
        <v>10</v>
      </c>
      <c r="I214" s="1">
        <v>1</v>
      </c>
    </row>
    <row r="215" spans="1:9" x14ac:dyDescent="0.25">
      <c r="A215" s="13">
        <v>45779</v>
      </c>
      <c r="B215" s="13" t="s">
        <v>502</v>
      </c>
      <c r="C215" s="1" t="s">
        <v>500</v>
      </c>
      <c r="D215" s="1" t="s">
        <v>159</v>
      </c>
      <c r="E215" s="1">
        <v>2</v>
      </c>
      <c r="F215" s="1">
        <v>630</v>
      </c>
      <c r="G215" s="1">
        <v>3.5999999999999997E-2</v>
      </c>
      <c r="H215" s="1">
        <v>10</v>
      </c>
      <c r="I215" s="1">
        <v>1</v>
      </c>
    </row>
    <row r="216" spans="1:9" x14ac:dyDescent="0.25">
      <c r="A216" s="13">
        <v>45779</v>
      </c>
      <c r="B216" s="13" t="s">
        <v>502</v>
      </c>
      <c r="C216" s="1" t="s">
        <v>500</v>
      </c>
      <c r="D216" s="1" t="s">
        <v>159</v>
      </c>
      <c r="E216" s="1">
        <v>2</v>
      </c>
      <c r="F216" s="1">
        <v>645</v>
      </c>
      <c r="G216" s="1">
        <v>3.5999999999999997E-2</v>
      </c>
      <c r="H216" s="1">
        <v>10</v>
      </c>
      <c r="I216" s="1">
        <v>1</v>
      </c>
    </row>
    <row r="217" spans="1:9" x14ac:dyDescent="0.25">
      <c r="A217" s="13">
        <v>45779</v>
      </c>
      <c r="B217" s="13" t="s">
        <v>502</v>
      </c>
      <c r="C217" s="1" t="s">
        <v>500</v>
      </c>
      <c r="D217" s="1" t="s">
        <v>159</v>
      </c>
      <c r="E217" s="1">
        <v>2</v>
      </c>
      <c r="F217" s="1">
        <v>665</v>
      </c>
      <c r="G217" s="1">
        <v>3.7999999999999999E-2</v>
      </c>
      <c r="H217" s="1">
        <v>10</v>
      </c>
      <c r="I217" s="1">
        <v>1</v>
      </c>
    </row>
    <row r="218" spans="1:9" x14ac:dyDescent="0.25">
      <c r="A218" s="13">
        <v>45779</v>
      </c>
      <c r="B218" s="13" t="s">
        <v>502</v>
      </c>
      <c r="C218" s="1" t="s">
        <v>500</v>
      </c>
      <c r="D218" s="1" t="s">
        <v>159</v>
      </c>
      <c r="E218" s="1">
        <v>2</v>
      </c>
      <c r="F218" s="1">
        <v>750</v>
      </c>
      <c r="G218" s="1">
        <v>3.5999999999999997E-2</v>
      </c>
      <c r="H218" s="1">
        <v>10</v>
      </c>
      <c r="I218" s="1">
        <v>1</v>
      </c>
    </row>
    <row r="219" spans="1:9" x14ac:dyDescent="0.25">
      <c r="A219" s="13">
        <v>45779</v>
      </c>
      <c r="B219" s="13" t="s">
        <v>502</v>
      </c>
      <c r="C219" s="1" t="s">
        <v>500</v>
      </c>
      <c r="D219" s="1" t="s">
        <v>159</v>
      </c>
      <c r="E219" s="1">
        <v>3</v>
      </c>
      <c r="F219" s="1">
        <v>430</v>
      </c>
      <c r="G219" s="1">
        <v>5.0999999999999997E-2</v>
      </c>
      <c r="H219" s="1">
        <v>10</v>
      </c>
      <c r="I219" s="1">
        <v>1</v>
      </c>
    </row>
    <row r="220" spans="1:9" x14ac:dyDescent="0.25">
      <c r="A220" s="13">
        <v>45779</v>
      </c>
      <c r="B220" s="13" t="s">
        <v>502</v>
      </c>
      <c r="C220" s="1" t="s">
        <v>500</v>
      </c>
      <c r="D220" s="1" t="s">
        <v>159</v>
      </c>
      <c r="E220" s="1">
        <v>3</v>
      </c>
      <c r="F220" s="1">
        <v>630</v>
      </c>
      <c r="G220" s="1">
        <v>3.9E-2</v>
      </c>
      <c r="H220" s="1">
        <v>10</v>
      </c>
      <c r="I220" s="1">
        <v>1</v>
      </c>
    </row>
    <row r="221" spans="1:9" x14ac:dyDescent="0.25">
      <c r="A221" s="13">
        <v>45779</v>
      </c>
      <c r="B221" s="13" t="s">
        <v>502</v>
      </c>
      <c r="C221" s="1" t="s">
        <v>500</v>
      </c>
      <c r="D221" s="1" t="s">
        <v>159</v>
      </c>
      <c r="E221" s="1">
        <v>3</v>
      </c>
      <c r="F221" s="1">
        <v>645</v>
      </c>
      <c r="G221" s="1">
        <v>3.9E-2</v>
      </c>
      <c r="H221" s="1">
        <v>10</v>
      </c>
      <c r="I221" s="1">
        <v>1</v>
      </c>
    </row>
    <row r="222" spans="1:9" x14ac:dyDescent="0.25">
      <c r="A222" s="13">
        <v>45779</v>
      </c>
      <c r="B222" s="13" t="s">
        <v>502</v>
      </c>
      <c r="C222" s="1" t="s">
        <v>500</v>
      </c>
      <c r="D222" s="1" t="s">
        <v>159</v>
      </c>
      <c r="E222" s="1">
        <v>3</v>
      </c>
      <c r="F222" s="1">
        <v>665</v>
      </c>
      <c r="G222" s="1">
        <v>3.9E-2</v>
      </c>
      <c r="H222" s="1">
        <v>10</v>
      </c>
      <c r="I222" s="1">
        <v>1</v>
      </c>
    </row>
    <row r="223" spans="1:9" x14ac:dyDescent="0.25">
      <c r="A223" s="13">
        <v>45779</v>
      </c>
      <c r="B223" s="13" t="s">
        <v>502</v>
      </c>
      <c r="C223" s="1" t="s">
        <v>500</v>
      </c>
      <c r="D223" s="1" t="s">
        <v>159</v>
      </c>
      <c r="E223" s="1">
        <v>3</v>
      </c>
      <c r="F223" s="1">
        <v>750</v>
      </c>
      <c r="G223" s="1">
        <v>3.7999999999999999E-2</v>
      </c>
      <c r="H223" s="1">
        <v>10</v>
      </c>
      <c r="I223" s="1">
        <v>1</v>
      </c>
    </row>
    <row r="224" spans="1:9" x14ac:dyDescent="0.25">
      <c r="A224" s="13">
        <v>45779</v>
      </c>
      <c r="B224" s="13" t="s">
        <v>502</v>
      </c>
      <c r="C224" s="1" t="s">
        <v>500</v>
      </c>
      <c r="D224" s="1" t="s">
        <v>159</v>
      </c>
      <c r="E224" s="1">
        <v>4</v>
      </c>
      <c r="F224" s="1">
        <v>430</v>
      </c>
      <c r="G224" s="1">
        <v>0.06</v>
      </c>
      <c r="H224" s="1">
        <v>10</v>
      </c>
      <c r="I224" s="1">
        <v>1</v>
      </c>
    </row>
    <row r="225" spans="1:9" x14ac:dyDescent="0.25">
      <c r="A225" s="13">
        <v>45779</v>
      </c>
      <c r="B225" s="13" t="s">
        <v>502</v>
      </c>
      <c r="C225" s="1" t="s">
        <v>500</v>
      </c>
      <c r="D225" s="1" t="s">
        <v>159</v>
      </c>
      <c r="E225" s="1">
        <v>4</v>
      </c>
      <c r="F225" s="1">
        <v>630</v>
      </c>
      <c r="G225" s="1">
        <v>4.5999999999999999E-2</v>
      </c>
      <c r="H225" s="1">
        <v>10</v>
      </c>
      <c r="I225" s="1">
        <v>1</v>
      </c>
    </row>
    <row r="226" spans="1:9" x14ac:dyDescent="0.25">
      <c r="A226" s="13">
        <v>45779</v>
      </c>
      <c r="B226" s="13" t="s">
        <v>502</v>
      </c>
      <c r="C226" s="1" t="s">
        <v>500</v>
      </c>
      <c r="D226" s="1" t="s">
        <v>159</v>
      </c>
      <c r="E226" s="1">
        <v>4</v>
      </c>
      <c r="F226" s="1">
        <v>645</v>
      </c>
      <c r="G226" s="1">
        <v>4.5999999999999999E-2</v>
      </c>
      <c r="H226" s="1">
        <v>10</v>
      </c>
      <c r="I226" s="1">
        <v>1</v>
      </c>
    </row>
    <row r="227" spans="1:9" x14ac:dyDescent="0.25">
      <c r="A227" s="13">
        <v>45779</v>
      </c>
      <c r="B227" s="13" t="s">
        <v>502</v>
      </c>
      <c r="C227" s="1" t="s">
        <v>500</v>
      </c>
      <c r="D227" s="1" t="s">
        <v>159</v>
      </c>
      <c r="E227" s="1">
        <v>4</v>
      </c>
      <c r="F227" s="1">
        <v>665</v>
      </c>
      <c r="G227" s="1">
        <v>4.7E-2</v>
      </c>
      <c r="H227" s="1">
        <v>10</v>
      </c>
      <c r="I227" s="1">
        <v>1</v>
      </c>
    </row>
    <row r="228" spans="1:9" x14ac:dyDescent="0.25">
      <c r="A228" s="13">
        <v>45779</v>
      </c>
      <c r="B228" s="13" t="s">
        <v>502</v>
      </c>
      <c r="C228" s="1" t="s">
        <v>500</v>
      </c>
      <c r="D228" s="1" t="s">
        <v>159</v>
      </c>
      <c r="E228" s="1">
        <v>4</v>
      </c>
      <c r="F228" s="1">
        <v>750</v>
      </c>
      <c r="G228" s="1">
        <v>4.4999999999999998E-2</v>
      </c>
      <c r="H228" s="1">
        <v>10</v>
      </c>
      <c r="I228" s="1">
        <v>1</v>
      </c>
    </row>
  </sheetData>
  <mergeCells count="34">
    <mergeCell ref="R4:R15"/>
    <mergeCell ref="R16:R27"/>
    <mergeCell ref="R28:R39"/>
    <mergeCell ref="P4:P7"/>
    <mergeCell ref="Q4:Q7"/>
    <mergeCell ref="P8:P11"/>
    <mergeCell ref="Q8:Q11"/>
    <mergeCell ref="P12:P15"/>
    <mergeCell ref="Q12:Q15"/>
    <mergeCell ref="P16:P19"/>
    <mergeCell ref="Q16:Q19"/>
    <mergeCell ref="P20:P23"/>
    <mergeCell ref="Q20:Q23"/>
    <mergeCell ref="P24:P27"/>
    <mergeCell ref="Q24:Q27"/>
    <mergeCell ref="P36:P39"/>
    <mergeCell ref="R49:R57"/>
    <mergeCell ref="O46:Q48"/>
    <mergeCell ref="P49:P51"/>
    <mergeCell ref="Q49:Q51"/>
    <mergeCell ref="P52:P54"/>
    <mergeCell ref="Q52:Q54"/>
    <mergeCell ref="P55:P57"/>
    <mergeCell ref="Q55:Q57"/>
    <mergeCell ref="P43:P45"/>
    <mergeCell ref="Q43:Q45"/>
    <mergeCell ref="R40:R48"/>
    <mergeCell ref="P28:P31"/>
    <mergeCell ref="Q28:Q31"/>
    <mergeCell ref="P32:P35"/>
    <mergeCell ref="Q32:Q35"/>
    <mergeCell ref="P40:P42"/>
    <mergeCell ref="Q40:Q42"/>
    <mergeCell ref="Q36:Q39"/>
  </mergeCells>
  <pageMargins left="0.7" right="0.7" top="0.75" bottom="0.75" header="0.3" footer="0.3"/>
  <ignoredErrors>
    <ignoredError sqref="R40 R28 R16" formulaRange="1"/>
  </ignoredErrors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A67FF-0905-44F2-BF5D-F470F5DAEB15}">
  <sheetPr>
    <tabColor theme="9"/>
  </sheetPr>
  <dimension ref="A1:I71"/>
  <sheetViews>
    <sheetView topLeftCell="A22" workbookViewId="0">
      <selection activeCell="C13" sqref="C13"/>
    </sheetView>
  </sheetViews>
  <sheetFormatPr baseColWidth="10" defaultRowHeight="15" x14ac:dyDescent="0.25"/>
  <cols>
    <col min="1" max="1" width="26.42578125" bestFit="1" customWidth="1"/>
    <col min="2" max="2" width="10.85546875" bestFit="1" customWidth="1"/>
    <col min="3" max="3" width="17.85546875" customWidth="1"/>
  </cols>
  <sheetData>
    <row r="1" spans="1:5" x14ac:dyDescent="0.25">
      <c r="A1" t="s">
        <v>829</v>
      </c>
    </row>
    <row r="3" spans="1:5" x14ac:dyDescent="0.25">
      <c r="A3" t="s">
        <v>808</v>
      </c>
    </row>
    <row r="5" spans="1:5" x14ac:dyDescent="0.25">
      <c r="A5" s="144" t="s">
        <v>455</v>
      </c>
      <c r="B5" s="141" t="s">
        <v>809</v>
      </c>
      <c r="C5" s="140" t="s">
        <v>480</v>
      </c>
      <c r="D5" s="140"/>
      <c r="E5" s="140"/>
    </row>
    <row r="6" spans="1:5" x14ac:dyDescent="0.25">
      <c r="A6" s="144"/>
      <c r="B6" s="142"/>
      <c r="C6" s="5" t="s">
        <v>33</v>
      </c>
      <c r="D6" s="5" t="s">
        <v>592</v>
      </c>
      <c r="E6" s="5" t="s">
        <v>664</v>
      </c>
    </row>
    <row r="7" spans="1:5" x14ac:dyDescent="0.25">
      <c r="A7" s="115" t="s">
        <v>101</v>
      </c>
      <c r="B7" s="115" t="s">
        <v>810</v>
      </c>
      <c r="C7" s="53">
        <v>221</v>
      </c>
      <c r="D7" s="53">
        <v>209</v>
      </c>
      <c r="E7" s="53">
        <v>35</v>
      </c>
    </row>
    <row r="8" spans="1:5" x14ac:dyDescent="0.25">
      <c r="A8" s="115" t="s">
        <v>456</v>
      </c>
      <c r="B8" s="115" t="s">
        <v>811</v>
      </c>
      <c r="C8" s="53">
        <v>7</v>
      </c>
      <c r="D8" s="53">
        <v>3</v>
      </c>
      <c r="E8" s="53">
        <v>2</v>
      </c>
    </row>
    <row r="9" spans="1:5" x14ac:dyDescent="0.25">
      <c r="A9" s="115" t="s">
        <v>803</v>
      </c>
      <c r="B9" s="115" t="s">
        <v>812</v>
      </c>
      <c r="C9" s="114">
        <f>+(147/C7)*100</f>
        <v>66.515837104072389</v>
      </c>
      <c r="D9" s="114">
        <f>+(90/D7)*100</f>
        <v>43.062200956937801</v>
      </c>
      <c r="E9" s="114">
        <f>+(30/E7)*100</f>
        <v>85.714285714285708</v>
      </c>
    </row>
    <row r="10" spans="1:5" x14ac:dyDescent="0.25">
      <c r="A10" s="115" t="s">
        <v>804</v>
      </c>
      <c r="B10" s="115" t="s">
        <v>813</v>
      </c>
      <c r="C10" s="114">
        <f>+(68/C7)*100</f>
        <v>30.76923076923077</v>
      </c>
      <c r="D10" s="114">
        <f>+(119/D7)*100</f>
        <v>56.937799043062199</v>
      </c>
      <c r="E10" s="114">
        <f>+(5/E7)*100</f>
        <v>14.285714285714285</v>
      </c>
    </row>
    <row r="11" spans="1:5" x14ac:dyDescent="0.25">
      <c r="A11" s="1" t="s">
        <v>805</v>
      </c>
      <c r="B11" s="1" t="s">
        <v>814</v>
      </c>
      <c r="C11" s="114">
        <f>+(6/C7)*100</f>
        <v>2.7149321266968327</v>
      </c>
      <c r="D11" s="114">
        <f>+(0/D7)*100</f>
        <v>0</v>
      </c>
      <c r="E11" s="114">
        <f>+(0/E7)*100</f>
        <v>0</v>
      </c>
    </row>
    <row r="12" spans="1:5" x14ac:dyDescent="0.25">
      <c r="A12" s="115" t="s">
        <v>795</v>
      </c>
      <c r="B12" s="115" t="s">
        <v>824</v>
      </c>
      <c r="C12" s="53">
        <v>4</v>
      </c>
      <c r="D12" s="53">
        <v>2</v>
      </c>
      <c r="E12" s="53">
        <v>1</v>
      </c>
    </row>
    <row r="13" spans="1:5" x14ac:dyDescent="0.25">
      <c r="A13" s="1" t="s">
        <v>796</v>
      </c>
      <c r="B13" s="1" t="s">
        <v>825</v>
      </c>
      <c r="C13" s="53">
        <v>3</v>
      </c>
      <c r="D13" s="53">
        <v>1</v>
      </c>
      <c r="E13" s="53">
        <v>1</v>
      </c>
    </row>
    <row r="14" spans="1:5" x14ac:dyDescent="0.25">
      <c r="A14" s="115" t="s">
        <v>801</v>
      </c>
      <c r="B14" s="115" t="s">
        <v>815</v>
      </c>
      <c r="C14" s="53">
        <f>+(191/C7)*100</f>
        <v>86.425339366515843</v>
      </c>
      <c r="D14" s="53">
        <v>123</v>
      </c>
      <c r="E14" s="53">
        <v>30</v>
      </c>
    </row>
    <row r="15" spans="1:5" x14ac:dyDescent="0.25">
      <c r="A15" s="1" t="s">
        <v>802</v>
      </c>
      <c r="B15" s="1" t="s">
        <v>816</v>
      </c>
      <c r="C15" s="53">
        <f>+(30/C7)*100</f>
        <v>13.574660633484163</v>
      </c>
      <c r="D15" s="53">
        <v>86</v>
      </c>
      <c r="E15" s="53">
        <v>5</v>
      </c>
    </row>
    <row r="16" spans="1:5" x14ac:dyDescent="0.25">
      <c r="A16" s="115" t="s">
        <v>797</v>
      </c>
      <c r="B16" s="115" t="s">
        <v>817</v>
      </c>
      <c r="C16" s="53">
        <v>3</v>
      </c>
      <c r="D16" s="53">
        <v>3</v>
      </c>
      <c r="E16" s="53">
        <v>1</v>
      </c>
    </row>
    <row r="17" spans="1:7" x14ac:dyDescent="0.25">
      <c r="A17" s="1" t="s">
        <v>798</v>
      </c>
      <c r="B17" s="1" t="s">
        <v>818</v>
      </c>
      <c r="C17" s="53">
        <v>4</v>
      </c>
      <c r="D17" s="53">
        <v>0</v>
      </c>
      <c r="E17" s="53">
        <v>1</v>
      </c>
    </row>
    <row r="18" spans="1:7" x14ac:dyDescent="0.25">
      <c r="A18" s="1" t="s">
        <v>806</v>
      </c>
      <c r="B18" s="1" t="s">
        <v>819</v>
      </c>
      <c r="C18" s="114">
        <f>+(191/C7)*100</f>
        <v>86.425339366515843</v>
      </c>
      <c r="D18" s="53">
        <f>+(209/D7)*100</f>
        <v>100</v>
      </c>
      <c r="E18" s="114">
        <f>+(30/E7)*100</f>
        <v>85.714285714285708</v>
      </c>
    </row>
    <row r="19" spans="1:7" x14ac:dyDescent="0.25">
      <c r="A19" s="1" t="s">
        <v>807</v>
      </c>
      <c r="B19" s="1" t="s">
        <v>820</v>
      </c>
      <c r="C19" s="114">
        <f>+(30/C7)*100</f>
        <v>13.574660633484163</v>
      </c>
      <c r="D19" s="114">
        <v>0</v>
      </c>
      <c r="E19" s="114">
        <f>+(5/E7)*100</f>
        <v>14.285714285714285</v>
      </c>
    </row>
    <row r="20" spans="1:7" x14ac:dyDescent="0.25">
      <c r="A20" s="1" t="s">
        <v>799</v>
      </c>
      <c r="B20" s="1" t="s">
        <v>821</v>
      </c>
      <c r="C20" s="53">
        <v>5</v>
      </c>
      <c r="D20" s="53">
        <v>2</v>
      </c>
      <c r="E20" s="53">
        <v>0</v>
      </c>
    </row>
    <row r="21" spans="1:7" x14ac:dyDescent="0.25">
      <c r="A21" s="1" t="s">
        <v>800</v>
      </c>
      <c r="B21" s="1" t="s">
        <v>822</v>
      </c>
      <c r="C21" s="53">
        <v>2</v>
      </c>
      <c r="D21" s="53">
        <v>1</v>
      </c>
      <c r="E21" s="53">
        <v>2</v>
      </c>
    </row>
    <row r="22" spans="1:7" x14ac:dyDescent="0.25">
      <c r="C22" s="112"/>
      <c r="D22" s="112"/>
      <c r="E22" s="112"/>
    </row>
    <row r="23" spans="1:7" x14ac:dyDescent="0.25">
      <c r="A23" t="s">
        <v>828</v>
      </c>
      <c r="C23" s="112"/>
      <c r="D23" s="112"/>
      <c r="E23" s="112"/>
    </row>
    <row r="24" spans="1:7" ht="58.15" customHeight="1" x14ac:dyDescent="0.25">
      <c r="A24" s="143" t="s">
        <v>831</v>
      </c>
      <c r="B24" s="143"/>
      <c r="C24" s="143"/>
      <c r="D24" s="143"/>
      <c r="E24" s="143"/>
      <c r="F24" s="143"/>
      <c r="G24" s="143"/>
    </row>
    <row r="25" spans="1:7" x14ac:dyDescent="0.25">
      <c r="C25" s="112"/>
      <c r="D25" s="112"/>
      <c r="E25" s="112"/>
    </row>
    <row r="26" spans="1:7" x14ac:dyDescent="0.25">
      <c r="A26" s="144" t="s">
        <v>455</v>
      </c>
      <c r="B26" s="141" t="s">
        <v>809</v>
      </c>
      <c r="C26" s="170" t="s">
        <v>826</v>
      </c>
      <c r="D26" s="171" t="s">
        <v>235</v>
      </c>
      <c r="E26" s="171"/>
      <c r="F26" s="171"/>
    </row>
    <row r="27" spans="1:7" x14ac:dyDescent="0.25">
      <c r="A27" s="144"/>
      <c r="B27" s="142"/>
      <c r="C27" s="170"/>
      <c r="D27" s="112"/>
      <c r="E27" s="112"/>
    </row>
    <row r="28" spans="1:7" x14ac:dyDescent="0.25">
      <c r="A28" s="115" t="s">
        <v>101</v>
      </c>
      <c r="B28" s="115" t="s">
        <v>810</v>
      </c>
      <c r="C28" s="112" t="s">
        <v>299</v>
      </c>
      <c r="D28" s="112"/>
      <c r="E28" s="112"/>
    </row>
    <row r="29" spans="1:7" x14ac:dyDescent="0.25">
      <c r="A29" s="115" t="s">
        <v>456</v>
      </c>
      <c r="B29" s="115" t="s">
        <v>811</v>
      </c>
      <c r="C29" s="112" t="s">
        <v>299</v>
      </c>
      <c r="D29" s="112"/>
      <c r="E29" s="112"/>
    </row>
    <row r="30" spans="1:7" x14ac:dyDescent="0.25">
      <c r="A30" s="115" t="s">
        <v>803</v>
      </c>
      <c r="B30" s="115" t="s">
        <v>812</v>
      </c>
      <c r="C30" s="112" t="s">
        <v>315</v>
      </c>
      <c r="D30" s="112"/>
      <c r="E30" s="112"/>
    </row>
    <row r="31" spans="1:7" x14ac:dyDescent="0.25">
      <c r="A31" s="115" t="s">
        <v>804</v>
      </c>
      <c r="B31" s="115" t="s">
        <v>813</v>
      </c>
      <c r="C31" s="112" t="s">
        <v>315</v>
      </c>
      <c r="D31" s="112"/>
      <c r="E31" s="112"/>
    </row>
    <row r="32" spans="1:7" x14ac:dyDescent="0.25">
      <c r="A32" s="1" t="s">
        <v>805</v>
      </c>
      <c r="B32" s="1" t="s">
        <v>814</v>
      </c>
      <c r="C32" s="112" t="s">
        <v>299</v>
      </c>
      <c r="D32" s="112"/>
      <c r="E32" s="112"/>
    </row>
    <row r="33" spans="1:5" x14ac:dyDescent="0.25">
      <c r="A33" s="115" t="s">
        <v>795</v>
      </c>
      <c r="B33" s="115" t="s">
        <v>824</v>
      </c>
      <c r="C33" s="112" t="s">
        <v>299</v>
      </c>
      <c r="D33" s="112"/>
      <c r="E33" s="112"/>
    </row>
    <row r="34" spans="1:5" x14ac:dyDescent="0.25">
      <c r="A34" s="1" t="s">
        <v>796</v>
      </c>
      <c r="B34" s="1" t="s">
        <v>825</v>
      </c>
      <c r="C34" s="112" t="s">
        <v>299</v>
      </c>
      <c r="D34" s="112"/>
      <c r="E34" s="112"/>
    </row>
    <row r="35" spans="1:5" x14ac:dyDescent="0.25">
      <c r="A35" s="115" t="s">
        <v>801</v>
      </c>
      <c r="B35" s="115" t="s">
        <v>815</v>
      </c>
      <c r="C35" s="112" t="s">
        <v>299</v>
      </c>
      <c r="D35" s="112"/>
      <c r="E35" s="112"/>
    </row>
    <row r="36" spans="1:5" x14ac:dyDescent="0.25">
      <c r="A36" s="1" t="s">
        <v>802</v>
      </c>
      <c r="B36" s="1" t="s">
        <v>816</v>
      </c>
      <c r="C36" s="112" t="s">
        <v>299</v>
      </c>
      <c r="D36" s="112"/>
      <c r="E36" s="112"/>
    </row>
    <row r="37" spans="1:5" x14ac:dyDescent="0.25">
      <c r="A37" s="115" t="s">
        <v>797</v>
      </c>
      <c r="B37" s="115" t="s">
        <v>817</v>
      </c>
      <c r="C37" s="112" t="s">
        <v>303</v>
      </c>
      <c r="D37" s="112"/>
      <c r="E37" s="112"/>
    </row>
    <row r="38" spans="1:5" x14ac:dyDescent="0.25">
      <c r="A38" s="1" t="s">
        <v>798</v>
      </c>
      <c r="B38" s="1" t="s">
        <v>818</v>
      </c>
      <c r="C38" s="112" t="s">
        <v>830</v>
      </c>
      <c r="D38" s="112"/>
      <c r="E38" s="112"/>
    </row>
    <row r="39" spans="1:5" x14ac:dyDescent="0.25">
      <c r="A39" s="1" t="s">
        <v>806</v>
      </c>
      <c r="B39" s="1" t="s">
        <v>819</v>
      </c>
      <c r="C39" s="112" t="s">
        <v>303</v>
      </c>
      <c r="D39" s="112"/>
      <c r="E39" s="112"/>
    </row>
    <row r="40" spans="1:5" x14ac:dyDescent="0.25">
      <c r="A40" s="1" t="s">
        <v>807</v>
      </c>
      <c r="B40" s="1" t="s">
        <v>820</v>
      </c>
      <c r="C40" s="112" t="s">
        <v>315</v>
      </c>
      <c r="D40" s="112"/>
      <c r="E40" s="112"/>
    </row>
    <row r="41" spans="1:5" x14ac:dyDescent="0.25">
      <c r="A41" s="1" t="s">
        <v>799</v>
      </c>
      <c r="B41" s="1" t="s">
        <v>821</v>
      </c>
      <c r="C41" s="112" t="s">
        <v>237</v>
      </c>
      <c r="D41" s="112"/>
      <c r="E41" s="112"/>
    </row>
    <row r="42" spans="1:5" x14ac:dyDescent="0.25">
      <c r="A42" s="1" t="s">
        <v>800</v>
      </c>
      <c r="B42" s="1" t="s">
        <v>822</v>
      </c>
      <c r="C42" s="112" t="s">
        <v>303</v>
      </c>
      <c r="D42" s="112"/>
      <c r="E42" s="112"/>
    </row>
    <row r="43" spans="1:5" x14ac:dyDescent="0.25">
      <c r="C43" s="112"/>
      <c r="D43" s="112"/>
      <c r="E43" s="112"/>
    </row>
    <row r="44" spans="1:5" x14ac:dyDescent="0.25">
      <c r="A44" t="s">
        <v>832</v>
      </c>
      <c r="C44" s="112"/>
      <c r="D44" s="112"/>
      <c r="E44" s="112"/>
    </row>
    <row r="45" spans="1:5" x14ac:dyDescent="0.25">
      <c r="C45" s="112"/>
      <c r="D45" s="112"/>
      <c r="E45" s="112"/>
    </row>
    <row r="46" spans="1:5" x14ac:dyDescent="0.25">
      <c r="A46" s="144" t="s">
        <v>455</v>
      </c>
      <c r="B46" s="141" t="s">
        <v>809</v>
      </c>
      <c r="C46" s="167" t="s">
        <v>834</v>
      </c>
      <c r="D46" s="168"/>
      <c r="E46" s="169"/>
    </row>
    <row r="47" spans="1:5" x14ac:dyDescent="0.25">
      <c r="A47" s="144"/>
      <c r="B47" s="142"/>
      <c r="C47" s="5" t="s">
        <v>33</v>
      </c>
      <c r="D47" s="5" t="s">
        <v>592</v>
      </c>
      <c r="E47" s="5" t="s">
        <v>664</v>
      </c>
    </row>
    <row r="48" spans="1:5" x14ac:dyDescent="0.25">
      <c r="A48" s="115" t="s">
        <v>101</v>
      </c>
      <c r="B48" s="115" t="s">
        <v>810</v>
      </c>
      <c r="C48" s="112"/>
      <c r="D48" s="112"/>
      <c r="E48" s="112"/>
    </row>
    <row r="49" spans="1:5" x14ac:dyDescent="0.25">
      <c r="A49" s="115" t="s">
        <v>456</v>
      </c>
      <c r="B49" s="115" t="s">
        <v>811</v>
      </c>
      <c r="C49" s="112"/>
      <c r="D49" s="112"/>
      <c r="E49" s="112"/>
    </row>
    <row r="50" spans="1:5" x14ac:dyDescent="0.25">
      <c r="A50" s="115" t="s">
        <v>803</v>
      </c>
      <c r="B50" s="115" t="s">
        <v>812</v>
      </c>
      <c r="C50" s="112"/>
      <c r="D50" s="112"/>
      <c r="E50" s="112"/>
    </row>
    <row r="51" spans="1:5" x14ac:dyDescent="0.25">
      <c r="A51" s="115" t="s">
        <v>804</v>
      </c>
      <c r="B51" s="115" t="s">
        <v>813</v>
      </c>
      <c r="C51" s="112"/>
      <c r="D51" s="112"/>
      <c r="E51" s="112"/>
    </row>
    <row r="52" spans="1:5" x14ac:dyDescent="0.25">
      <c r="A52" s="1" t="s">
        <v>805</v>
      </c>
      <c r="B52" s="1" t="s">
        <v>814</v>
      </c>
      <c r="C52" s="112"/>
      <c r="D52" s="112"/>
      <c r="E52" s="112"/>
    </row>
    <row r="53" spans="1:5" x14ac:dyDescent="0.25">
      <c r="A53" s="115" t="s">
        <v>795</v>
      </c>
      <c r="B53" s="115" t="s">
        <v>824</v>
      </c>
      <c r="C53" s="112"/>
      <c r="D53" s="112"/>
      <c r="E53" s="112"/>
    </row>
    <row r="54" spans="1:5" x14ac:dyDescent="0.25">
      <c r="A54" s="1" t="s">
        <v>796</v>
      </c>
      <c r="B54" s="1" t="s">
        <v>825</v>
      </c>
      <c r="C54" s="112"/>
      <c r="D54" s="112"/>
      <c r="E54" s="112"/>
    </row>
    <row r="55" spans="1:5" x14ac:dyDescent="0.25">
      <c r="A55" s="115" t="s">
        <v>801</v>
      </c>
      <c r="B55" s="115" t="s">
        <v>815</v>
      </c>
      <c r="C55" s="112"/>
      <c r="D55" s="112"/>
      <c r="E55" s="112"/>
    </row>
    <row r="56" spans="1:5" x14ac:dyDescent="0.25">
      <c r="A56" s="1" t="s">
        <v>802</v>
      </c>
      <c r="B56" s="1" t="s">
        <v>816</v>
      </c>
      <c r="C56" s="112"/>
      <c r="D56" s="112"/>
      <c r="E56" s="112"/>
    </row>
    <row r="57" spans="1:5" x14ac:dyDescent="0.25">
      <c r="A57" s="115" t="s">
        <v>797</v>
      </c>
      <c r="B57" s="115" t="s">
        <v>817</v>
      </c>
      <c r="C57" s="112"/>
      <c r="D57" s="112"/>
      <c r="E57" s="112"/>
    </row>
    <row r="58" spans="1:5" x14ac:dyDescent="0.25">
      <c r="A58" s="1" t="s">
        <v>798</v>
      </c>
      <c r="B58" s="1" t="s">
        <v>818</v>
      </c>
      <c r="C58" s="112"/>
      <c r="D58" s="112"/>
      <c r="E58" s="112"/>
    </row>
    <row r="59" spans="1:5" x14ac:dyDescent="0.25">
      <c r="A59" s="1" t="s">
        <v>806</v>
      </c>
      <c r="B59" s="1" t="s">
        <v>819</v>
      </c>
      <c r="C59" s="112"/>
      <c r="D59" s="112"/>
      <c r="E59" s="112"/>
    </row>
    <row r="60" spans="1:5" x14ac:dyDescent="0.25">
      <c r="A60" s="1" t="s">
        <v>807</v>
      </c>
      <c r="B60" s="1" t="s">
        <v>820</v>
      </c>
      <c r="C60" s="112"/>
      <c r="D60" s="112"/>
      <c r="E60" s="112"/>
    </row>
    <row r="61" spans="1:5" x14ac:dyDescent="0.25">
      <c r="A61" s="1" t="s">
        <v>799</v>
      </c>
      <c r="B61" s="1" t="s">
        <v>821</v>
      </c>
      <c r="C61" s="112"/>
      <c r="D61" s="112"/>
      <c r="E61" s="112"/>
    </row>
    <row r="62" spans="1:5" x14ac:dyDescent="0.25">
      <c r="A62" s="1" t="s">
        <v>800</v>
      </c>
      <c r="B62" s="1" t="s">
        <v>822</v>
      </c>
      <c r="C62" s="112"/>
      <c r="D62" s="112"/>
      <c r="E62" s="112"/>
    </row>
    <row r="63" spans="1:5" x14ac:dyDescent="0.25">
      <c r="C63" s="112"/>
      <c r="D63" s="112"/>
      <c r="E63" s="112"/>
    </row>
    <row r="65" spans="1:9" x14ac:dyDescent="0.25">
      <c r="A65" t="s">
        <v>833</v>
      </c>
    </row>
    <row r="67" spans="1:9" ht="48" customHeight="1" x14ac:dyDescent="0.25">
      <c r="A67" s="166" t="s">
        <v>835</v>
      </c>
      <c r="B67" s="166"/>
      <c r="C67" s="166"/>
      <c r="D67" s="166"/>
      <c r="E67" s="166"/>
      <c r="F67" s="166"/>
      <c r="G67" s="166"/>
      <c r="H67" s="166"/>
      <c r="I67" s="166"/>
    </row>
    <row r="69" spans="1:9" x14ac:dyDescent="0.25">
      <c r="A69" s="144" t="s">
        <v>129</v>
      </c>
      <c r="B69" s="140" t="s">
        <v>480</v>
      </c>
      <c r="C69" s="140"/>
      <c r="D69" s="140"/>
    </row>
    <row r="70" spans="1:9" x14ac:dyDescent="0.25">
      <c r="A70" s="144"/>
      <c r="B70" s="5" t="s">
        <v>33</v>
      </c>
      <c r="C70" s="5" t="s">
        <v>592</v>
      </c>
      <c r="D70" s="5" t="s">
        <v>664</v>
      </c>
    </row>
    <row r="71" spans="1:9" x14ac:dyDescent="0.25">
      <c r="A71" s="1" t="s">
        <v>823</v>
      </c>
      <c r="B71" s="116">
        <f>(C48+C49+C50+C51+C53+C55+C57)/7</f>
        <v>0</v>
      </c>
      <c r="C71" s="116">
        <f t="shared" ref="C71:D71" si="0">(D48+D49+D50+D51+D53+D55+D57)/7</f>
        <v>0</v>
      </c>
      <c r="D71" s="116">
        <f t="shared" si="0"/>
        <v>0</v>
      </c>
    </row>
  </sheetData>
  <mergeCells count="14">
    <mergeCell ref="A24:G24"/>
    <mergeCell ref="C5:E5"/>
    <mergeCell ref="A5:A6"/>
    <mergeCell ref="B5:B6"/>
    <mergeCell ref="B69:D69"/>
    <mergeCell ref="A69:A70"/>
    <mergeCell ref="A67:I67"/>
    <mergeCell ref="A26:A27"/>
    <mergeCell ref="B26:B27"/>
    <mergeCell ref="A46:A47"/>
    <mergeCell ref="B46:B47"/>
    <mergeCell ref="C46:E46"/>
    <mergeCell ref="C26:C27"/>
    <mergeCell ref="D26:F2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C03CB-1DAB-467D-9C8E-1CAF0FF93306}">
  <sheetPr>
    <tabColor theme="8"/>
  </sheetPr>
  <dimension ref="A1:AB124"/>
  <sheetViews>
    <sheetView zoomScale="85" zoomScaleNormal="85" workbookViewId="0">
      <selection activeCell="C95" sqref="C95"/>
    </sheetView>
  </sheetViews>
  <sheetFormatPr baseColWidth="10" defaultColWidth="11.42578125" defaultRowHeight="15" x14ac:dyDescent="0.25"/>
  <cols>
    <col min="1" max="1" width="24.7109375" customWidth="1"/>
    <col min="2" max="2" width="22.28515625" customWidth="1"/>
    <col min="3" max="3" width="8.28515625" customWidth="1"/>
    <col min="4" max="4" width="9" customWidth="1"/>
    <col min="5" max="5" width="6.85546875" customWidth="1"/>
    <col min="6" max="6" width="14.7109375" bestFit="1" customWidth="1"/>
    <col min="7" max="7" width="15.85546875" customWidth="1"/>
    <col min="8" max="8" width="13.28515625" bestFit="1" customWidth="1"/>
    <col min="9" max="9" width="9.5703125" customWidth="1"/>
    <col min="10" max="10" width="15.28515625" customWidth="1"/>
    <col min="11" max="11" width="9" customWidth="1"/>
    <col min="12" max="12" width="10" customWidth="1"/>
    <col min="13" max="13" width="9.7109375" bestFit="1" customWidth="1"/>
    <col min="14" max="14" width="7" bestFit="1" customWidth="1"/>
    <col min="15" max="15" width="9.7109375" bestFit="1" customWidth="1"/>
    <col min="16" max="16" width="7.42578125" bestFit="1" customWidth="1"/>
    <col min="17" max="17" width="15.5703125" customWidth="1"/>
    <col min="18" max="18" width="17.85546875" customWidth="1"/>
    <col min="19" max="19" width="7.28515625" customWidth="1"/>
    <col min="20" max="20" width="9" customWidth="1"/>
    <col min="21" max="21" width="13.85546875" bestFit="1" customWidth="1"/>
    <col min="22" max="22" width="11.7109375" bestFit="1" customWidth="1"/>
    <col min="23" max="23" width="13" bestFit="1" customWidth="1"/>
    <col min="24" max="24" width="14" bestFit="1" customWidth="1"/>
    <col min="25" max="25" width="10.140625" bestFit="1" customWidth="1"/>
    <col min="26" max="26" width="10.28515625" bestFit="1" customWidth="1"/>
    <col min="27" max="27" width="32" customWidth="1"/>
    <col min="28" max="28" width="12.28515625" bestFit="1" customWidth="1"/>
    <col min="29" max="29" width="11.7109375" bestFit="1" customWidth="1"/>
    <col min="30" max="30" width="10.28515625" bestFit="1" customWidth="1"/>
    <col min="31" max="31" width="13.28515625" bestFit="1" customWidth="1"/>
    <col min="32" max="32" width="7.5703125" bestFit="1" customWidth="1"/>
    <col min="33" max="33" width="13.7109375" bestFit="1" customWidth="1"/>
    <col min="34" max="34" width="10.7109375" bestFit="1" customWidth="1"/>
    <col min="35" max="35" width="11.85546875" bestFit="1" customWidth="1"/>
    <col min="36" max="36" width="11.28515625" bestFit="1" customWidth="1"/>
    <col min="37" max="37" width="17.28515625" bestFit="1" customWidth="1"/>
    <col min="38" max="38" width="11.140625" bestFit="1" customWidth="1"/>
    <col min="39" max="39" width="13" bestFit="1" customWidth="1"/>
    <col min="40" max="40" width="9.28515625" bestFit="1" customWidth="1"/>
    <col min="41" max="41" width="11.7109375" bestFit="1" customWidth="1"/>
    <col min="42" max="42" width="8.28515625" bestFit="1" customWidth="1"/>
    <col min="43" max="43" width="7.42578125" bestFit="1" customWidth="1"/>
    <col min="44" max="44" width="11.7109375" bestFit="1" customWidth="1"/>
  </cols>
  <sheetData>
    <row r="1" spans="1:20" x14ac:dyDescent="0.25">
      <c r="A1" s="126" t="s">
        <v>231</v>
      </c>
      <c r="B1" s="126"/>
      <c r="C1" s="126"/>
      <c r="D1" s="126"/>
    </row>
    <row r="2" spans="1:20" x14ac:dyDescent="0.25">
      <c r="A2" s="30"/>
      <c r="B2" s="30"/>
      <c r="C2" s="30"/>
      <c r="L2" s="34" t="s">
        <v>232</v>
      </c>
    </row>
    <row r="3" spans="1:20" x14ac:dyDescent="0.25">
      <c r="A3" s="34" t="s">
        <v>233</v>
      </c>
      <c r="B3" s="30"/>
      <c r="C3" s="30"/>
    </row>
    <row r="4" spans="1:20" x14ac:dyDescent="0.25">
      <c r="A4" s="34" t="s">
        <v>234</v>
      </c>
      <c r="B4" s="30"/>
      <c r="C4" s="30"/>
      <c r="M4" t="s">
        <v>235</v>
      </c>
    </row>
    <row r="5" spans="1:20" ht="26.25" customHeight="1" x14ac:dyDescent="0.25">
      <c r="A5" s="166" t="s">
        <v>236</v>
      </c>
      <c r="B5" s="166"/>
      <c r="C5" s="166"/>
      <c r="D5" s="166"/>
      <c r="E5" s="166"/>
      <c r="F5" s="166"/>
      <c r="G5" s="166"/>
      <c r="L5" s="30" t="s">
        <v>237</v>
      </c>
      <c r="M5" s="30">
        <v>1</v>
      </c>
      <c r="N5" s="30">
        <v>2</v>
      </c>
      <c r="O5" s="30">
        <v>3</v>
      </c>
      <c r="P5" s="30">
        <v>4</v>
      </c>
      <c r="R5" s="30" t="s">
        <v>238</v>
      </c>
      <c r="S5" s="30" t="s">
        <v>239</v>
      </c>
      <c r="T5" s="30" t="s">
        <v>240</v>
      </c>
    </row>
    <row r="6" spans="1:20" x14ac:dyDescent="0.25">
      <c r="A6" s="34" t="s">
        <v>241</v>
      </c>
      <c r="B6" s="30"/>
      <c r="C6" s="30"/>
      <c r="L6" s="29" t="s">
        <v>242</v>
      </c>
      <c r="M6" t="s">
        <v>243</v>
      </c>
      <c r="N6" t="s">
        <v>244</v>
      </c>
      <c r="O6" t="s">
        <v>245</v>
      </c>
      <c r="P6" t="s">
        <v>246</v>
      </c>
      <c r="R6" t="s">
        <v>247</v>
      </c>
      <c r="S6" t="s">
        <v>248</v>
      </c>
    </row>
    <row r="7" spans="1:20" x14ac:dyDescent="0.25">
      <c r="A7" s="34" t="s">
        <v>249</v>
      </c>
      <c r="B7" s="30"/>
      <c r="C7" s="30"/>
      <c r="L7" s="29" t="s">
        <v>250</v>
      </c>
      <c r="M7" t="s">
        <v>251</v>
      </c>
      <c r="N7">
        <v>9</v>
      </c>
      <c r="O7">
        <v>10</v>
      </c>
      <c r="P7" t="s">
        <v>252</v>
      </c>
      <c r="R7" t="s">
        <v>253</v>
      </c>
      <c r="S7" t="s">
        <v>254</v>
      </c>
    </row>
    <row r="8" spans="1:20" x14ac:dyDescent="0.25">
      <c r="A8" s="34" t="s">
        <v>232</v>
      </c>
      <c r="B8" s="30"/>
      <c r="C8" s="30"/>
      <c r="L8" s="29" t="s">
        <v>255</v>
      </c>
      <c r="R8" t="s">
        <v>256</v>
      </c>
      <c r="S8" t="s">
        <v>257</v>
      </c>
    </row>
    <row r="9" spans="1:20" x14ac:dyDescent="0.25">
      <c r="A9" s="34" t="s">
        <v>258</v>
      </c>
      <c r="B9" s="30"/>
      <c r="C9" s="30"/>
      <c r="L9" s="29" t="s">
        <v>109</v>
      </c>
      <c r="R9" t="s">
        <v>259</v>
      </c>
      <c r="S9" t="s">
        <v>260</v>
      </c>
    </row>
    <row r="10" spans="1:20" x14ac:dyDescent="0.25">
      <c r="A10" s="34" t="s">
        <v>261</v>
      </c>
      <c r="B10" s="30"/>
      <c r="C10" s="30"/>
      <c r="L10" s="29" t="s">
        <v>113</v>
      </c>
      <c r="R10" s="31" t="s">
        <v>262</v>
      </c>
      <c r="S10" t="s">
        <v>263</v>
      </c>
    </row>
    <row r="11" spans="1:20" x14ac:dyDescent="0.25">
      <c r="L11" s="29" t="s">
        <v>119</v>
      </c>
    </row>
    <row r="12" spans="1:20" x14ac:dyDescent="0.25">
      <c r="C12" s="30"/>
      <c r="D12" s="30"/>
      <c r="L12" s="29" t="s">
        <v>116</v>
      </c>
      <c r="R12" s="32" t="s">
        <v>238</v>
      </c>
      <c r="S12" s="32" t="s">
        <v>239</v>
      </c>
      <c r="T12" s="32" t="s">
        <v>264</v>
      </c>
    </row>
    <row r="13" spans="1:20" x14ac:dyDescent="0.25">
      <c r="B13" s="34"/>
      <c r="C13" s="30"/>
      <c r="D13" s="30"/>
      <c r="L13" s="29" t="s">
        <v>115</v>
      </c>
      <c r="R13" t="s">
        <v>265</v>
      </c>
      <c r="S13" t="s">
        <v>266</v>
      </c>
    </row>
    <row r="14" spans="1:20" x14ac:dyDescent="0.25">
      <c r="A14" s="34" t="s">
        <v>241</v>
      </c>
      <c r="L14" s="29" t="s">
        <v>267</v>
      </c>
      <c r="R14" t="s">
        <v>268</v>
      </c>
      <c r="S14" t="s">
        <v>269</v>
      </c>
    </row>
    <row r="15" spans="1:20" ht="41.45" customHeight="1" x14ac:dyDescent="0.25">
      <c r="A15" s="42" t="s">
        <v>270</v>
      </c>
      <c r="B15" s="42" t="s">
        <v>271</v>
      </c>
      <c r="C15" s="42" t="s">
        <v>272</v>
      </c>
      <c r="D15" s="118" t="s">
        <v>273</v>
      </c>
      <c r="E15" s="118"/>
      <c r="F15" s="118"/>
      <c r="G15" s="52" t="s">
        <v>274</v>
      </c>
      <c r="H15" s="43"/>
      <c r="I15" s="43"/>
      <c r="R15" t="s">
        <v>275</v>
      </c>
      <c r="S15" t="s">
        <v>276</v>
      </c>
    </row>
    <row r="16" spans="1:20" x14ac:dyDescent="0.25">
      <c r="A16" s="117" t="s">
        <v>277</v>
      </c>
      <c r="B16" s="19" t="s">
        <v>278</v>
      </c>
      <c r="C16" s="19" t="s">
        <v>242</v>
      </c>
      <c r="D16" s="117" t="s">
        <v>279</v>
      </c>
      <c r="E16" s="117"/>
      <c r="F16" s="117"/>
      <c r="G16" s="33" t="s">
        <v>280</v>
      </c>
      <c r="R16" t="s">
        <v>281</v>
      </c>
      <c r="S16" t="s">
        <v>282</v>
      </c>
    </row>
    <row r="17" spans="1:7" x14ac:dyDescent="0.25">
      <c r="A17" s="117"/>
      <c r="B17" s="19" t="s">
        <v>283</v>
      </c>
      <c r="C17" s="19" t="s">
        <v>250</v>
      </c>
      <c r="D17" s="117" t="s">
        <v>284</v>
      </c>
      <c r="E17" s="117"/>
      <c r="F17" s="117"/>
      <c r="G17" s="33" t="s">
        <v>280</v>
      </c>
    </row>
    <row r="18" spans="1:7" x14ac:dyDescent="0.25">
      <c r="A18" s="117"/>
      <c r="B18" s="51" t="s">
        <v>285</v>
      </c>
      <c r="C18" s="19"/>
      <c r="D18" s="117" t="s">
        <v>286</v>
      </c>
      <c r="E18" s="117"/>
      <c r="F18" s="117"/>
      <c r="G18" s="33"/>
    </row>
    <row r="19" spans="1:7" ht="45" x14ac:dyDescent="0.25">
      <c r="A19" s="33" t="s">
        <v>287</v>
      </c>
      <c r="B19" s="19" t="s">
        <v>288</v>
      </c>
      <c r="C19" s="19"/>
      <c r="D19" s="117" t="s">
        <v>289</v>
      </c>
      <c r="E19" s="117"/>
      <c r="F19" s="117"/>
      <c r="G19" s="33" t="s">
        <v>290</v>
      </c>
    </row>
    <row r="20" spans="1:7" ht="47.45" customHeight="1" x14ac:dyDescent="0.25">
      <c r="A20" s="33" t="s">
        <v>291</v>
      </c>
      <c r="B20" s="19" t="s">
        <v>292</v>
      </c>
      <c r="C20" s="19" t="s">
        <v>293</v>
      </c>
      <c r="D20" s="117" t="s">
        <v>294</v>
      </c>
      <c r="E20" s="117"/>
      <c r="F20" s="117"/>
      <c r="G20" s="33" t="s">
        <v>280</v>
      </c>
    </row>
    <row r="21" spans="1:7" ht="47.45" customHeight="1" x14ac:dyDescent="0.25">
      <c r="A21" s="120" t="s">
        <v>295</v>
      </c>
      <c r="B21" s="19" t="s">
        <v>296</v>
      </c>
      <c r="C21" s="19" t="s">
        <v>297</v>
      </c>
      <c r="D21" s="117" t="s">
        <v>298</v>
      </c>
      <c r="E21" s="117"/>
      <c r="F21" s="117"/>
      <c r="G21" s="33" t="s">
        <v>299</v>
      </c>
    </row>
    <row r="22" spans="1:7" ht="47.45" customHeight="1" x14ac:dyDescent="0.25">
      <c r="A22" s="120"/>
      <c r="B22" s="19" t="s">
        <v>300</v>
      </c>
      <c r="C22" s="19" t="s">
        <v>301</v>
      </c>
      <c r="D22" s="117" t="s">
        <v>302</v>
      </c>
      <c r="E22" s="117"/>
      <c r="F22" s="117"/>
      <c r="G22" s="33" t="s">
        <v>303</v>
      </c>
    </row>
    <row r="23" spans="1:7" ht="47.45" customHeight="1" x14ac:dyDescent="0.25">
      <c r="A23" s="120"/>
      <c r="B23" s="19" t="s">
        <v>304</v>
      </c>
      <c r="C23" s="19" t="s">
        <v>305</v>
      </c>
      <c r="D23" s="117" t="s">
        <v>306</v>
      </c>
      <c r="E23" s="117"/>
      <c r="F23" s="117"/>
      <c r="G23" s="33" t="s">
        <v>303</v>
      </c>
    </row>
    <row r="24" spans="1:7" ht="47.45" customHeight="1" x14ac:dyDescent="0.25">
      <c r="A24" s="120"/>
      <c r="B24" s="19" t="s">
        <v>125</v>
      </c>
      <c r="C24" s="19" t="s">
        <v>121</v>
      </c>
      <c r="D24" s="174" t="s">
        <v>307</v>
      </c>
      <c r="E24" s="175"/>
      <c r="F24" s="176"/>
      <c r="G24" s="33" t="s">
        <v>303</v>
      </c>
    </row>
    <row r="25" spans="1:7" ht="47.45" customHeight="1" x14ac:dyDescent="0.25">
      <c r="A25" s="120"/>
      <c r="B25" s="19" t="s">
        <v>308</v>
      </c>
      <c r="C25" s="19" t="s">
        <v>309</v>
      </c>
      <c r="D25" s="117" t="s">
        <v>310</v>
      </c>
      <c r="E25" s="117"/>
      <c r="F25" s="117"/>
      <c r="G25" s="33" t="s">
        <v>303</v>
      </c>
    </row>
    <row r="26" spans="1:7" ht="30" x14ac:dyDescent="0.25">
      <c r="A26" s="41" t="s">
        <v>311</v>
      </c>
      <c r="B26" s="18" t="s">
        <v>312</v>
      </c>
      <c r="C26" s="19" t="s">
        <v>313</v>
      </c>
      <c r="D26" s="117" t="s">
        <v>314</v>
      </c>
      <c r="E26" s="117"/>
      <c r="F26" s="117"/>
      <c r="G26" s="33" t="s">
        <v>315</v>
      </c>
    </row>
    <row r="27" spans="1:7" x14ac:dyDescent="0.25">
      <c r="A27" s="41" t="s">
        <v>316</v>
      </c>
      <c r="B27" s="19" t="s">
        <v>317</v>
      </c>
      <c r="C27" s="19"/>
      <c r="D27" s="117" t="s">
        <v>318</v>
      </c>
      <c r="E27" s="117"/>
      <c r="F27" s="117"/>
      <c r="G27" s="33" t="s">
        <v>280</v>
      </c>
    </row>
    <row r="31" spans="1:7" x14ac:dyDescent="0.25">
      <c r="A31" s="34" t="s">
        <v>249</v>
      </c>
    </row>
    <row r="33" spans="1:28" x14ac:dyDescent="0.25">
      <c r="A33" t="s">
        <v>319</v>
      </c>
      <c r="I33" t="s">
        <v>320</v>
      </c>
      <c r="Q33" t="s">
        <v>321</v>
      </c>
      <c r="X33" t="s">
        <v>322</v>
      </c>
    </row>
    <row r="35" spans="1:28" x14ac:dyDescent="0.25">
      <c r="A35" s="118" t="s">
        <v>30</v>
      </c>
      <c r="B35" s="118" t="s">
        <v>31</v>
      </c>
      <c r="C35" s="118" t="s">
        <v>29</v>
      </c>
      <c r="D35" s="118"/>
      <c r="E35" s="118"/>
      <c r="F35" s="118" t="s">
        <v>323</v>
      </c>
      <c r="G35" s="118" t="s">
        <v>324</v>
      </c>
      <c r="I35" s="148" t="s">
        <v>103</v>
      </c>
      <c r="J35" s="172" t="s">
        <v>100</v>
      </c>
      <c r="K35" s="172" t="s">
        <v>29</v>
      </c>
      <c r="L35" s="172"/>
      <c r="M35" s="172"/>
      <c r="N35" s="173" t="s">
        <v>325</v>
      </c>
      <c r="Q35" s="118" t="s">
        <v>30</v>
      </c>
      <c r="R35" s="118" t="s">
        <v>31</v>
      </c>
      <c r="S35" s="118" t="s">
        <v>29</v>
      </c>
      <c r="T35" s="118"/>
      <c r="U35" s="118"/>
      <c r="V35" s="118" t="s">
        <v>324</v>
      </c>
      <c r="X35" s="50" t="s">
        <v>326</v>
      </c>
      <c r="Y35" s="50" t="s">
        <v>327</v>
      </c>
      <c r="Z35" s="50" t="s">
        <v>324</v>
      </c>
      <c r="AA35" s="50" t="s">
        <v>328</v>
      </c>
      <c r="AB35" s="50" t="s">
        <v>264</v>
      </c>
    </row>
    <row r="36" spans="1:28" ht="30" x14ac:dyDescent="0.25">
      <c r="A36" s="118"/>
      <c r="B36" s="118"/>
      <c r="C36" s="42" t="s">
        <v>32</v>
      </c>
      <c r="D36" s="42" t="s">
        <v>33</v>
      </c>
      <c r="E36" s="42" t="s">
        <v>34</v>
      </c>
      <c r="F36" s="118"/>
      <c r="G36" s="118"/>
      <c r="I36" s="148"/>
      <c r="J36" s="172"/>
      <c r="K36" s="44" t="s">
        <v>32</v>
      </c>
      <c r="L36" s="44" t="s">
        <v>33</v>
      </c>
      <c r="M36" s="44" t="s">
        <v>34</v>
      </c>
      <c r="N36" s="173"/>
      <c r="Q36" s="118"/>
      <c r="R36" s="118"/>
      <c r="S36" s="42" t="s">
        <v>32</v>
      </c>
      <c r="T36" s="42" t="s">
        <v>33</v>
      </c>
      <c r="U36" s="42" t="s">
        <v>34</v>
      </c>
      <c r="V36" s="118"/>
      <c r="X36" s="19" t="s">
        <v>329</v>
      </c>
      <c r="Y36" s="19" t="s">
        <v>330</v>
      </c>
      <c r="Z36" s="18" t="s">
        <v>331</v>
      </c>
      <c r="AA36" s="18" t="s">
        <v>332</v>
      </c>
      <c r="AB36" s="45"/>
    </row>
    <row r="37" spans="1:28" x14ac:dyDescent="0.25">
      <c r="A37" s="19" t="s">
        <v>36</v>
      </c>
      <c r="B37" s="1" t="s">
        <v>37</v>
      </c>
      <c r="C37" s="1">
        <v>102</v>
      </c>
      <c r="D37" s="1">
        <v>28</v>
      </c>
      <c r="E37" s="1">
        <v>127</v>
      </c>
      <c r="F37" s="1">
        <f>+SUM(C37:E37)</f>
        <v>257</v>
      </c>
      <c r="G37" s="1">
        <v>6</v>
      </c>
      <c r="I37" s="1" t="s">
        <v>109</v>
      </c>
      <c r="J37" s="1" t="s">
        <v>122</v>
      </c>
      <c r="K37" s="1">
        <v>90</v>
      </c>
      <c r="L37" s="1">
        <v>82</v>
      </c>
      <c r="M37" s="1">
        <v>55</v>
      </c>
      <c r="N37" s="1">
        <f>SUM(K37:M37)</f>
        <v>227</v>
      </c>
      <c r="Q37" s="19" t="s">
        <v>36</v>
      </c>
      <c r="R37" s="1" t="s">
        <v>37</v>
      </c>
      <c r="S37" s="1">
        <v>102</v>
      </c>
      <c r="T37" s="1">
        <v>28</v>
      </c>
      <c r="U37" s="1">
        <v>127</v>
      </c>
      <c r="V37" s="1">
        <v>6</v>
      </c>
      <c r="X37" s="19" t="s">
        <v>333</v>
      </c>
      <c r="Y37" s="19" t="s">
        <v>334</v>
      </c>
      <c r="Z37" s="19" t="s">
        <v>335</v>
      </c>
      <c r="AA37" s="19" t="s">
        <v>336</v>
      </c>
      <c r="AB37" s="46"/>
    </row>
    <row r="38" spans="1:28" x14ac:dyDescent="0.25">
      <c r="A38" s="19" t="s">
        <v>36</v>
      </c>
      <c r="B38" s="1" t="s">
        <v>38</v>
      </c>
      <c r="C38" s="1">
        <v>4</v>
      </c>
      <c r="D38" s="1"/>
      <c r="E38" s="1">
        <v>5</v>
      </c>
      <c r="F38" s="1">
        <f t="shared" ref="F38:F77" si="0">+SUM(C38:E38)</f>
        <v>9</v>
      </c>
      <c r="G38" s="1">
        <v>10</v>
      </c>
      <c r="I38" s="1" t="s">
        <v>109</v>
      </c>
      <c r="J38" s="1" t="s">
        <v>108</v>
      </c>
      <c r="K38" s="1">
        <v>159</v>
      </c>
      <c r="L38" s="1">
        <v>6</v>
      </c>
      <c r="M38" s="1">
        <v>8</v>
      </c>
      <c r="N38" s="1">
        <f t="shared" ref="N38:N74" si="1">SUM(K38:M38)</f>
        <v>173</v>
      </c>
      <c r="Q38" s="19" t="s">
        <v>36</v>
      </c>
      <c r="R38" s="1" t="s">
        <v>38</v>
      </c>
      <c r="S38" s="1">
        <v>4</v>
      </c>
      <c r="T38" s="1"/>
      <c r="U38" s="1">
        <v>5</v>
      </c>
      <c r="V38" s="1">
        <v>10</v>
      </c>
      <c r="X38" s="19" t="s">
        <v>337</v>
      </c>
      <c r="Y38" s="19" t="s">
        <v>338</v>
      </c>
      <c r="Z38" s="19" t="s">
        <v>339</v>
      </c>
      <c r="AA38" s="19" t="s">
        <v>340</v>
      </c>
      <c r="AB38" s="47"/>
    </row>
    <row r="39" spans="1:28" x14ac:dyDescent="0.25">
      <c r="A39" s="19" t="s">
        <v>36</v>
      </c>
      <c r="B39" s="1" t="s">
        <v>39</v>
      </c>
      <c r="C39" s="1">
        <v>7</v>
      </c>
      <c r="D39" s="1"/>
      <c r="E39" s="1">
        <v>6</v>
      </c>
      <c r="F39" s="1">
        <f t="shared" si="0"/>
        <v>13</v>
      </c>
      <c r="G39" s="1">
        <v>10</v>
      </c>
      <c r="I39" s="1" t="s">
        <v>109</v>
      </c>
      <c r="J39" s="1" t="s">
        <v>161</v>
      </c>
      <c r="K39" s="1"/>
      <c r="L39" s="1">
        <v>268</v>
      </c>
      <c r="M39" s="1">
        <v>1</v>
      </c>
      <c r="N39" s="1">
        <f t="shared" si="1"/>
        <v>269</v>
      </c>
      <c r="Q39" s="19" t="s">
        <v>36</v>
      </c>
      <c r="R39" s="1" t="s">
        <v>39</v>
      </c>
      <c r="S39" s="1">
        <v>7</v>
      </c>
      <c r="T39" s="1"/>
      <c r="U39" s="1">
        <v>6</v>
      </c>
      <c r="V39" s="1">
        <v>10</v>
      </c>
      <c r="X39" s="19" t="s">
        <v>341</v>
      </c>
      <c r="Y39" s="19" t="s">
        <v>342</v>
      </c>
      <c r="Z39" s="19" t="s">
        <v>343</v>
      </c>
      <c r="AA39" s="19" t="s">
        <v>344</v>
      </c>
      <c r="AB39" s="48"/>
    </row>
    <row r="40" spans="1:28" x14ac:dyDescent="0.25">
      <c r="A40" s="19" t="s">
        <v>36</v>
      </c>
      <c r="B40" s="1" t="s">
        <v>40</v>
      </c>
      <c r="C40" s="1"/>
      <c r="D40" s="1">
        <v>1</v>
      </c>
      <c r="E40" s="1">
        <v>2</v>
      </c>
      <c r="F40" s="1">
        <f t="shared" si="0"/>
        <v>3</v>
      </c>
      <c r="G40" s="1">
        <v>6</v>
      </c>
      <c r="I40" s="1" t="s">
        <v>109</v>
      </c>
      <c r="J40" s="1" t="s">
        <v>154</v>
      </c>
      <c r="K40" s="1"/>
      <c r="L40" s="1"/>
      <c r="M40" s="1">
        <v>1</v>
      </c>
      <c r="N40" s="1">
        <f t="shared" si="1"/>
        <v>1</v>
      </c>
      <c r="Q40" s="19" t="s">
        <v>36</v>
      </c>
      <c r="R40" s="1" t="s">
        <v>40</v>
      </c>
      <c r="S40" s="1"/>
      <c r="T40" s="1">
        <v>1</v>
      </c>
      <c r="U40" s="1">
        <v>2</v>
      </c>
      <c r="V40" s="1">
        <v>6</v>
      </c>
      <c r="X40" s="19" t="s">
        <v>345</v>
      </c>
      <c r="Y40" s="19" t="s">
        <v>346</v>
      </c>
      <c r="Z40" s="19" t="s">
        <v>347</v>
      </c>
      <c r="AA40" s="19" t="s">
        <v>348</v>
      </c>
      <c r="AB40" s="49"/>
    </row>
    <row r="41" spans="1:28" x14ac:dyDescent="0.25">
      <c r="A41" s="1" t="s">
        <v>41</v>
      </c>
      <c r="B41" s="1" t="s">
        <v>42</v>
      </c>
      <c r="C41" s="1"/>
      <c r="D41" s="1">
        <v>268</v>
      </c>
      <c r="E41" s="1">
        <v>1</v>
      </c>
      <c r="F41" s="1">
        <f t="shared" si="0"/>
        <v>269</v>
      </c>
      <c r="G41" s="1"/>
      <c r="I41" s="1" t="s">
        <v>109</v>
      </c>
      <c r="J41" s="1" t="s">
        <v>114</v>
      </c>
      <c r="K41" s="1">
        <v>180</v>
      </c>
      <c r="L41" s="1">
        <v>23</v>
      </c>
      <c r="M41" s="1">
        <v>146</v>
      </c>
      <c r="N41" s="1">
        <f t="shared" si="1"/>
        <v>349</v>
      </c>
      <c r="Q41" s="1" t="s">
        <v>41</v>
      </c>
      <c r="R41" s="1" t="s">
        <v>42</v>
      </c>
      <c r="S41" s="1"/>
      <c r="T41" s="1">
        <v>268</v>
      </c>
      <c r="U41" s="1">
        <v>1</v>
      </c>
      <c r="V41" s="1"/>
    </row>
    <row r="42" spans="1:28" x14ac:dyDescent="0.25">
      <c r="A42" s="1" t="s">
        <v>41</v>
      </c>
      <c r="B42" s="1" t="s">
        <v>43</v>
      </c>
      <c r="C42" s="1">
        <v>1</v>
      </c>
      <c r="D42" s="1">
        <v>1</v>
      </c>
      <c r="E42" s="1"/>
      <c r="F42" s="1">
        <f t="shared" si="0"/>
        <v>2</v>
      </c>
      <c r="G42" s="1">
        <v>8</v>
      </c>
      <c r="I42" s="1" t="s">
        <v>109</v>
      </c>
      <c r="J42" s="1" t="s">
        <v>180</v>
      </c>
      <c r="K42" s="1"/>
      <c r="L42" s="1">
        <v>1</v>
      </c>
      <c r="M42" s="1"/>
      <c r="N42" s="1">
        <f t="shared" si="1"/>
        <v>1</v>
      </c>
      <c r="Q42" s="1" t="s">
        <v>41</v>
      </c>
      <c r="R42" s="1" t="s">
        <v>43</v>
      </c>
      <c r="S42" s="1">
        <v>1</v>
      </c>
      <c r="T42" s="1">
        <v>1</v>
      </c>
      <c r="U42" s="1"/>
      <c r="V42" s="1">
        <v>8</v>
      </c>
    </row>
    <row r="43" spans="1:28" x14ac:dyDescent="0.25">
      <c r="A43" s="1" t="s">
        <v>44</v>
      </c>
      <c r="B43" s="1" t="s">
        <v>45</v>
      </c>
      <c r="C43" s="1">
        <v>1</v>
      </c>
      <c r="D43" s="1"/>
      <c r="E43" s="1"/>
      <c r="F43" s="1">
        <f t="shared" si="0"/>
        <v>1</v>
      </c>
      <c r="G43" s="1">
        <v>10</v>
      </c>
      <c r="I43" s="1" t="s">
        <v>109</v>
      </c>
      <c r="J43" s="1" t="s">
        <v>170</v>
      </c>
      <c r="K43" s="1">
        <v>1</v>
      </c>
      <c r="L43" s="1"/>
      <c r="M43" s="1"/>
      <c r="N43" s="1">
        <f t="shared" si="1"/>
        <v>1</v>
      </c>
      <c r="Q43" s="1" t="s">
        <v>44</v>
      </c>
      <c r="R43" s="1" t="s">
        <v>45</v>
      </c>
      <c r="S43" s="1">
        <v>1</v>
      </c>
      <c r="T43" s="1"/>
      <c r="U43" s="1"/>
      <c r="V43" s="1">
        <v>10</v>
      </c>
    </row>
    <row r="44" spans="1:28" x14ac:dyDescent="0.25">
      <c r="A44" s="1" t="s">
        <v>44</v>
      </c>
      <c r="B44" s="1" t="s">
        <v>46</v>
      </c>
      <c r="C44" s="1">
        <v>3</v>
      </c>
      <c r="D44" s="1">
        <v>1</v>
      </c>
      <c r="E44" s="1"/>
      <c r="F44" s="1">
        <f t="shared" si="0"/>
        <v>4</v>
      </c>
      <c r="G44" s="1">
        <v>3</v>
      </c>
      <c r="I44" s="1" t="s">
        <v>109</v>
      </c>
      <c r="J44" s="1" t="s">
        <v>157</v>
      </c>
      <c r="K44" s="1"/>
      <c r="L44" s="1">
        <v>2</v>
      </c>
      <c r="M44" s="1">
        <v>1</v>
      </c>
      <c r="N44" s="1">
        <f t="shared" si="1"/>
        <v>3</v>
      </c>
      <c r="Q44" s="1" t="s">
        <v>44</v>
      </c>
      <c r="R44" s="1" t="s">
        <v>46</v>
      </c>
      <c r="S44" s="1">
        <v>3</v>
      </c>
      <c r="T44" s="1">
        <v>1</v>
      </c>
      <c r="U44" s="1"/>
      <c r="V44" s="1">
        <v>3</v>
      </c>
    </row>
    <row r="45" spans="1:28" x14ac:dyDescent="0.25">
      <c r="A45" s="1" t="s">
        <v>44</v>
      </c>
      <c r="B45" s="1" t="s">
        <v>47</v>
      </c>
      <c r="C45" s="1">
        <v>223</v>
      </c>
      <c r="D45" s="1">
        <v>25</v>
      </c>
      <c r="E45" s="1">
        <v>209</v>
      </c>
      <c r="F45" s="1">
        <f t="shared" si="0"/>
        <v>457</v>
      </c>
      <c r="G45" s="1">
        <v>2</v>
      </c>
      <c r="I45" s="1" t="s">
        <v>109</v>
      </c>
      <c r="J45" s="1" t="s">
        <v>128</v>
      </c>
      <c r="K45" s="1">
        <v>93</v>
      </c>
      <c r="L45" s="1">
        <v>27</v>
      </c>
      <c r="M45" s="1">
        <v>120</v>
      </c>
      <c r="N45" s="1">
        <f t="shared" si="1"/>
        <v>240</v>
      </c>
      <c r="Q45" s="1" t="s">
        <v>44</v>
      </c>
      <c r="R45" s="1" t="s">
        <v>47</v>
      </c>
      <c r="S45" s="1">
        <v>223</v>
      </c>
      <c r="T45" s="1">
        <v>25</v>
      </c>
      <c r="U45" s="1">
        <v>209</v>
      </c>
      <c r="V45" s="1">
        <v>2</v>
      </c>
    </row>
    <row r="46" spans="1:28" x14ac:dyDescent="0.25">
      <c r="A46" s="1" t="s">
        <v>44</v>
      </c>
      <c r="B46" s="1" t="s">
        <v>48</v>
      </c>
      <c r="C46" s="1">
        <v>1</v>
      </c>
      <c r="D46" s="1"/>
      <c r="E46" s="1"/>
      <c r="F46" s="1">
        <f t="shared" si="0"/>
        <v>1</v>
      </c>
      <c r="G46" s="1">
        <v>7</v>
      </c>
      <c r="I46" s="1" t="s">
        <v>109</v>
      </c>
      <c r="J46" s="1" t="s">
        <v>187</v>
      </c>
      <c r="K46" s="1"/>
      <c r="L46" s="1">
        <v>1</v>
      </c>
      <c r="M46" s="1"/>
      <c r="N46" s="1">
        <f t="shared" si="1"/>
        <v>1</v>
      </c>
      <c r="Q46" s="1" t="s">
        <v>44</v>
      </c>
      <c r="R46" s="1" t="s">
        <v>48</v>
      </c>
      <c r="S46" s="1">
        <v>1</v>
      </c>
      <c r="T46" s="1"/>
      <c r="U46" s="1"/>
      <c r="V46" s="1">
        <v>7</v>
      </c>
    </row>
    <row r="47" spans="1:28" x14ac:dyDescent="0.25">
      <c r="A47" s="1" t="s">
        <v>44</v>
      </c>
      <c r="B47" s="1" t="s">
        <v>49</v>
      </c>
      <c r="C47" s="1">
        <v>1</v>
      </c>
      <c r="D47" s="1">
        <v>1</v>
      </c>
      <c r="E47" s="1"/>
      <c r="F47" s="1">
        <f t="shared" si="0"/>
        <v>2</v>
      </c>
      <c r="G47" s="1">
        <v>4</v>
      </c>
      <c r="I47" s="1" t="s">
        <v>109</v>
      </c>
      <c r="J47" s="1" t="s">
        <v>168</v>
      </c>
      <c r="K47" s="1">
        <v>7</v>
      </c>
      <c r="L47" s="1">
        <v>25</v>
      </c>
      <c r="M47" s="1"/>
      <c r="N47" s="1">
        <f t="shared" si="1"/>
        <v>32</v>
      </c>
      <c r="Q47" s="1" t="s">
        <v>44</v>
      </c>
      <c r="R47" s="1" t="s">
        <v>49</v>
      </c>
      <c r="S47" s="1">
        <v>1</v>
      </c>
      <c r="T47" s="1">
        <v>1</v>
      </c>
      <c r="U47" s="1"/>
      <c r="V47" s="1">
        <v>4</v>
      </c>
    </row>
    <row r="48" spans="1:28" x14ac:dyDescent="0.25">
      <c r="A48" s="1" t="s">
        <v>44</v>
      </c>
      <c r="B48" s="1" t="s">
        <v>50</v>
      </c>
      <c r="C48" s="1">
        <v>4</v>
      </c>
      <c r="D48" s="1"/>
      <c r="E48" s="1">
        <v>1</v>
      </c>
      <c r="F48" s="1">
        <f t="shared" si="0"/>
        <v>5</v>
      </c>
      <c r="G48" s="1"/>
      <c r="I48" s="1" t="s">
        <v>109</v>
      </c>
      <c r="J48" s="1" t="s">
        <v>153</v>
      </c>
      <c r="K48" s="1">
        <v>2</v>
      </c>
      <c r="L48" s="1"/>
      <c r="M48" s="1">
        <v>4</v>
      </c>
      <c r="N48" s="1">
        <f t="shared" si="1"/>
        <v>6</v>
      </c>
      <c r="Q48" s="1" t="s">
        <v>44</v>
      </c>
      <c r="R48" s="1" t="s">
        <v>50</v>
      </c>
      <c r="S48" s="1">
        <v>4</v>
      </c>
      <c r="T48" s="1"/>
      <c r="U48" s="1">
        <v>1</v>
      </c>
      <c r="V48" s="1"/>
    </row>
    <row r="49" spans="1:22" x14ac:dyDescent="0.25">
      <c r="A49" s="1" t="s">
        <v>44</v>
      </c>
      <c r="B49" s="1" t="s">
        <v>51</v>
      </c>
      <c r="C49" s="1"/>
      <c r="D49" s="1">
        <v>1</v>
      </c>
      <c r="E49" s="1"/>
      <c r="F49" s="1">
        <f t="shared" si="0"/>
        <v>1</v>
      </c>
      <c r="G49" s="1">
        <v>7</v>
      </c>
      <c r="I49" s="1" t="s">
        <v>109</v>
      </c>
      <c r="J49" s="1" t="s">
        <v>144</v>
      </c>
      <c r="K49" s="1">
        <v>6</v>
      </c>
      <c r="L49" s="1"/>
      <c r="M49" s="1">
        <v>1</v>
      </c>
      <c r="N49" s="1">
        <f t="shared" si="1"/>
        <v>7</v>
      </c>
      <c r="Q49" s="1" t="s">
        <v>44</v>
      </c>
      <c r="R49" s="1" t="s">
        <v>51</v>
      </c>
      <c r="S49" s="1"/>
      <c r="T49" s="1">
        <v>1</v>
      </c>
      <c r="U49" s="1"/>
      <c r="V49" s="1">
        <v>7</v>
      </c>
    </row>
    <row r="50" spans="1:22" x14ac:dyDescent="0.25">
      <c r="A50" s="1" t="s">
        <v>44</v>
      </c>
      <c r="B50" s="1" t="s">
        <v>52</v>
      </c>
      <c r="C50" s="1">
        <v>5</v>
      </c>
      <c r="D50" s="1">
        <v>19</v>
      </c>
      <c r="E50" s="1">
        <v>43</v>
      </c>
      <c r="F50" s="1">
        <f t="shared" si="0"/>
        <v>67</v>
      </c>
      <c r="G50" s="1">
        <v>8</v>
      </c>
      <c r="I50" s="1" t="s">
        <v>109</v>
      </c>
      <c r="J50" s="1" t="s">
        <v>150</v>
      </c>
      <c r="K50" s="1">
        <v>7</v>
      </c>
      <c r="L50" s="1"/>
      <c r="M50" s="1">
        <v>1</v>
      </c>
      <c r="N50" s="1">
        <f t="shared" si="1"/>
        <v>8</v>
      </c>
      <c r="Q50" s="1" t="s">
        <v>44</v>
      </c>
      <c r="R50" s="1" t="s">
        <v>52</v>
      </c>
      <c r="S50" s="1">
        <v>5</v>
      </c>
      <c r="T50" s="1">
        <v>19</v>
      </c>
      <c r="U50" s="1">
        <v>43</v>
      </c>
      <c r="V50" s="1">
        <v>8</v>
      </c>
    </row>
    <row r="51" spans="1:22" x14ac:dyDescent="0.25">
      <c r="A51" s="1" t="s">
        <v>44</v>
      </c>
      <c r="B51" s="1" t="s">
        <v>53</v>
      </c>
      <c r="C51" s="1">
        <v>1</v>
      </c>
      <c r="D51" s="1"/>
      <c r="E51" s="1"/>
      <c r="F51" s="1">
        <f t="shared" si="0"/>
        <v>1</v>
      </c>
      <c r="G51" s="1">
        <v>3</v>
      </c>
      <c r="I51" s="1" t="s">
        <v>109</v>
      </c>
      <c r="J51" s="1" t="s">
        <v>181</v>
      </c>
      <c r="K51" s="1"/>
      <c r="L51" s="1">
        <v>1</v>
      </c>
      <c r="M51" s="1"/>
      <c r="N51" s="1">
        <f t="shared" si="1"/>
        <v>1</v>
      </c>
      <c r="Q51" s="1" t="s">
        <v>44</v>
      </c>
      <c r="R51" s="1" t="s">
        <v>53</v>
      </c>
      <c r="S51" s="1">
        <v>1</v>
      </c>
      <c r="T51" s="1"/>
      <c r="U51" s="1"/>
      <c r="V51" s="1">
        <v>3</v>
      </c>
    </row>
    <row r="52" spans="1:22" x14ac:dyDescent="0.25">
      <c r="A52" s="1" t="s">
        <v>54</v>
      </c>
      <c r="B52" s="1" t="s">
        <v>55</v>
      </c>
      <c r="C52" s="1">
        <v>153</v>
      </c>
      <c r="D52" s="1">
        <v>84</v>
      </c>
      <c r="E52" s="1">
        <v>136</v>
      </c>
      <c r="F52" s="1">
        <f t="shared" si="0"/>
        <v>373</v>
      </c>
      <c r="G52" s="1">
        <v>7</v>
      </c>
      <c r="I52" s="1" t="s">
        <v>109</v>
      </c>
      <c r="J52" s="1" t="s">
        <v>160</v>
      </c>
      <c r="K52" s="1">
        <v>6</v>
      </c>
      <c r="L52" s="1"/>
      <c r="M52" s="1">
        <v>3</v>
      </c>
      <c r="N52" s="1">
        <f t="shared" si="1"/>
        <v>9</v>
      </c>
      <c r="Q52" s="1" t="s">
        <v>54</v>
      </c>
      <c r="R52" s="1" t="s">
        <v>55</v>
      </c>
      <c r="S52" s="1">
        <v>153</v>
      </c>
      <c r="T52" s="1">
        <v>84</v>
      </c>
      <c r="U52" s="1">
        <v>136</v>
      </c>
      <c r="V52" s="1">
        <v>7</v>
      </c>
    </row>
    <row r="53" spans="1:22" x14ac:dyDescent="0.25">
      <c r="A53" s="1" t="s">
        <v>54</v>
      </c>
      <c r="B53" s="1" t="s">
        <v>56</v>
      </c>
      <c r="C53" s="1">
        <v>60</v>
      </c>
      <c r="D53" s="1">
        <v>46</v>
      </c>
      <c r="E53" s="1">
        <v>40</v>
      </c>
      <c r="F53" s="1">
        <f t="shared" si="0"/>
        <v>146</v>
      </c>
      <c r="G53" s="1">
        <v>7</v>
      </c>
      <c r="I53" s="1" t="s">
        <v>109</v>
      </c>
      <c r="J53" s="1" t="s">
        <v>141</v>
      </c>
      <c r="K53" s="1">
        <v>2</v>
      </c>
      <c r="L53" s="1">
        <v>4</v>
      </c>
      <c r="M53" s="1">
        <v>7</v>
      </c>
      <c r="N53" s="1">
        <f t="shared" si="1"/>
        <v>13</v>
      </c>
      <c r="Q53" s="1" t="s">
        <v>54</v>
      </c>
      <c r="R53" s="1" t="s">
        <v>56</v>
      </c>
      <c r="S53" s="1">
        <v>60</v>
      </c>
      <c r="T53" s="1">
        <v>46</v>
      </c>
      <c r="U53" s="1">
        <v>40</v>
      </c>
      <c r="V53" s="1">
        <v>7</v>
      </c>
    </row>
    <row r="54" spans="1:22" x14ac:dyDescent="0.25">
      <c r="A54" s="1" t="s">
        <v>54</v>
      </c>
      <c r="B54" s="1" t="s">
        <v>57</v>
      </c>
      <c r="C54" s="1">
        <v>2</v>
      </c>
      <c r="D54" s="1">
        <v>6</v>
      </c>
      <c r="E54" s="1">
        <v>8</v>
      </c>
      <c r="F54" s="1">
        <f t="shared" si="0"/>
        <v>16</v>
      </c>
      <c r="G54" s="1">
        <v>9</v>
      </c>
      <c r="I54" s="1" t="s">
        <v>109</v>
      </c>
      <c r="J54" s="1" t="s">
        <v>132</v>
      </c>
      <c r="K54" s="1">
        <v>53</v>
      </c>
      <c r="L54" s="1">
        <v>21</v>
      </c>
      <c r="M54" s="1">
        <v>39</v>
      </c>
      <c r="N54" s="1">
        <f t="shared" si="1"/>
        <v>113</v>
      </c>
      <c r="Q54" s="1" t="s">
        <v>54</v>
      </c>
      <c r="R54" s="1" t="s">
        <v>57</v>
      </c>
      <c r="S54" s="1">
        <v>2</v>
      </c>
      <c r="T54" s="1">
        <v>6</v>
      </c>
      <c r="U54" s="1">
        <v>8</v>
      </c>
      <c r="V54" s="1">
        <v>9</v>
      </c>
    </row>
    <row r="55" spans="1:22" x14ac:dyDescent="0.25">
      <c r="A55" s="1" t="s">
        <v>58</v>
      </c>
      <c r="B55" s="1" t="s">
        <v>59</v>
      </c>
      <c r="C55" s="1">
        <v>1</v>
      </c>
      <c r="D55" s="1"/>
      <c r="E55" s="1"/>
      <c r="F55" s="1">
        <f t="shared" si="0"/>
        <v>1</v>
      </c>
      <c r="G55" s="1">
        <v>5</v>
      </c>
      <c r="I55" s="1" t="s">
        <v>115</v>
      </c>
      <c r="J55" s="1" t="s">
        <v>70</v>
      </c>
      <c r="K55" s="1">
        <v>7</v>
      </c>
      <c r="L55" s="1"/>
      <c r="M55" s="1"/>
      <c r="N55" s="1">
        <f t="shared" si="1"/>
        <v>7</v>
      </c>
      <c r="Q55" s="1" t="s">
        <v>58</v>
      </c>
      <c r="R55" s="1" t="s">
        <v>59</v>
      </c>
      <c r="S55" s="1">
        <v>1</v>
      </c>
      <c r="T55" s="1"/>
      <c r="U55" s="1"/>
      <c r="V55" s="1">
        <v>5</v>
      </c>
    </row>
    <row r="56" spans="1:22" x14ac:dyDescent="0.25">
      <c r="A56" s="1" t="s">
        <v>60</v>
      </c>
      <c r="B56" s="1" t="s">
        <v>61</v>
      </c>
      <c r="C56" s="1"/>
      <c r="D56" s="1">
        <v>2</v>
      </c>
      <c r="E56" s="1"/>
      <c r="F56" s="1">
        <f t="shared" si="0"/>
        <v>2</v>
      </c>
      <c r="G56" s="1">
        <v>5</v>
      </c>
      <c r="I56" s="1" t="s">
        <v>119</v>
      </c>
      <c r="J56" s="1" t="s">
        <v>155</v>
      </c>
      <c r="K56" s="1">
        <v>1</v>
      </c>
      <c r="L56" s="1"/>
      <c r="M56" s="1">
        <v>2</v>
      </c>
      <c r="N56" s="1">
        <f t="shared" si="1"/>
        <v>3</v>
      </c>
      <c r="Q56" s="1" t="s">
        <v>60</v>
      </c>
      <c r="R56" s="1" t="s">
        <v>61</v>
      </c>
      <c r="S56" s="1"/>
      <c r="T56" s="1">
        <v>2</v>
      </c>
      <c r="U56" s="1"/>
      <c r="V56" s="1">
        <v>5</v>
      </c>
    </row>
    <row r="57" spans="1:22" x14ac:dyDescent="0.25">
      <c r="A57" s="1" t="s">
        <v>60</v>
      </c>
      <c r="B57" s="1" t="s">
        <v>62</v>
      </c>
      <c r="C57" s="1"/>
      <c r="D57" s="1">
        <v>1</v>
      </c>
      <c r="E57" s="1">
        <v>1</v>
      </c>
      <c r="F57" s="1">
        <f t="shared" si="0"/>
        <v>2</v>
      </c>
      <c r="G57" s="1">
        <v>5</v>
      </c>
      <c r="I57" s="1" t="s">
        <v>119</v>
      </c>
      <c r="J57" s="1" t="s">
        <v>133</v>
      </c>
      <c r="K57" s="1">
        <v>5</v>
      </c>
      <c r="L57" s="1">
        <v>19</v>
      </c>
      <c r="M57" s="1">
        <v>43</v>
      </c>
      <c r="N57" s="1">
        <f t="shared" si="1"/>
        <v>67</v>
      </c>
      <c r="Q57" s="1" t="s">
        <v>60</v>
      </c>
      <c r="R57" s="1" t="s">
        <v>62</v>
      </c>
      <c r="S57" s="1"/>
      <c r="T57" s="1">
        <v>1</v>
      </c>
      <c r="U57" s="1">
        <v>1</v>
      </c>
      <c r="V57" s="1">
        <v>5</v>
      </c>
    </row>
    <row r="58" spans="1:22" x14ac:dyDescent="0.25">
      <c r="A58" s="1" t="s">
        <v>60</v>
      </c>
      <c r="B58" s="1" t="s">
        <v>63</v>
      </c>
      <c r="C58" s="1">
        <v>94</v>
      </c>
      <c r="D58" s="1">
        <v>7</v>
      </c>
      <c r="E58" s="1">
        <v>31</v>
      </c>
      <c r="F58" s="1">
        <f t="shared" si="0"/>
        <v>132</v>
      </c>
      <c r="G58" s="1">
        <v>7</v>
      </c>
      <c r="I58" s="1" t="s">
        <v>113</v>
      </c>
      <c r="J58" s="1" t="s">
        <v>142</v>
      </c>
      <c r="K58" s="1">
        <v>34</v>
      </c>
      <c r="L58" s="1">
        <v>26</v>
      </c>
      <c r="M58" s="1">
        <v>23</v>
      </c>
      <c r="N58" s="1">
        <f t="shared" si="1"/>
        <v>83</v>
      </c>
      <c r="Q58" s="1" t="s">
        <v>60</v>
      </c>
      <c r="R58" s="1" t="s">
        <v>63</v>
      </c>
      <c r="S58" s="1">
        <v>94</v>
      </c>
      <c r="T58" s="1">
        <v>7</v>
      </c>
      <c r="U58" s="1">
        <v>31</v>
      </c>
      <c r="V58" s="1">
        <v>7</v>
      </c>
    </row>
    <row r="59" spans="1:22" x14ac:dyDescent="0.25">
      <c r="A59" s="1" t="s">
        <v>60</v>
      </c>
      <c r="B59" s="1" t="s">
        <v>64</v>
      </c>
      <c r="C59" s="1"/>
      <c r="D59" s="1">
        <v>3</v>
      </c>
      <c r="E59" s="1">
        <v>40</v>
      </c>
      <c r="F59" s="1">
        <f t="shared" si="0"/>
        <v>43</v>
      </c>
      <c r="G59" s="1">
        <v>8</v>
      </c>
      <c r="I59" s="1" t="s">
        <v>113</v>
      </c>
      <c r="J59" s="1" t="s">
        <v>149</v>
      </c>
      <c r="K59" s="1"/>
      <c r="L59" s="1">
        <v>2</v>
      </c>
      <c r="M59" s="1">
        <v>1</v>
      </c>
      <c r="N59" s="1">
        <f t="shared" si="1"/>
        <v>3</v>
      </c>
      <c r="Q59" s="1" t="s">
        <v>60</v>
      </c>
      <c r="R59" s="1" t="s">
        <v>64</v>
      </c>
      <c r="S59" s="1"/>
      <c r="T59" s="1">
        <v>3</v>
      </c>
      <c r="U59" s="1">
        <v>40</v>
      </c>
      <c r="V59" s="1">
        <v>8</v>
      </c>
    </row>
    <row r="60" spans="1:22" x14ac:dyDescent="0.25">
      <c r="A60" s="1" t="s">
        <v>65</v>
      </c>
      <c r="B60" s="1" t="s">
        <v>66</v>
      </c>
      <c r="C60" s="1">
        <v>4</v>
      </c>
      <c r="D60" s="1">
        <v>8</v>
      </c>
      <c r="E60" s="1">
        <v>3</v>
      </c>
      <c r="F60" s="1">
        <f t="shared" si="0"/>
        <v>15</v>
      </c>
      <c r="G60" s="1"/>
      <c r="I60" s="1" t="s">
        <v>113</v>
      </c>
      <c r="J60" s="1" t="s">
        <v>172</v>
      </c>
      <c r="K60" s="1">
        <v>3</v>
      </c>
      <c r="L60" s="1">
        <v>1</v>
      </c>
      <c r="M60" s="1"/>
      <c r="N60" s="1">
        <f t="shared" si="1"/>
        <v>4</v>
      </c>
      <c r="Q60" s="1" t="s">
        <v>65</v>
      </c>
      <c r="R60" s="1" t="s">
        <v>66</v>
      </c>
      <c r="S60" s="1">
        <v>4</v>
      </c>
      <c r="T60" s="1">
        <v>8</v>
      </c>
      <c r="U60" s="1">
        <v>3</v>
      </c>
      <c r="V60" s="1"/>
    </row>
    <row r="61" spans="1:22" x14ac:dyDescent="0.25">
      <c r="A61" s="1" t="s">
        <v>67</v>
      </c>
      <c r="B61" s="1" t="s">
        <v>68</v>
      </c>
      <c r="C61" s="1"/>
      <c r="D61" s="1">
        <v>3</v>
      </c>
      <c r="E61" s="1"/>
      <c r="F61" s="1">
        <f t="shared" si="0"/>
        <v>3</v>
      </c>
      <c r="G61" s="1">
        <v>8</v>
      </c>
      <c r="I61" s="1" t="s">
        <v>113</v>
      </c>
      <c r="J61" s="1" t="s">
        <v>152</v>
      </c>
      <c r="K61" s="1">
        <v>1</v>
      </c>
      <c r="L61" s="1"/>
      <c r="M61" s="1">
        <v>1</v>
      </c>
      <c r="N61" s="1">
        <f t="shared" si="1"/>
        <v>2</v>
      </c>
      <c r="Q61" s="1" t="s">
        <v>67</v>
      </c>
      <c r="R61" s="1" t="s">
        <v>68</v>
      </c>
      <c r="S61" s="1"/>
      <c r="T61" s="1">
        <v>3</v>
      </c>
      <c r="U61" s="1"/>
      <c r="V61" s="1">
        <v>8</v>
      </c>
    </row>
    <row r="62" spans="1:22" x14ac:dyDescent="0.25">
      <c r="A62" s="1" t="s">
        <v>69</v>
      </c>
      <c r="B62" s="1" t="s">
        <v>70</v>
      </c>
      <c r="C62" s="1">
        <v>7</v>
      </c>
      <c r="D62" s="1"/>
      <c r="E62" s="1"/>
      <c r="F62" s="1">
        <f t="shared" si="0"/>
        <v>7</v>
      </c>
      <c r="G62" s="1"/>
      <c r="I62" s="1" t="s">
        <v>113</v>
      </c>
      <c r="J62" s="1" t="s">
        <v>156</v>
      </c>
      <c r="K62" s="1">
        <v>19</v>
      </c>
      <c r="L62" s="1">
        <v>1</v>
      </c>
      <c r="M62" s="1">
        <v>26</v>
      </c>
      <c r="N62" s="1">
        <f t="shared" si="1"/>
        <v>46</v>
      </c>
      <c r="Q62" s="1" t="s">
        <v>69</v>
      </c>
      <c r="R62" s="1" t="s">
        <v>70</v>
      </c>
      <c r="S62" s="1">
        <v>7</v>
      </c>
      <c r="T62" s="1"/>
      <c r="U62" s="1"/>
      <c r="V62" s="1"/>
    </row>
    <row r="63" spans="1:22" x14ac:dyDescent="0.25">
      <c r="A63" s="1" t="s">
        <v>71</v>
      </c>
      <c r="B63" s="1" t="s">
        <v>72</v>
      </c>
      <c r="C63" s="1">
        <v>19</v>
      </c>
      <c r="D63" s="1">
        <v>1</v>
      </c>
      <c r="E63" s="1">
        <v>26</v>
      </c>
      <c r="F63" s="1">
        <f t="shared" si="0"/>
        <v>46</v>
      </c>
      <c r="G63" s="1">
        <v>6</v>
      </c>
      <c r="I63" s="1" t="s">
        <v>113</v>
      </c>
      <c r="J63" s="1" t="s">
        <v>134</v>
      </c>
      <c r="K63" s="1">
        <v>1</v>
      </c>
      <c r="L63" s="1"/>
      <c r="M63" s="1">
        <v>5</v>
      </c>
      <c r="N63" s="1">
        <f t="shared" si="1"/>
        <v>6</v>
      </c>
      <c r="Q63" s="1" t="s">
        <v>71</v>
      </c>
      <c r="R63" s="1" t="s">
        <v>72</v>
      </c>
      <c r="S63" s="1">
        <v>19</v>
      </c>
      <c r="T63" s="1">
        <v>1</v>
      </c>
      <c r="U63" s="1">
        <v>26</v>
      </c>
      <c r="V63" s="1">
        <v>6</v>
      </c>
    </row>
    <row r="64" spans="1:22" x14ac:dyDescent="0.25">
      <c r="A64" s="1" t="s">
        <v>73</v>
      </c>
      <c r="B64" s="1" t="s">
        <v>74</v>
      </c>
      <c r="C64" s="1">
        <v>3</v>
      </c>
      <c r="D64" s="1">
        <v>1</v>
      </c>
      <c r="E64" s="1">
        <v>1</v>
      </c>
      <c r="F64" s="1">
        <f t="shared" si="0"/>
        <v>5</v>
      </c>
      <c r="G64" s="1">
        <v>7</v>
      </c>
      <c r="I64" s="1" t="s">
        <v>113</v>
      </c>
      <c r="J64" s="1" t="s">
        <v>49</v>
      </c>
      <c r="K64" s="1"/>
      <c r="L64" s="1">
        <v>1</v>
      </c>
      <c r="M64" s="1"/>
      <c r="N64" s="1">
        <f t="shared" si="1"/>
        <v>1</v>
      </c>
      <c r="Q64" s="1" t="s">
        <v>73</v>
      </c>
      <c r="R64" s="1" t="s">
        <v>74</v>
      </c>
      <c r="S64" s="1">
        <v>3</v>
      </c>
      <c r="T64" s="1">
        <v>1</v>
      </c>
      <c r="U64" s="1">
        <v>1</v>
      </c>
      <c r="V64" s="1">
        <v>7</v>
      </c>
    </row>
    <row r="65" spans="1:22" x14ac:dyDescent="0.25">
      <c r="A65" s="1" t="s">
        <v>73</v>
      </c>
      <c r="B65" s="1" t="s">
        <v>75</v>
      </c>
      <c r="C65" s="1"/>
      <c r="D65" s="1">
        <v>2</v>
      </c>
      <c r="E65" s="1">
        <v>1</v>
      </c>
      <c r="F65" s="1">
        <f t="shared" si="0"/>
        <v>3</v>
      </c>
      <c r="G65" s="1">
        <v>7</v>
      </c>
      <c r="I65" s="1" t="s">
        <v>113</v>
      </c>
      <c r="J65" s="1" t="s">
        <v>184</v>
      </c>
      <c r="K65" s="1"/>
      <c r="L65" s="1">
        <v>2</v>
      </c>
      <c r="M65" s="1"/>
      <c r="N65" s="1">
        <f t="shared" si="1"/>
        <v>2</v>
      </c>
      <c r="Q65" s="1" t="s">
        <v>73</v>
      </c>
      <c r="R65" s="1" t="s">
        <v>75</v>
      </c>
      <c r="S65" s="1"/>
      <c r="T65" s="1">
        <v>2</v>
      </c>
      <c r="U65" s="1">
        <v>1</v>
      </c>
      <c r="V65" s="1">
        <v>7</v>
      </c>
    </row>
    <row r="66" spans="1:22" x14ac:dyDescent="0.25">
      <c r="A66" s="1" t="s">
        <v>73</v>
      </c>
      <c r="B66" s="1" t="s">
        <v>76</v>
      </c>
      <c r="C66" s="1">
        <v>7</v>
      </c>
      <c r="D66" s="1">
        <v>1</v>
      </c>
      <c r="E66" s="1">
        <v>3</v>
      </c>
      <c r="F66" s="1">
        <f t="shared" si="0"/>
        <v>11</v>
      </c>
      <c r="G66" s="1">
        <v>7</v>
      </c>
      <c r="I66" s="1" t="s">
        <v>113</v>
      </c>
      <c r="J66" s="1" t="s">
        <v>173</v>
      </c>
      <c r="K66" s="1">
        <v>1</v>
      </c>
      <c r="L66" s="1"/>
      <c r="M66" s="1"/>
      <c r="N66" s="1">
        <f t="shared" si="1"/>
        <v>1</v>
      </c>
      <c r="Q66" s="1" t="s">
        <v>73</v>
      </c>
      <c r="R66" s="1" t="s">
        <v>76</v>
      </c>
      <c r="S66" s="1">
        <v>7</v>
      </c>
      <c r="T66" s="1">
        <v>1</v>
      </c>
      <c r="U66" s="1">
        <v>3</v>
      </c>
      <c r="V66" s="1">
        <v>7</v>
      </c>
    </row>
    <row r="67" spans="1:22" x14ac:dyDescent="0.25">
      <c r="A67" s="1" t="s">
        <v>73</v>
      </c>
      <c r="B67" s="1" t="s">
        <v>77</v>
      </c>
      <c r="C67" s="1">
        <v>24</v>
      </c>
      <c r="D67" s="1"/>
      <c r="E67" s="1">
        <v>9</v>
      </c>
      <c r="F67" s="1">
        <f t="shared" si="0"/>
        <v>33</v>
      </c>
      <c r="G67" s="1">
        <v>10</v>
      </c>
      <c r="I67" s="1" t="s">
        <v>113</v>
      </c>
      <c r="J67" s="1" t="s">
        <v>140</v>
      </c>
      <c r="K67" s="1">
        <v>3</v>
      </c>
      <c r="L67" s="1">
        <v>1</v>
      </c>
      <c r="M67" s="1">
        <v>1</v>
      </c>
      <c r="N67" s="1">
        <f t="shared" si="1"/>
        <v>5</v>
      </c>
      <c r="Q67" s="1" t="s">
        <v>73</v>
      </c>
      <c r="R67" s="1" t="s">
        <v>77</v>
      </c>
      <c r="S67" s="1">
        <v>24</v>
      </c>
      <c r="T67" s="1"/>
      <c r="U67" s="1">
        <v>9</v>
      </c>
      <c r="V67" s="1">
        <v>10</v>
      </c>
    </row>
    <row r="68" spans="1:22" x14ac:dyDescent="0.25">
      <c r="A68" s="1" t="s">
        <v>73</v>
      </c>
      <c r="B68" s="1" t="s">
        <v>78</v>
      </c>
      <c r="C68" s="1"/>
      <c r="D68" s="1"/>
      <c r="E68" s="1">
        <v>1</v>
      </c>
      <c r="F68" s="1">
        <f t="shared" si="0"/>
        <v>1</v>
      </c>
      <c r="G68" s="1">
        <v>6</v>
      </c>
      <c r="I68" s="1" t="s">
        <v>113</v>
      </c>
      <c r="J68" s="1" t="s">
        <v>143</v>
      </c>
      <c r="K68" s="1">
        <v>10</v>
      </c>
      <c r="L68" s="1"/>
      <c r="M68" s="1">
        <v>3</v>
      </c>
      <c r="N68" s="1">
        <f t="shared" si="1"/>
        <v>13</v>
      </c>
      <c r="Q68" s="1" t="s">
        <v>73</v>
      </c>
      <c r="R68" s="1" t="s">
        <v>78</v>
      </c>
      <c r="S68" s="1"/>
      <c r="T68" s="1"/>
      <c r="U68" s="1">
        <v>1</v>
      </c>
      <c r="V68" s="1">
        <v>6</v>
      </c>
    </row>
    <row r="69" spans="1:22" x14ac:dyDescent="0.25">
      <c r="A69" s="1" t="s">
        <v>79</v>
      </c>
      <c r="B69" s="1" t="s">
        <v>80</v>
      </c>
      <c r="C69" s="1">
        <v>34</v>
      </c>
      <c r="D69" s="1">
        <v>26</v>
      </c>
      <c r="E69" s="1">
        <v>23</v>
      </c>
      <c r="F69" s="1">
        <f t="shared" si="0"/>
        <v>83</v>
      </c>
      <c r="G69" s="1"/>
      <c r="I69" s="1" t="s">
        <v>113</v>
      </c>
      <c r="J69" s="1" t="s">
        <v>77</v>
      </c>
      <c r="K69" s="1">
        <v>13</v>
      </c>
      <c r="L69" s="1"/>
      <c r="M69" s="1">
        <v>5</v>
      </c>
      <c r="N69" s="1">
        <f t="shared" si="1"/>
        <v>18</v>
      </c>
      <c r="Q69" s="1" t="s">
        <v>79</v>
      </c>
      <c r="R69" s="1" t="s">
        <v>80</v>
      </c>
      <c r="S69" s="1">
        <v>34</v>
      </c>
      <c r="T69" s="1">
        <v>26</v>
      </c>
      <c r="U69" s="1">
        <v>23</v>
      </c>
      <c r="V69" s="1"/>
    </row>
    <row r="70" spans="1:22" x14ac:dyDescent="0.25">
      <c r="A70" s="1" t="s">
        <v>81</v>
      </c>
      <c r="B70" s="1" t="s">
        <v>82</v>
      </c>
      <c r="C70" s="1">
        <v>28</v>
      </c>
      <c r="D70" s="1">
        <v>1</v>
      </c>
      <c r="E70" s="1">
        <v>8</v>
      </c>
      <c r="F70" s="1">
        <f t="shared" si="0"/>
        <v>37</v>
      </c>
      <c r="G70" s="1">
        <v>10</v>
      </c>
      <c r="I70" s="1" t="s">
        <v>113</v>
      </c>
      <c r="J70" s="1" t="s">
        <v>91</v>
      </c>
      <c r="K70" s="1">
        <v>1</v>
      </c>
      <c r="L70" s="1"/>
      <c r="M70" s="1">
        <v>1</v>
      </c>
      <c r="N70" s="1">
        <f t="shared" si="1"/>
        <v>2</v>
      </c>
      <c r="Q70" s="1" t="s">
        <v>81</v>
      </c>
      <c r="R70" s="1" t="s">
        <v>82</v>
      </c>
      <c r="S70" s="1">
        <v>28</v>
      </c>
      <c r="T70" s="1">
        <v>1</v>
      </c>
      <c r="U70" s="1">
        <v>8</v>
      </c>
      <c r="V70" s="1">
        <v>10</v>
      </c>
    </row>
    <row r="71" spans="1:22" x14ac:dyDescent="0.25">
      <c r="A71" s="1" t="s">
        <v>81</v>
      </c>
      <c r="B71" s="1" t="s">
        <v>83</v>
      </c>
      <c r="C71" s="1">
        <v>17</v>
      </c>
      <c r="D71" s="1">
        <v>11</v>
      </c>
      <c r="E71" s="1">
        <v>25</v>
      </c>
      <c r="F71" s="1">
        <f t="shared" si="0"/>
        <v>53</v>
      </c>
      <c r="G71" s="1">
        <v>10</v>
      </c>
      <c r="I71" s="1" t="s">
        <v>113</v>
      </c>
      <c r="J71" s="1" t="s">
        <v>112</v>
      </c>
      <c r="K71" s="1">
        <v>94</v>
      </c>
      <c r="L71" s="1">
        <v>7</v>
      </c>
      <c r="M71" s="1">
        <v>30</v>
      </c>
      <c r="N71" s="1">
        <f t="shared" si="1"/>
        <v>131</v>
      </c>
      <c r="Q71" s="1" t="s">
        <v>81</v>
      </c>
      <c r="R71" s="1" t="s">
        <v>83</v>
      </c>
      <c r="S71" s="1">
        <v>17</v>
      </c>
      <c r="T71" s="1">
        <v>11</v>
      </c>
      <c r="U71" s="1">
        <v>25</v>
      </c>
      <c r="V71" s="1">
        <v>10</v>
      </c>
    </row>
    <row r="72" spans="1:22" x14ac:dyDescent="0.25">
      <c r="A72" s="1" t="s">
        <v>81</v>
      </c>
      <c r="B72" s="1" t="s">
        <v>84</v>
      </c>
      <c r="C72" s="1"/>
      <c r="D72" s="1">
        <v>1</v>
      </c>
      <c r="E72" s="1"/>
      <c r="F72" s="1">
        <f t="shared" si="0"/>
        <v>1</v>
      </c>
      <c r="G72" s="1">
        <v>7</v>
      </c>
      <c r="I72" s="1" t="s">
        <v>113</v>
      </c>
      <c r="J72" s="1" t="s">
        <v>127</v>
      </c>
      <c r="K72" s="1">
        <v>4</v>
      </c>
      <c r="L72" s="1"/>
      <c r="M72" s="1">
        <v>1</v>
      </c>
      <c r="N72" s="1">
        <f t="shared" si="1"/>
        <v>5</v>
      </c>
      <c r="Q72" s="1" t="s">
        <v>81</v>
      </c>
      <c r="R72" s="1" t="s">
        <v>84</v>
      </c>
      <c r="S72" s="1"/>
      <c r="T72" s="1">
        <v>1</v>
      </c>
      <c r="U72" s="1"/>
      <c r="V72" s="1">
        <v>7</v>
      </c>
    </row>
    <row r="73" spans="1:22" x14ac:dyDescent="0.25">
      <c r="A73" s="1" t="s">
        <v>81</v>
      </c>
      <c r="B73" s="1" t="s">
        <v>85</v>
      </c>
      <c r="C73" s="1">
        <v>167</v>
      </c>
      <c r="D73" s="1">
        <v>7</v>
      </c>
      <c r="E73" s="1">
        <v>9</v>
      </c>
      <c r="F73" s="1">
        <f t="shared" si="0"/>
        <v>183</v>
      </c>
      <c r="G73" s="1"/>
      <c r="I73" s="1" t="s">
        <v>113</v>
      </c>
      <c r="J73" s="1" t="s">
        <v>136</v>
      </c>
      <c r="K73" s="1"/>
      <c r="L73" s="1">
        <v>1</v>
      </c>
      <c r="M73" s="1">
        <v>1</v>
      </c>
      <c r="N73" s="1">
        <f t="shared" si="1"/>
        <v>2</v>
      </c>
      <c r="Q73" s="1" t="s">
        <v>81</v>
      </c>
      <c r="R73" s="1" t="s">
        <v>85</v>
      </c>
      <c r="S73" s="1">
        <v>167</v>
      </c>
      <c r="T73" s="1">
        <v>7</v>
      </c>
      <c r="U73" s="1">
        <v>9</v>
      </c>
      <c r="V73" s="1"/>
    </row>
    <row r="74" spans="1:22" x14ac:dyDescent="0.25">
      <c r="A74" s="1" t="s">
        <v>81</v>
      </c>
      <c r="B74" s="1" t="s">
        <v>86</v>
      </c>
      <c r="C74" s="1">
        <v>2</v>
      </c>
      <c r="D74" s="1"/>
      <c r="E74" s="1">
        <v>1</v>
      </c>
      <c r="F74" s="1">
        <f t="shared" si="0"/>
        <v>3</v>
      </c>
      <c r="G74" s="1">
        <v>8</v>
      </c>
      <c r="I74" s="1" t="s">
        <v>113</v>
      </c>
      <c r="J74" s="1" t="s">
        <v>117</v>
      </c>
      <c r="K74" s="1"/>
      <c r="L74" s="1"/>
      <c r="M74" s="1">
        <v>37</v>
      </c>
      <c r="N74" s="1">
        <f t="shared" si="1"/>
        <v>37</v>
      </c>
      <c r="Q74" s="1" t="s">
        <v>81</v>
      </c>
      <c r="R74" s="1" t="s">
        <v>86</v>
      </c>
      <c r="S74" s="1">
        <v>2</v>
      </c>
      <c r="T74" s="1"/>
      <c r="U74" s="1">
        <v>1</v>
      </c>
      <c r="V74" s="1">
        <v>8</v>
      </c>
    </row>
    <row r="75" spans="1:22" x14ac:dyDescent="0.25">
      <c r="A75" s="1" t="s">
        <v>81</v>
      </c>
      <c r="B75" s="1" t="s">
        <v>87</v>
      </c>
      <c r="C75" s="1">
        <v>1</v>
      </c>
      <c r="D75" s="1"/>
      <c r="E75" s="1">
        <v>2</v>
      </c>
      <c r="F75" s="1">
        <f t="shared" si="0"/>
        <v>3</v>
      </c>
      <c r="G75" s="1">
        <v>10</v>
      </c>
      <c r="I75" s="1" t="s">
        <v>113</v>
      </c>
      <c r="J75" s="54" t="s">
        <v>166</v>
      </c>
      <c r="K75" s="1">
        <v>2</v>
      </c>
      <c r="L75" s="1">
        <v>1</v>
      </c>
      <c r="M75" s="1"/>
      <c r="N75" s="1">
        <f t="shared" ref="N75:N98" si="2">SUM(K75:M75)</f>
        <v>3</v>
      </c>
      <c r="Q75" s="1" t="s">
        <v>81</v>
      </c>
      <c r="R75" s="1" t="s">
        <v>87</v>
      </c>
      <c r="S75" s="1">
        <v>1</v>
      </c>
      <c r="T75" s="1"/>
      <c r="U75" s="1">
        <v>2</v>
      </c>
      <c r="V75" s="1">
        <v>10</v>
      </c>
    </row>
    <row r="76" spans="1:22" x14ac:dyDescent="0.25">
      <c r="A76" s="1" t="s">
        <v>88</v>
      </c>
      <c r="B76" s="1" t="s">
        <v>89</v>
      </c>
      <c r="C76" s="1">
        <v>1</v>
      </c>
      <c r="D76" s="1"/>
      <c r="E76" s="1">
        <v>5</v>
      </c>
      <c r="F76" s="1">
        <f t="shared" si="0"/>
        <v>6</v>
      </c>
      <c r="G76" s="1">
        <v>9</v>
      </c>
      <c r="I76" s="1" t="s">
        <v>113</v>
      </c>
      <c r="J76" s="1" t="s">
        <v>147</v>
      </c>
      <c r="K76" s="1"/>
      <c r="L76" s="1"/>
      <c r="M76" s="1">
        <v>1</v>
      </c>
      <c r="N76" s="1">
        <f t="shared" si="2"/>
        <v>1</v>
      </c>
      <c r="Q76" s="1" t="s">
        <v>88</v>
      </c>
      <c r="R76" s="1" t="s">
        <v>89</v>
      </c>
      <c r="S76" s="1">
        <v>1</v>
      </c>
      <c r="T76" s="1"/>
      <c r="U76" s="1">
        <v>5</v>
      </c>
      <c r="V76" s="1">
        <v>9</v>
      </c>
    </row>
    <row r="77" spans="1:22" x14ac:dyDescent="0.25">
      <c r="A77" s="1" t="s">
        <v>90</v>
      </c>
      <c r="B77" s="1" t="s">
        <v>91</v>
      </c>
      <c r="C77" s="1">
        <v>1</v>
      </c>
      <c r="D77" s="1"/>
      <c r="E77" s="1">
        <v>1</v>
      </c>
      <c r="F77" s="1">
        <f t="shared" si="0"/>
        <v>2</v>
      </c>
      <c r="G77" s="1"/>
      <c r="I77" s="1" t="s">
        <v>113</v>
      </c>
      <c r="J77" s="1" t="s">
        <v>137</v>
      </c>
      <c r="K77" s="1"/>
      <c r="L77" s="1"/>
      <c r="M77" s="1">
        <v>1</v>
      </c>
      <c r="N77" s="1">
        <f t="shared" si="2"/>
        <v>1</v>
      </c>
      <c r="Q77" s="1" t="s">
        <v>90</v>
      </c>
      <c r="R77" s="1" t="s">
        <v>91</v>
      </c>
      <c r="S77" s="1">
        <v>1</v>
      </c>
      <c r="T77" s="1"/>
      <c r="U77" s="1">
        <v>1</v>
      </c>
      <c r="V77" s="1"/>
    </row>
    <row r="78" spans="1:22" x14ac:dyDescent="0.25">
      <c r="A78" s="172" t="s">
        <v>349</v>
      </c>
      <c r="B78" s="172"/>
      <c r="C78" s="1">
        <f>+SUM(C37:C77)</f>
        <v>978</v>
      </c>
      <c r="D78" s="1">
        <f t="shared" ref="D78:F78" si="3">+SUM(D37:D77)</f>
        <v>556</v>
      </c>
      <c r="E78" s="1">
        <f t="shared" si="3"/>
        <v>768</v>
      </c>
      <c r="F78" s="1">
        <f t="shared" si="3"/>
        <v>2302</v>
      </c>
      <c r="G78" s="1">
        <f ca="1">+SUM(G37:G78)</f>
        <v>252</v>
      </c>
      <c r="I78" s="1" t="s">
        <v>113</v>
      </c>
      <c r="J78" s="1" t="s">
        <v>126</v>
      </c>
      <c r="K78" s="1">
        <v>7</v>
      </c>
      <c r="L78" s="1">
        <v>1</v>
      </c>
      <c r="M78" s="1">
        <v>3</v>
      </c>
      <c r="N78" s="1">
        <f t="shared" si="2"/>
        <v>11</v>
      </c>
      <c r="Q78" s="172" t="s">
        <v>349</v>
      </c>
      <c r="R78" s="172"/>
      <c r="S78" s="1">
        <f>+SUM(S37:S77)</f>
        <v>978</v>
      </c>
      <c r="T78" s="1">
        <f t="shared" ref="T78:U78" si="4">+SUM(T37:T77)</f>
        <v>556</v>
      </c>
      <c r="U78" s="1">
        <f t="shared" si="4"/>
        <v>768</v>
      </c>
      <c r="V78" s="1">
        <f>+SUM(V37:V77)</f>
        <v>242</v>
      </c>
    </row>
    <row r="79" spans="1:22" x14ac:dyDescent="0.25">
      <c r="I79" s="1" t="s">
        <v>113</v>
      </c>
      <c r="J79" s="1" t="s">
        <v>118</v>
      </c>
      <c r="K79" s="1"/>
      <c r="L79" s="1">
        <v>3</v>
      </c>
      <c r="M79" s="1">
        <v>3</v>
      </c>
      <c r="N79" s="1">
        <f t="shared" si="2"/>
        <v>6</v>
      </c>
    </row>
    <row r="80" spans="1:22" x14ac:dyDescent="0.25">
      <c r="I80" s="1" t="s">
        <v>113</v>
      </c>
      <c r="J80" s="1" t="s">
        <v>40</v>
      </c>
      <c r="K80" s="1"/>
      <c r="L80" s="1">
        <v>1</v>
      </c>
      <c r="M80" s="1">
        <v>2</v>
      </c>
      <c r="N80" s="1">
        <f t="shared" si="2"/>
        <v>3</v>
      </c>
    </row>
    <row r="81" spans="1:14" x14ac:dyDescent="0.25">
      <c r="A81" t="s">
        <v>350</v>
      </c>
      <c r="I81" s="1" t="s">
        <v>113</v>
      </c>
      <c r="J81" s="1" t="s">
        <v>124</v>
      </c>
      <c r="K81" s="1">
        <v>36</v>
      </c>
      <c r="L81" s="1">
        <v>2</v>
      </c>
      <c r="M81" s="1">
        <v>62</v>
      </c>
      <c r="N81" s="1">
        <f t="shared" si="2"/>
        <v>100</v>
      </c>
    </row>
    <row r="82" spans="1:14" x14ac:dyDescent="0.25">
      <c r="C82" s="118" t="s">
        <v>29</v>
      </c>
      <c r="D82" s="118"/>
      <c r="E82" s="118"/>
      <c r="I82" s="1" t="s">
        <v>116</v>
      </c>
      <c r="J82" s="1" t="s">
        <v>148</v>
      </c>
      <c r="K82" s="1">
        <v>7</v>
      </c>
      <c r="L82" s="1"/>
      <c r="M82" s="1">
        <v>5</v>
      </c>
      <c r="N82" s="1">
        <f t="shared" si="2"/>
        <v>12</v>
      </c>
    </row>
    <row r="83" spans="1:14" x14ac:dyDescent="0.25">
      <c r="A83" s="42" t="s">
        <v>271</v>
      </c>
      <c r="B83" s="42" t="s">
        <v>272</v>
      </c>
      <c r="C83" s="42" t="s">
        <v>32</v>
      </c>
      <c r="D83" s="42" t="s">
        <v>33</v>
      </c>
      <c r="E83" s="42" t="s">
        <v>34</v>
      </c>
      <c r="I83" s="1" t="s">
        <v>116</v>
      </c>
      <c r="J83" s="1" t="s">
        <v>131</v>
      </c>
      <c r="K83" s="1">
        <v>12</v>
      </c>
      <c r="L83" s="1">
        <v>5</v>
      </c>
      <c r="M83" s="1">
        <v>21</v>
      </c>
      <c r="N83" s="1">
        <f t="shared" si="2"/>
        <v>38</v>
      </c>
    </row>
    <row r="84" spans="1:14" x14ac:dyDescent="0.25">
      <c r="A84" s="55" t="s">
        <v>351</v>
      </c>
      <c r="B84" s="55" t="s">
        <v>242</v>
      </c>
      <c r="C84" s="21">
        <f>COUNT(C37:C77)</f>
        <v>31</v>
      </c>
      <c r="D84" s="21">
        <f t="shared" ref="D84:E84" si="5">COUNT(D37:D77)</f>
        <v>27</v>
      </c>
      <c r="E84" s="21">
        <f t="shared" si="5"/>
        <v>29</v>
      </c>
      <c r="F84" s="57" t="s">
        <v>280</v>
      </c>
      <c r="I84" s="1" t="s">
        <v>116</v>
      </c>
      <c r="J84" s="1" t="s">
        <v>146</v>
      </c>
      <c r="K84" s="1">
        <v>2</v>
      </c>
      <c r="L84" s="1"/>
      <c r="M84" s="1">
        <v>1</v>
      </c>
      <c r="N84" s="1">
        <f t="shared" si="2"/>
        <v>3</v>
      </c>
    </row>
    <row r="85" spans="1:14" x14ac:dyDescent="0.25">
      <c r="A85" s="55" t="s">
        <v>352</v>
      </c>
      <c r="B85" s="55" t="s">
        <v>250</v>
      </c>
      <c r="C85" s="21">
        <f>COUNT(C69:C75,C52:C54)</f>
        <v>9</v>
      </c>
      <c r="D85" s="21">
        <f t="shared" ref="D85" si="6">COUNT(D69:D75,D52:D54)</f>
        <v>8</v>
      </c>
      <c r="E85" s="21">
        <f>COUNT(E69:E75,E52:E54)</f>
        <v>9</v>
      </c>
      <c r="F85" s="57" t="s">
        <v>280</v>
      </c>
      <c r="I85" s="1" t="s">
        <v>116</v>
      </c>
      <c r="J85" s="1" t="s">
        <v>138</v>
      </c>
      <c r="K85" s="1">
        <v>28</v>
      </c>
      <c r="L85" s="1">
        <v>1</v>
      </c>
      <c r="M85" s="1">
        <v>8</v>
      </c>
      <c r="N85" s="1">
        <f t="shared" si="2"/>
        <v>37</v>
      </c>
    </row>
    <row r="86" spans="1:14" x14ac:dyDescent="0.25">
      <c r="A86" s="55" t="s">
        <v>285</v>
      </c>
      <c r="B86" s="55"/>
      <c r="C86" s="21">
        <f>+COUNTIF(C37:C77,1)</f>
        <v>9</v>
      </c>
      <c r="D86" s="21">
        <f>+COUNTIF(D37:D77,1)</f>
        <v>11</v>
      </c>
      <c r="E86" s="21">
        <f>+COUNTIF(E37:E77,1)</f>
        <v>8</v>
      </c>
      <c r="F86" s="57"/>
      <c r="I86" s="1" t="s">
        <v>116</v>
      </c>
      <c r="J86" s="1" t="s">
        <v>39</v>
      </c>
      <c r="K86" s="1"/>
      <c r="L86" s="1"/>
      <c r="M86" s="1">
        <v>1</v>
      </c>
      <c r="N86" s="1">
        <f t="shared" si="2"/>
        <v>1</v>
      </c>
    </row>
    <row r="87" spans="1:14" ht="60" x14ac:dyDescent="0.25">
      <c r="A87" s="55" t="s">
        <v>288</v>
      </c>
      <c r="B87" s="21"/>
      <c r="C87" s="21">
        <f>SUM(C37:C77)</f>
        <v>978</v>
      </c>
      <c r="D87" s="21">
        <f>SUM(D37:D77)</f>
        <v>556</v>
      </c>
      <c r="E87" s="21">
        <f>SUM(E37:E77)</f>
        <v>768</v>
      </c>
      <c r="F87" s="57" t="s">
        <v>290</v>
      </c>
      <c r="I87" s="1" t="s">
        <v>116</v>
      </c>
      <c r="J87" s="1" t="s">
        <v>135</v>
      </c>
      <c r="K87" s="1">
        <v>5</v>
      </c>
      <c r="L87" s="1">
        <v>6</v>
      </c>
      <c r="M87" s="1">
        <v>4</v>
      </c>
      <c r="N87" s="1">
        <f t="shared" si="2"/>
        <v>15</v>
      </c>
    </row>
    <row r="88" spans="1:14" x14ac:dyDescent="0.25">
      <c r="A88" s="55" t="s">
        <v>293</v>
      </c>
      <c r="B88" s="55" t="s">
        <v>293</v>
      </c>
      <c r="C88" s="56">
        <f>+(SUM(C69:C75,C52:C54)/C87)*100</f>
        <v>47.443762781186095</v>
      </c>
      <c r="D88" s="56">
        <f t="shared" ref="D88:E88" si="7">+(SUM(D69:D75,D52:D54)/D87)*100</f>
        <v>32.733812949640289</v>
      </c>
      <c r="E88" s="56">
        <f t="shared" si="7"/>
        <v>32.8125</v>
      </c>
      <c r="F88" s="57" t="s">
        <v>280</v>
      </c>
      <c r="I88" s="1" t="s">
        <v>116</v>
      </c>
      <c r="J88" s="1" t="s">
        <v>165</v>
      </c>
      <c r="K88" s="1">
        <v>1</v>
      </c>
      <c r="L88" s="1"/>
      <c r="M88" s="1"/>
      <c r="N88" s="1">
        <f t="shared" si="2"/>
        <v>1</v>
      </c>
    </row>
    <row r="89" spans="1:14" x14ac:dyDescent="0.25">
      <c r="A89" s="55" t="s">
        <v>296</v>
      </c>
      <c r="B89" s="55" t="s">
        <v>297</v>
      </c>
      <c r="C89" s="56">
        <f>(SUM(K37:K54)/C$87)*100</f>
        <v>61.963190184049076</v>
      </c>
      <c r="D89" s="56">
        <f>(SUM(L37:L54)/D$87)*100</f>
        <v>82.913669064748191</v>
      </c>
      <c r="E89" s="56">
        <f t="shared" ref="E89" si="8">(SUM(M37:M54)/E$87)*100</f>
        <v>50.390625</v>
      </c>
      <c r="F89" s="57" t="s">
        <v>303</v>
      </c>
      <c r="I89" s="1" t="s">
        <v>123</v>
      </c>
      <c r="J89" s="1" t="s">
        <v>176</v>
      </c>
      <c r="K89" s="1">
        <v>1</v>
      </c>
      <c r="L89" s="1">
        <v>1</v>
      </c>
      <c r="M89" s="1"/>
      <c r="N89" s="1">
        <f t="shared" si="2"/>
        <v>2</v>
      </c>
    </row>
    <row r="90" spans="1:14" x14ac:dyDescent="0.25">
      <c r="A90" s="55" t="s">
        <v>300</v>
      </c>
      <c r="B90" s="55" t="s">
        <v>301</v>
      </c>
      <c r="C90" s="56">
        <f>+(SUM(K58:K81)/C$87)*100</f>
        <v>23.415132924335378</v>
      </c>
      <c r="D90" s="56">
        <f t="shared" ref="D90:E90" si="9">+(SUM(L58:L81)/D$87)*100</f>
        <v>8.9928057553956826</v>
      </c>
      <c r="E90" s="56">
        <f t="shared" si="9"/>
        <v>26.953125</v>
      </c>
      <c r="F90" s="57" t="s">
        <v>303</v>
      </c>
      <c r="I90" s="1" t="s">
        <v>121</v>
      </c>
      <c r="J90" s="1" t="s">
        <v>120</v>
      </c>
      <c r="K90" s="1">
        <v>63</v>
      </c>
      <c r="L90" s="1">
        <v>2</v>
      </c>
      <c r="M90" s="1">
        <v>76</v>
      </c>
      <c r="N90" s="1">
        <f t="shared" si="2"/>
        <v>141</v>
      </c>
    </row>
    <row r="91" spans="1:14" x14ac:dyDescent="0.25">
      <c r="A91" s="55" t="s">
        <v>304</v>
      </c>
      <c r="B91" s="55" t="s">
        <v>305</v>
      </c>
      <c r="C91" s="56">
        <f>+(SUM(K56:K57)/C$87)*100</f>
        <v>0.61349693251533743</v>
      </c>
      <c r="D91" s="56">
        <f t="shared" ref="D91:E91" si="10">+(SUM(L56:L57)/D$87)*100</f>
        <v>3.4172661870503598</v>
      </c>
      <c r="E91" s="56">
        <f t="shared" si="10"/>
        <v>5.859375</v>
      </c>
      <c r="F91" s="57" t="s">
        <v>303</v>
      </c>
      <c r="I91" s="1" t="s">
        <v>121</v>
      </c>
      <c r="J91" s="1" t="s">
        <v>158</v>
      </c>
      <c r="K91" s="1"/>
      <c r="L91" s="1"/>
      <c r="M91" s="1">
        <v>5</v>
      </c>
      <c r="N91" s="1">
        <f t="shared" si="2"/>
        <v>5</v>
      </c>
    </row>
    <row r="92" spans="1:14" x14ac:dyDescent="0.25">
      <c r="A92" s="55" t="s">
        <v>308</v>
      </c>
      <c r="B92" s="55" t="s">
        <v>309</v>
      </c>
      <c r="C92" s="56">
        <f>+(SUM(K82:K88)/C$87)*100</f>
        <v>5.6237218813905931</v>
      </c>
      <c r="D92" s="56">
        <f>+(SUM(L82:L88)/D$87)*100</f>
        <v>2.1582733812949639</v>
      </c>
      <c r="E92" s="56">
        <f t="shared" ref="E92" si="11">+(SUM(M82:M88)/E$87)*100</f>
        <v>5.2083333333333339</v>
      </c>
      <c r="F92" s="57" t="s">
        <v>303</v>
      </c>
      <c r="I92" s="1" t="s">
        <v>121</v>
      </c>
      <c r="J92" s="1" t="s">
        <v>66</v>
      </c>
      <c r="K92" s="1">
        <v>1</v>
      </c>
      <c r="L92" s="1"/>
      <c r="M92" s="1"/>
      <c r="N92" s="1">
        <f t="shared" si="2"/>
        <v>1</v>
      </c>
    </row>
    <row r="93" spans="1:14" x14ac:dyDescent="0.25">
      <c r="A93" s="58" t="s">
        <v>353</v>
      </c>
      <c r="B93" s="58" t="s">
        <v>354</v>
      </c>
      <c r="C93" s="56">
        <f>+(SUM(K90:K98)/C$87)*100</f>
        <v>7.5664621676891617</v>
      </c>
      <c r="D93" s="56">
        <f t="shared" ref="D93:E93" si="12">+(SUM(L90:L98)/D$87)*100</f>
        <v>2.3381294964028778</v>
      </c>
      <c r="E93" s="56">
        <f t="shared" si="12"/>
        <v>11.588541666666668</v>
      </c>
      <c r="F93" s="57" t="s">
        <v>303</v>
      </c>
      <c r="I93" s="1" t="s">
        <v>121</v>
      </c>
      <c r="J93" s="1" t="s">
        <v>68</v>
      </c>
      <c r="K93" s="1"/>
      <c r="L93" s="1">
        <v>3</v>
      </c>
      <c r="M93" s="1"/>
      <c r="N93" s="1">
        <f t="shared" si="2"/>
        <v>3</v>
      </c>
    </row>
    <row r="94" spans="1:14" ht="30" x14ac:dyDescent="0.25">
      <c r="A94" s="59" t="s">
        <v>312</v>
      </c>
      <c r="B94" s="55" t="s">
        <v>313</v>
      </c>
      <c r="C94" s="56">
        <f>+(C45/C$87)*100</f>
        <v>22.801635991820042</v>
      </c>
      <c r="D94" s="56">
        <f t="shared" ref="D94:E94" si="13">+(D45/D$87)*100</f>
        <v>4.4964028776978413</v>
      </c>
      <c r="E94" s="56">
        <f t="shared" si="13"/>
        <v>27.213541666666668</v>
      </c>
      <c r="F94" s="57" t="s">
        <v>315</v>
      </c>
      <c r="I94" s="1" t="s">
        <v>121</v>
      </c>
      <c r="J94" s="1" t="s">
        <v>164</v>
      </c>
      <c r="K94" s="1">
        <v>1</v>
      </c>
      <c r="L94" s="1"/>
      <c r="M94" s="1"/>
      <c r="N94" s="1">
        <f t="shared" si="2"/>
        <v>1</v>
      </c>
    </row>
    <row r="95" spans="1:14" x14ac:dyDescent="0.25">
      <c r="A95" s="19" t="s">
        <v>317</v>
      </c>
      <c r="B95" s="1"/>
      <c r="C95" s="53">
        <f>S78</f>
        <v>978</v>
      </c>
      <c r="D95" s="53">
        <f>T78</f>
        <v>556</v>
      </c>
      <c r="E95" s="53">
        <f>U78</f>
        <v>768</v>
      </c>
      <c r="F95" s="33" t="s">
        <v>280</v>
      </c>
      <c r="I95" s="1" t="s">
        <v>121</v>
      </c>
      <c r="J95" s="1" t="s">
        <v>169</v>
      </c>
      <c r="K95" s="1">
        <v>1</v>
      </c>
      <c r="L95" s="1"/>
      <c r="M95" s="1"/>
      <c r="N95" s="1">
        <f t="shared" si="2"/>
        <v>1</v>
      </c>
    </row>
    <row r="96" spans="1:14" x14ac:dyDescent="0.25">
      <c r="I96" s="1" t="s">
        <v>121</v>
      </c>
      <c r="J96" s="1" t="s">
        <v>139</v>
      </c>
      <c r="K96" s="1">
        <v>3</v>
      </c>
      <c r="L96" s="1">
        <v>8</v>
      </c>
      <c r="M96" s="1">
        <v>3</v>
      </c>
      <c r="N96" s="1">
        <f t="shared" si="2"/>
        <v>14</v>
      </c>
    </row>
    <row r="97" spans="1:14" x14ac:dyDescent="0.25">
      <c r="I97" s="1" t="s">
        <v>121</v>
      </c>
      <c r="J97" s="1" t="s">
        <v>59</v>
      </c>
      <c r="K97" s="1">
        <v>1</v>
      </c>
      <c r="L97" s="1"/>
      <c r="M97" s="1"/>
      <c r="N97" s="1">
        <f t="shared" si="2"/>
        <v>1</v>
      </c>
    </row>
    <row r="98" spans="1:14" x14ac:dyDescent="0.25">
      <c r="I98" s="1" t="s">
        <v>121</v>
      </c>
      <c r="J98" s="1" t="s">
        <v>151</v>
      </c>
      <c r="K98" s="1">
        <v>4</v>
      </c>
      <c r="L98" s="1"/>
      <c r="M98" s="1">
        <v>5</v>
      </c>
      <c r="N98" s="1">
        <f t="shared" si="2"/>
        <v>9</v>
      </c>
    </row>
    <row r="99" spans="1:14" x14ac:dyDescent="0.25">
      <c r="I99" s="172" t="s">
        <v>349</v>
      </c>
      <c r="J99" s="172"/>
      <c r="K99" s="1">
        <f>SUM(K37:K98)</f>
        <v>978</v>
      </c>
      <c r="L99" s="1">
        <f>SUM(L37:L98)</f>
        <v>556</v>
      </c>
      <c r="M99" s="1">
        <f>SUM(M37:M98)</f>
        <v>768</v>
      </c>
      <c r="N99" s="1">
        <f>SUM(K99:M99)</f>
        <v>2302</v>
      </c>
    </row>
    <row r="104" spans="1:14" x14ac:dyDescent="0.25">
      <c r="A104" s="34" t="s">
        <v>232</v>
      </c>
    </row>
    <row r="106" spans="1:14" x14ac:dyDescent="0.25">
      <c r="A106" t="s">
        <v>355</v>
      </c>
    </row>
    <row r="108" spans="1:14" x14ac:dyDescent="0.25">
      <c r="A108" t="s">
        <v>356</v>
      </c>
      <c r="B108" t="s">
        <v>357</v>
      </c>
    </row>
    <row r="110" spans="1:14" x14ac:dyDescent="0.25">
      <c r="A110" t="s">
        <v>358</v>
      </c>
      <c r="B110" t="s">
        <v>359</v>
      </c>
    </row>
    <row r="112" spans="1:14" x14ac:dyDescent="0.25">
      <c r="A112" t="s">
        <v>129</v>
      </c>
      <c r="B112" t="s">
        <v>360</v>
      </c>
      <c r="C112" t="s">
        <v>361</v>
      </c>
      <c r="D112" t="s">
        <v>362</v>
      </c>
    </row>
    <row r="113" spans="1:6" x14ac:dyDescent="0.25">
      <c r="A113" s="19" t="s">
        <v>351</v>
      </c>
      <c r="B113">
        <v>31</v>
      </c>
      <c r="C113">
        <v>28</v>
      </c>
      <c r="D113">
        <f>100*(C84/($B$113-$C$113))</f>
        <v>1033.3333333333335</v>
      </c>
      <c r="E113">
        <f t="shared" ref="E113:F113" si="14">100*(D84/($B$113-$C$113))</f>
        <v>900</v>
      </c>
      <c r="F113">
        <f t="shared" si="14"/>
        <v>966.66666666666663</v>
      </c>
    </row>
    <row r="114" spans="1:6" x14ac:dyDescent="0.25">
      <c r="A114" s="19" t="s">
        <v>352</v>
      </c>
      <c r="B114">
        <v>9</v>
      </c>
      <c r="C114">
        <v>8</v>
      </c>
      <c r="D114">
        <f>100*(C85/($B$114-$C$114))</f>
        <v>900</v>
      </c>
      <c r="E114">
        <f t="shared" ref="E114:F114" si="15">100*(D85/($B$114-$C$114))</f>
        <v>800</v>
      </c>
      <c r="F114">
        <f t="shared" si="15"/>
        <v>900</v>
      </c>
    </row>
    <row r="115" spans="1:6" x14ac:dyDescent="0.25">
      <c r="A115" s="19" t="s">
        <v>285</v>
      </c>
      <c r="B115">
        <v>13</v>
      </c>
      <c r="C115">
        <v>8</v>
      </c>
    </row>
    <row r="116" spans="1:6" x14ac:dyDescent="0.25">
      <c r="A116" s="19" t="s">
        <v>288</v>
      </c>
      <c r="B116">
        <v>978</v>
      </c>
      <c r="C116">
        <v>556</v>
      </c>
    </row>
    <row r="117" spans="1:6" x14ac:dyDescent="0.25">
      <c r="A117" s="19" t="s">
        <v>293</v>
      </c>
      <c r="B117">
        <v>47.4</v>
      </c>
      <c r="C117">
        <v>33</v>
      </c>
    </row>
    <row r="118" spans="1:6" x14ac:dyDescent="0.25">
      <c r="A118" s="19" t="s">
        <v>296</v>
      </c>
      <c r="B118">
        <v>83</v>
      </c>
      <c r="C118">
        <v>50</v>
      </c>
    </row>
    <row r="119" spans="1:6" x14ac:dyDescent="0.25">
      <c r="A119" s="19" t="s">
        <v>300</v>
      </c>
      <c r="B119">
        <v>27</v>
      </c>
      <c r="C119">
        <v>9</v>
      </c>
    </row>
    <row r="120" spans="1:6" x14ac:dyDescent="0.25">
      <c r="A120" s="19" t="s">
        <v>304</v>
      </c>
      <c r="B120">
        <v>6</v>
      </c>
      <c r="C120">
        <v>1</v>
      </c>
    </row>
    <row r="121" spans="1:6" x14ac:dyDescent="0.25">
      <c r="A121" s="19" t="s">
        <v>308</v>
      </c>
      <c r="B121">
        <v>6</v>
      </c>
      <c r="C121">
        <v>2</v>
      </c>
    </row>
    <row r="122" spans="1:6" x14ac:dyDescent="0.25">
      <c r="A122" s="22" t="s">
        <v>353</v>
      </c>
      <c r="B122">
        <v>12</v>
      </c>
      <c r="C122">
        <v>2</v>
      </c>
    </row>
    <row r="123" spans="1:6" ht="30" x14ac:dyDescent="0.25">
      <c r="A123" s="18" t="s">
        <v>312</v>
      </c>
      <c r="B123">
        <v>27</v>
      </c>
      <c r="C123">
        <v>4</v>
      </c>
    </row>
    <row r="124" spans="1:6" x14ac:dyDescent="0.25">
      <c r="A124" s="19" t="s">
        <v>317</v>
      </c>
      <c r="B124">
        <v>199</v>
      </c>
      <c r="C124">
        <v>172</v>
      </c>
    </row>
  </sheetData>
  <mergeCells count="34">
    <mergeCell ref="A1:D1"/>
    <mergeCell ref="C35:E35"/>
    <mergeCell ref="A5:G5"/>
    <mergeCell ref="A78:B78"/>
    <mergeCell ref="F35:F36"/>
    <mergeCell ref="B35:B36"/>
    <mergeCell ref="A35:A36"/>
    <mergeCell ref="A16:A18"/>
    <mergeCell ref="A21:A25"/>
    <mergeCell ref="C82:E82"/>
    <mergeCell ref="I35:I36"/>
    <mergeCell ref="J35:J36"/>
    <mergeCell ref="K35:M35"/>
    <mergeCell ref="I99:J99"/>
    <mergeCell ref="N35:N36"/>
    <mergeCell ref="D15:F15"/>
    <mergeCell ref="D16:F16"/>
    <mergeCell ref="D17:F17"/>
    <mergeCell ref="D20:F20"/>
    <mergeCell ref="D19:F19"/>
    <mergeCell ref="D18:F18"/>
    <mergeCell ref="D27:F27"/>
    <mergeCell ref="D26:F26"/>
    <mergeCell ref="D25:F25"/>
    <mergeCell ref="D23:F23"/>
    <mergeCell ref="D22:F22"/>
    <mergeCell ref="D21:F21"/>
    <mergeCell ref="D24:F24"/>
    <mergeCell ref="G35:G36"/>
    <mergeCell ref="Q78:R78"/>
    <mergeCell ref="Q35:Q36"/>
    <mergeCell ref="R35:R36"/>
    <mergeCell ref="S35:U35"/>
    <mergeCell ref="V35:V36"/>
  </mergeCells>
  <pageMargins left="0.7" right="0.7" top="0.75" bottom="0.75" header="0.3" footer="0.3"/>
  <ignoredErrors>
    <ignoredError sqref="C89:E93 C85:E85 C88:E88" formulaRange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A0980-E29C-433B-B0C9-85C9ADFF9BF0}">
  <sheetPr>
    <tabColor theme="8"/>
  </sheetPr>
  <dimension ref="A2:K81"/>
  <sheetViews>
    <sheetView topLeftCell="A45" workbookViewId="0">
      <selection activeCell="H54" sqref="H54:K68"/>
    </sheetView>
  </sheetViews>
  <sheetFormatPr baseColWidth="10" defaultColWidth="11.42578125" defaultRowHeight="15" x14ac:dyDescent="0.25"/>
  <cols>
    <col min="1" max="1" width="25.5703125" customWidth="1"/>
    <col min="2" max="2" width="19.7109375" customWidth="1"/>
    <col min="4" max="4" width="13.28515625" customWidth="1"/>
    <col min="7" max="7" width="69.42578125" bestFit="1" customWidth="1"/>
  </cols>
  <sheetData>
    <row r="2" spans="1:7" x14ac:dyDescent="0.25">
      <c r="A2" t="s">
        <v>363</v>
      </c>
    </row>
    <row r="4" spans="1:7" x14ac:dyDescent="0.25">
      <c r="A4" s="34" t="s">
        <v>364</v>
      </c>
    </row>
    <row r="5" spans="1:7" x14ac:dyDescent="0.25">
      <c r="A5" s="34"/>
    </row>
    <row r="6" spans="1:7" x14ac:dyDescent="0.25">
      <c r="A6" s="42" t="s">
        <v>365</v>
      </c>
      <c r="B6" s="42" t="s">
        <v>271</v>
      </c>
      <c r="C6" s="42" t="s">
        <v>272</v>
      </c>
      <c r="D6" s="118" t="s">
        <v>273</v>
      </c>
      <c r="E6" s="118"/>
      <c r="F6" s="118"/>
      <c r="G6" s="52" t="s">
        <v>366</v>
      </c>
    </row>
    <row r="7" spans="1:7" ht="33" customHeight="1" x14ac:dyDescent="0.25">
      <c r="A7" s="117" t="s">
        <v>367</v>
      </c>
      <c r="B7" s="47" t="s">
        <v>368</v>
      </c>
      <c r="C7" s="19" t="s">
        <v>242</v>
      </c>
      <c r="D7" s="117" t="s">
        <v>369</v>
      </c>
      <c r="E7" s="117"/>
      <c r="F7" s="117"/>
      <c r="G7" s="41"/>
    </row>
    <row r="8" spans="1:7" x14ac:dyDescent="0.25">
      <c r="A8" s="117"/>
      <c r="B8" s="19" t="s">
        <v>370</v>
      </c>
      <c r="C8" s="19"/>
      <c r="D8" s="117"/>
      <c r="E8" s="117"/>
      <c r="F8" s="117"/>
      <c r="G8" s="41"/>
    </row>
    <row r="9" spans="1:7" x14ac:dyDescent="0.25">
      <c r="A9" s="33"/>
      <c r="B9" s="19" t="s">
        <v>371</v>
      </c>
      <c r="C9" s="19" t="s">
        <v>372</v>
      </c>
      <c r="D9" s="117" t="s">
        <v>373</v>
      </c>
      <c r="E9" s="117"/>
      <c r="F9" s="117"/>
      <c r="G9" s="41" t="s">
        <v>374</v>
      </c>
    </row>
    <row r="10" spans="1:7" x14ac:dyDescent="0.25">
      <c r="A10" s="120" t="s">
        <v>375</v>
      </c>
      <c r="B10" s="19" t="s">
        <v>376</v>
      </c>
      <c r="C10" s="19" t="s">
        <v>377</v>
      </c>
      <c r="D10" s="117" t="s">
        <v>378</v>
      </c>
      <c r="E10" s="117"/>
      <c r="F10" s="117"/>
      <c r="G10" s="41" t="s">
        <v>379</v>
      </c>
    </row>
    <row r="11" spans="1:7" x14ac:dyDescent="0.25">
      <c r="A11" s="120"/>
      <c r="B11" s="19" t="s">
        <v>380</v>
      </c>
      <c r="C11" s="19" t="s">
        <v>381</v>
      </c>
      <c r="D11" s="117" t="s">
        <v>382</v>
      </c>
      <c r="E11" s="117"/>
      <c r="F11" s="117"/>
      <c r="G11" s="41" t="s">
        <v>383</v>
      </c>
    </row>
    <row r="12" spans="1:7" ht="14.45" customHeight="1" x14ac:dyDescent="0.25">
      <c r="A12" s="120"/>
      <c r="B12" s="19" t="s">
        <v>384</v>
      </c>
      <c r="C12" s="19" t="s">
        <v>385</v>
      </c>
      <c r="D12" s="117" t="s">
        <v>382</v>
      </c>
      <c r="E12" s="117"/>
      <c r="F12" s="117"/>
      <c r="G12" s="41" t="s">
        <v>386</v>
      </c>
    </row>
    <row r="13" spans="1:7" ht="14.45" customHeight="1" x14ac:dyDescent="0.25">
      <c r="A13" s="120"/>
      <c r="B13" s="19" t="s">
        <v>387</v>
      </c>
      <c r="C13" s="19" t="s">
        <v>388</v>
      </c>
      <c r="D13" s="117" t="s">
        <v>382</v>
      </c>
      <c r="E13" s="117"/>
      <c r="F13" s="117"/>
      <c r="G13" s="41" t="s">
        <v>389</v>
      </c>
    </row>
    <row r="14" spans="1:7" x14ac:dyDescent="0.25">
      <c r="A14" s="120"/>
      <c r="B14" s="19" t="s">
        <v>390</v>
      </c>
      <c r="C14" s="19" t="s">
        <v>391</v>
      </c>
      <c r="D14" s="117" t="s">
        <v>392</v>
      </c>
      <c r="E14" s="117"/>
      <c r="F14" s="117"/>
      <c r="G14" s="41"/>
    </row>
    <row r="15" spans="1:7" x14ac:dyDescent="0.25">
      <c r="A15" s="120"/>
      <c r="B15" s="1" t="s">
        <v>393</v>
      </c>
      <c r="C15" s="1" t="s">
        <v>394</v>
      </c>
      <c r="D15" s="117" t="s">
        <v>395</v>
      </c>
      <c r="E15" s="117"/>
      <c r="F15" s="117"/>
      <c r="G15" s="41"/>
    </row>
    <row r="16" spans="1:7" ht="14.45" customHeight="1" x14ac:dyDescent="0.25">
      <c r="A16" s="122" t="s">
        <v>396</v>
      </c>
      <c r="B16" s="85" t="s">
        <v>397</v>
      </c>
      <c r="C16" s="19" t="s">
        <v>398</v>
      </c>
      <c r="D16" s="117" t="s">
        <v>382</v>
      </c>
      <c r="E16" s="117"/>
      <c r="F16" s="117"/>
      <c r="G16" s="41" t="s">
        <v>399</v>
      </c>
    </row>
    <row r="17" spans="1:9" x14ac:dyDescent="0.25">
      <c r="A17" s="122"/>
      <c r="B17" s="19" t="s">
        <v>400</v>
      </c>
      <c r="C17" s="19" t="s">
        <v>401</v>
      </c>
      <c r="D17" s="117" t="s">
        <v>392</v>
      </c>
      <c r="E17" s="117"/>
      <c r="F17" s="117"/>
      <c r="G17" s="41"/>
    </row>
    <row r="18" spans="1:9" x14ac:dyDescent="0.25">
      <c r="A18" s="122"/>
      <c r="B18" s="19" t="s">
        <v>402</v>
      </c>
      <c r="C18" s="19" t="s">
        <v>403</v>
      </c>
      <c r="D18" s="117" t="s">
        <v>395</v>
      </c>
      <c r="E18" s="117"/>
      <c r="F18" s="117"/>
      <c r="G18" s="41"/>
    </row>
    <row r="19" spans="1:9" x14ac:dyDescent="0.25">
      <c r="A19" s="122"/>
      <c r="B19" s="19" t="s">
        <v>404</v>
      </c>
      <c r="C19" s="19" t="s">
        <v>405</v>
      </c>
      <c r="D19" s="117" t="s">
        <v>406</v>
      </c>
      <c r="E19" s="117"/>
      <c r="F19" s="117"/>
      <c r="G19" s="41"/>
    </row>
    <row r="20" spans="1:9" x14ac:dyDescent="0.25">
      <c r="A20" s="122"/>
      <c r="B20" s="19" t="s">
        <v>407</v>
      </c>
      <c r="C20" s="19" t="s">
        <v>408</v>
      </c>
      <c r="D20" s="117" t="s">
        <v>409</v>
      </c>
      <c r="E20" s="117"/>
      <c r="F20" s="117"/>
      <c r="G20" s="41"/>
    </row>
    <row r="21" spans="1:9" x14ac:dyDescent="0.25">
      <c r="A21" s="122"/>
      <c r="B21" s="19" t="s">
        <v>410</v>
      </c>
      <c r="C21" s="19" t="s">
        <v>411</v>
      </c>
      <c r="D21" s="117" t="s">
        <v>412</v>
      </c>
      <c r="E21" s="117"/>
      <c r="F21" s="117"/>
      <c r="G21" s="41"/>
    </row>
    <row r="22" spans="1:9" ht="14.45" customHeight="1" x14ac:dyDescent="0.25">
      <c r="A22" s="123" t="s">
        <v>413</v>
      </c>
      <c r="B22" s="47" t="s">
        <v>414</v>
      </c>
      <c r="C22" s="19" t="s">
        <v>415</v>
      </c>
      <c r="D22" s="117" t="s">
        <v>382</v>
      </c>
      <c r="E22" s="117"/>
      <c r="F22" s="117"/>
      <c r="G22" s="41"/>
    </row>
    <row r="23" spans="1:9" ht="14.45" customHeight="1" x14ac:dyDescent="0.25">
      <c r="A23" s="123"/>
      <c r="B23" s="47" t="s">
        <v>416</v>
      </c>
      <c r="C23" s="19" t="s">
        <v>417</v>
      </c>
      <c r="D23" s="117" t="s">
        <v>382</v>
      </c>
      <c r="E23" s="117"/>
      <c r="F23" s="117"/>
      <c r="G23" s="41"/>
    </row>
    <row r="24" spans="1:9" x14ac:dyDescent="0.25">
      <c r="A24" s="71"/>
      <c r="B24" s="29"/>
      <c r="C24" s="29"/>
      <c r="D24" s="72"/>
      <c r="E24" s="72"/>
      <c r="F24" s="72"/>
      <c r="G24" s="72"/>
    </row>
    <row r="25" spans="1:9" x14ac:dyDescent="0.25">
      <c r="A25" s="71"/>
      <c r="B25" s="29"/>
      <c r="C25" s="29"/>
      <c r="D25" s="72"/>
      <c r="E25" s="72"/>
      <c r="F25" s="72"/>
      <c r="G25" s="72"/>
    </row>
    <row r="26" spans="1:9" x14ac:dyDescent="0.25">
      <c r="A26" s="71"/>
      <c r="B26" s="29"/>
      <c r="C26" s="29"/>
      <c r="D26" s="72"/>
      <c r="E26" s="72"/>
      <c r="F26" s="72"/>
      <c r="G26" s="72"/>
    </row>
    <row r="29" spans="1:9" ht="14.45" customHeight="1" x14ac:dyDescent="0.25">
      <c r="A29" s="121" t="s">
        <v>418</v>
      </c>
      <c r="B29" s="121"/>
      <c r="C29" s="121"/>
      <c r="D29" s="121"/>
      <c r="E29" s="121"/>
      <c r="F29" s="121"/>
      <c r="G29" s="121"/>
      <c r="H29" s="121"/>
      <c r="I29" s="121"/>
    </row>
    <row r="30" spans="1:9" x14ac:dyDescent="0.25">
      <c r="A30" s="121"/>
      <c r="B30" s="121"/>
      <c r="C30" s="121"/>
      <c r="D30" s="121"/>
      <c r="E30" s="121"/>
      <c r="F30" s="121"/>
      <c r="G30" s="121"/>
      <c r="H30" s="121"/>
      <c r="I30" s="121"/>
    </row>
    <row r="31" spans="1:9" x14ac:dyDescent="0.25">
      <c r="A31" s="121"/>
      <c r="B31" s="121"/>
      <c r="C31" s="121"/>
      <c r="D31" s="121"/>
      <c r="E31" s="121"/>
      <c r="F31" s="121"/>
      <c r="G31" s="121"/>
      <c r="H31" s="121"/>
      <c r="I31" s="121"/>
    </row>
    <row r="32" spans="1:9" x14ac:dyDescent="0.25">
      <c r="A32" s="121"/>
      <c r="B32" s="121"/>
      <c r="C32" s="121"/>
      <c r="D32" s="121"/>
      <c r="E32" s="121"/>
      <c r="F32" s="121"/>
      <c r="G32" s="121"/>
      <c r="H32" s="121"/>
      <c r="I32" s="121"/>
    </row>
    <row r="33" spans="1:9" x14ac:dyDescent="0.25">
      <c r="A33" s="121"/>
      <c r="B33" s="121"/>
      <c r="C33" s="121"/>
      <c r="D33" s="121"/>
      <c r="E33" s="121"/>
      <c r="F33" s="121"/>
      <c r="G33" s="121"/>
      <c r="H33" s="121"/>
      <c r="I33" s="121"/>
    </row>
    <row r="34" spans="1:9" x14ac:dyDescent="0.25">
      <c r="A34" s="121"/>
      <c r="B34" s="121"/>
      <c r="C34" s="121"/>
      <c r="D34" s="121"/>
      <c r="E34" s="121"/>
      <c r="F34" s="121"/>
      <c r="G34" s="121"/>
      <c r="H34" s="121"/>
      <c r="I34" s="121"/>
    </row>
    <row r="35" spans="1:9" x14ac:dyDescent="0.25">
      <c r="A35" s="121"/>
      <c r="B35" s="121"/>
      <c r="C35" s="121"/>
      <c r="D35" s="121"/>
      <c r="E35" s="121"/>
      <c r="F35" s="121"/>
      <c r="G35" s="121"/>
      <c r="H35" s="121"/>
      <c r="I35" s="121"/>
    </row>
    <row r="36" spans="1:9" x14ac:dyDescent="0.25">
      <c r="A36" s="121"/>
      <c r="B36" s="121"/>
      <c r="C36" s="121"/>
      <c r="D36" s="121"/>
      <c r="E36" s="121"/>
      <c r="F36" s="121"/>
      <c r="G36" s="121"/>
      <c r="H36" s="121"/>
      <c r="I36" s="121"/>
    </row>
    <row r="37" spans="1:9" x14ac:dyDescent="0.25">
      <c r="A37" s="121"/>
      <c r="B37" s="121"/>
      <c r="C37" s="121"/>
      <c r="D37" s="121"/>
      <c r="E37" s="121"/>
      <c r="F37" s="121"/>
      <c r="G37" s="121"/>
      <c r="H37" s="121"/>
      <c r="I37" s="121"/>
    </row>
    <row r="49" spans="1:11" x14ac:dyDescent="0.25">
      <c r="A49" s="34" t="s">
        <v>249</v>
      </c>
    </row>
    <row r="51" spans="1:11" x14ac:dyDescent="0.25">
      <c r="A51" s="73" t="s">
        <v>419</v>
      </c>
    </row>
    <row r="52" spans="1:11" x14ac:dyDescent="0.25">
      <c r="A52" s="73"/>
    </row>
    <row r="53" spans="1:11" x14ac:dyDescent="0.25">
      <c r="B53" s="119" t="s">
        <v>420</v>
      </c>
      <c r="C53" s="119"/>
      <c r="D53" s="119"/>
      <c r="G53" s="80" t="s">
        <v>421</v>
      </c>
      <c r="H53" s="80" t="s">
        <v>25</v>
      </c>
      <c r="I53" s="80" t="s">
        <v>7</v>
      </c>
      <c r="J53" s="80" t="s">
        <v>16</v>
      </c>
      <c r="K53" s="80" t="s">
        <v>35</v>
      </c>
    </row>
    <row r="54" spans="1:11" x14ac:dyDescent="0.25">
      <c r="A54" s="74" t="s">
        <v>422</v>
      </c>
      <c r="B54" s="75" t="s">
        <v>25</v>
      </c>
      <c r="C54" s="75" t="s">
        <v>7</v>
      </c>
      <c r="D54" s="75" t="s">
        <v>16</v>
      </c>
      <c r="G54" s="66" t="s">
        <v>423</v>
      </c>
      <c r="H54">
        <v>2</v>
      </c>
      <c r="K54">
        <v>2</v>
      </c>
    </row>
    <row r="55" spans="1:11" x14ac:dyDescent="0.25">
      <c r="A55" s="7" t="s">
        <v>424</v>
      </c>
      <c r="B55" s="19">
        <v>1</v>
      </c>
      <c r="C55" s="19"/>
      <c r="D55" s="19"/>
      <c r="G55" s="66" t="s">
        <v>425</v>
      </c>
      <c r="H55">
        <v>1</v>
      </c>
      <c r="K55">
        <v>1</v>
      </c>
    </row>
    <row r="56" spans="1:11" x14ac:dyDescent="0.25">
      <c r="A56" s="7" t="s">
        <v>426</v>
      </c>
      <c r="B56" s="19"/>
      <c r="C56" s="19">
        <v>1</v>
      </c>
      <c r="D56" s="19"/>
      <c r="G56" s="66" t="s">
        <v>427</v>
      </c>
      <c r="H56">
        <v>1</v>
      </c>
      <c r="I56">
        <v>1</v>
      </c>
      <c r="J56">
        <v>1</v>
      </c>
      <c r="K56">
        <v>3</v>
      </c>
    </row>
    <row r="57" spans="1:11" x14ac:dyDescent="0.25">
      <c r="A57" s="7" t="s">
        <v>428</v>
      </c>
      <c r="B57" s="19">
        <v>1</v>
      </c>
      <c r="C57" s="19">
        <v>1</v>
      </c>
      <c r="D57" s="19">
        <v>1</v>
      </c>
      <c r="G57" s="66" t="s">
        <v>429</v>
      </c>
      <c r="I57">
        <v>1</v>
      </c>
      <c r="K57">
        <v>1</v>
      </c>
    </row>
    <row r="58" spans="1:11" x14ac:dyDescent="0.25">
      <c r="A58" s="7" t="s">
        <v>430</v>
      </c>
      <c r="B58" s="19">
        <v>1</v>
      </c>
      <c r="C58" s="19"/>
      <c r="D58" s="19"/>
      <c r="G58" s="66" t="s">
        <v>431</v>
      </c>
      <c r="H58">
        <v>5</v>
      </c>
      <c r="I58">
        <v>2</v>
      </c>
      <c r="J58">
        <v>1</v>
      </c>
      <c r="K58">
        <v>8</v>
      </c>
    </row>
    <row r="59" spans="1:11" x14ac:dyDescent="0.25">
      <c r="A59" s="7" t="s">
        <v>432</v>
      </c>
      <c r="B59" s="19">
        <v>1</v>
      </c>
      <c r="C59" s="19">
        <v>1</v>
      </c>
      <c r="D59" s="19">
        <v>1</v>
      </c>
      <c r="G59" s="66" t="s">
        <v>433</v>
      </c>
      <c r="I59">
        <v>1</v>
      </c>
      <c r="K59">
        <v>1</v>
      </c>
    </row>
    <row r="60" spans="1:11" x14ac:dyDescent="0.25">
      <c r="A60" s="7" t="s">
        <v>434</v>
      </c>
      <c r="B60" s="19">
        <v>1</v>
      </c>
      <c r="C60" s="19">
        <v>1</v>
      </c>
      <c r="D60" s="19">
        <v>1</v>
      </c>
      <c r="G60" s="66" t="s">
        <v>435</v>
      </c>
      <c r="H60">
        <v>1</v>
      </c>
      <c r="I60">
        <v>1</v>
      </c>
      <c r="J60">
        <v>2</v>
      </c>
      <c r="K60">
        <v>4</v>
      </c>
    </row>
    <row r="61" spans="1:11" x14ac:dyDescent="0.25">
      <c r="A61" s="7" t="s">
        <v>436</v>
      </c>
      <c r="B61" s="19">
        <v>1</v>
      </c>
      <c r="C61" s="19"/>
      <c r="D61" s="19"/>
      <c r="G61" s="66" t="s">
        <v>437</v>
      </c>
      <c r="H61">
        <v>4</v>
      </c>
      <c r="I61">
        <v>1</v>
      </c>
      <c r="J61">
        <v>2</v>
      </c>
      <c r="K61">
        <v>7</v>
      </c>
    </row>
    <row r="62" spans="1:11" x14ac:dyDescent="0.25">
      <c r="A62" s="7" t="s">
        <v>438</v>
      </c>
      <c r="B62" s="19">
        <v>1</v>
      </c>
      <c r="C62" s="19"/>
      <c r="D62" s="19"/>
      <c r="G62" s="66" t="s">
        <v>439</v>
      </c>
      <c r="H62">
        <v>7</v>
      </c>
      <c r="I62">
        <v>3</v>
      </c>
      <c r="J62">
        <v>6</v>
      </c>
      <c r="K62">
        <v>16</v>
      </c>
    </row>
    <row r="63" spans="1:11" x14ac:dyDescent="0.25">
      <c r="A63" s="7" t="s">
        <v>440</v>
      </c>
      <c r="B63" s="19">
        <v>1</v>
      </c>
      <c r="C63" s="19">
        <v>1</v>
      </c>
      <c r="D63" s="19">
        <v>1</v>
      </c>
      <c r="G63" s="66" t="s">
        <v>441</v>
      </c>
      <c r="H63">
        <v>3</v>
      </c>
      <c r="I63">
        <v>1</v>
      </c>
      <c r="J63">
        <v>3</v>
      </c>
      <c r="K63">
        <v>7</v>
      </c>
    </row>
    <row r="64" spans="1:11" x14ac:dyDescent="0.25">
      <c r="A64" s="7" t="s">
        <v>442</v>
      </c>
      <c r="B64" s="19">
        <v>2</v>
      </c>
      <c r="C64" s="19">
        <v>2</v>
      </c>
      <c r="D64" s="19">
        <v>2</v>
      </c>
      <c r="G64" s="66" t="s">
        <v>443</v>
      </c>
      <c r="J64">
        <v>1</v>
      </c>
      <c r="K64">
        <v>1</v>
      </c>
    </row>
    <row r="65" spans="1:11" x14ac:dyDescent="0.25">
      <c r="A65" s="7" t="s">
        <v>444</v>
      </c>
      <c r="B65" s="19"/>
      <c r="C65" s="19"/>
      <c r="D65" s="19">
        <v>2</v>
      </c>
      <c r="G65" s="66" t="s">
        <v>445</v>
      </c>
      <c r="J65">
        <v>1</v>
      </c>
      <c r="K65">
        <v>1</v>
      </c>
    </row>
    <row r="66" spans="1:11" x14ac:dyDescent="0.25">
      <c r="A66" s="7" t="s">
        <v>446</v>
      </c>
      <c r="B66" s="19">
        <v>1</v>
      </c>
      <c r="C66" s="19">
        <v>1</v>
      </c>
      <c r="D66" s="19">
        <v>1</v>
      </c>
      <c r="G66" s="66" t="s">
        <v>447</v>
      </c>
      <c r="H66">
        <v>2</v>
      </c>
      <c r="I66">
        <v>2</v>
      </c>
      <c r="J66">
        <v>2</v>
      </c>
      <c r="K66">
        <v>6</v>
      </c>
    </row>
    <row r="67" spans="1:11" x14ac:dyDescent="0.25">
      <c r="A67" s="7" t="s">
        <v>448</v>
      </c>
      <c r="B67" s="19">
        <v>1</v>
      </c>
      <c r="C67" s="19"/>
      <c r="D67" s="19"/>
      <c r="G67" s="66" t="s">
        <v>449</v>
      </c>
      <c r="H67">
        <v>1</v>
      </c>
      <c r="K67">
        <v>1</v>
      </c>
    </row>
    <row r="68" spans="1:11" x14ac:dyDescent="0.25">
      <c r="A68" s="7" t="s">
        <v>450</v>
      </c>
      <c r="B68" s="19"/>
      <c r="C68" s="19">
        <v>1</v>
      </c>
      <c r="D68" s="19"/>
      <c r="G68" s="66" t="s">
        <v>451</v>
      </c>
      <c r="H68">
        <v>1</v>
      </c>
      <c r="K68">
        <v>1</v>
      </c>
    </row>
    <row r="69" spans="1:11" x14ac:dyDescent="0.25">
      <c r="A69" s="17" t="s">
        <v>452</v>
      </c>
      <c r="B69" s="76">
        <f>COUNT(B55:B68)</f>
        <v>11</v>
      </c>
      <c r="C69" s="76">
        <f t="shared" ref="C69:D69" si="0">COUNT(C55:C68)</f>
        <v>8</v>
      </c>
      <c r="D69" s="76">
        <f t="shared" si="0"/>
        <v>7</v>
      </c>
      <c r="G69" s="83" t="s">
        <v>35</v>
      </c>
      <c r="H69" s="84">
        <v>28</v>
      </c>
      <c r="I69" s="84">
        <v>13</v>
      </c>
      <c r="J69" s="84">
        <v>19</v>
      </c>
      <c r="K69" s="84">
        <v>60</v>
      </c>
    </row>
    <row r="71" spans="1:11" x14ac:dyDescent="0.25">
      <c r="B71" s="75" t="s">
        <v>25</v>
      </c>
      <c r="C71" s="75" t="s">
        <v>7</v>
      </c>
      <c r="D71" s="75" t="s">
        <v>16</v>
      </c>
    </row>
    <row r="72" spans="1:11" x14ac:dyDescent="0.25">
      <c r="A72" t="s">
        <v>453</v>
      </c>
      <c r="B72">
        <v>4</v>
      </c>
      <c r="C72">
        <v>4</v>
      </c>
      <c r="D72">
        <v>3</v>
      </c>
    </row>
    <row r="73" spans="1:11" x14ac:dyDescent="0.25">
      <c r="A73" t="s">
        <v>454</v>
      </c>
      <c r="B73">
        <v>5</v>
      </c>
      <c r="C73">
        <v>4</v>
      </c>
      <c r="D73">
        <v>4</v>
      </c>
    </row>
    <row r="77" spans="1:11" x14ac:dyDescent="0.25">
      <c r="A77" s="75" t="s">
        <v>455</v>
      </c>
      <c r="B77" s="75" t="s">
        <v>25</v>
      </c>
      <c r="C77" s="75" t="s">
        <v>7</v>
      </c>
      <c r="D77" s="75" t="s">
        <v>16</v>
      </c>
    </row>
    <row r="78" spans="1:11" x14ac:dyDescent="0.25">
      <c r="A78" t="s">
        <v>456</v>
      </c>
      <c r="B78">
        <v>11</v>
      </c>
      <c r="C78">
        <v>8</v>
      </c>
      <c r="D78">
        <v>7</v>
      </c>
    </row>
    <row r="79" spans="1:11" x14ac:dyDescent="0.25">
      <c r="A79" t="s">
        <v>457</v>
      </c>
      <c r="B79" s="20">
        <f>+(B72/B78)*100</f>
        <v>36.363636363636367</v>
      </c>
      <c r="C79" s="20">
        <f>+(C72/C78)*100</f>
        <v>50</v>
      </c>
      <c r="D79" s="20">
        <f>+(D72/D78)*100</f>
        <v>42.857142857142854</v>
      </c>
    </row>
    <row r="80" spans="1:11" x14ac:dyDescent="0.25">
      <c r="A80" t="s">
        <v>458</v>
      </c>
    </row>
    <row r="81" spans="1:1" x14ac:dyDescent="0.25">
      <c r="A81" t="s">
        <v>459</v>
      </c>
    </row>
  </sheetData>
  <mergeCells count="24">
    <mergeCell ref="B53:D53"/>
    <mergeCell ref="A10:A15"/>
    <mergeCell ref="D10:F10"/>
    <mergeCell ref="D11:F11"/>
    <mergeCell ref="D12:F12"/>
    <mergeCell ref="D13:F13"/>
    <mergeCell ref="D14:F14"/>
    <mergeCell ref="D15:F15"/>
    <mergeCell ref="D16:F16"/>
    <mergeCell ref="D17:F17"/>
    <mergeCell ref="A29:I37"/>
    <mergeCell ref="A16:A21"/>
    <mergeCell ref="D22:F22"/>
    <mergeCell ref="D23:F23"/>
    <mergeCell ref="A22:A23"/>
    <mergeCell ref="D18:F18"/>
    <mergeCell ref="D20:F20"/>
    <mergeCell ref="D21:F21"/>
    <mergeCell ref="D19:F19"/>
    <mergeCell ref="D6:F6"/>
    <mergeCell ref="A7:A8"/>
    <mergeCell ref="D7:F7"/>
    <mergeCell ref="D8:F8"/>
    <mergeCell ref="D9:F9"/>
  </mergeCells>
  <phoneticPr fontId="1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CCBCD-2F07-4CD0-A16E-11C9BA29A780}">
  <sheetPr>
    <tabColor rgb="FF0070C0"/>
  </sheetPr>
  <dimension ref="A1"/>
  <sheetViews>
    <sheetView workbookViewId="0">
      <selection activeCell="J32" sqref="J32"/>
    </sheetView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Coordenadas </vt:lpstr>
      <vt:lpstr>Diccionario</vt:lpstr>
      <vt:lpstr>Macroinv.</vt:lpstr>
      <vt:lpstr>Perifiton</vt:lpstr>
      <vt:lpstr>Peces</vt:lpstr>
      <vt:lpstr>Vegetacion</vt:lpstr>
      <vt:lpstr>Fisicoquímicos</vt:lpstr>
      <vt:lpstr>Chl-a</vt:lpstr>
      <vt:lpstr>IIBPeces</vt:lpstr>
      <vt:lpstr>IIBMA</vt:lpstr>
      <vt:lpstr>IIBPef</vt:lpstr>
      <vt:lpstr>IIBVeg</vt:lpstr>
    </vt:vector>
  </TitlesOfParts>
  <Manager/>
  <Company>U. A. E. de Aeronáutica Civil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Javier</dc:creator>
  <cp:keywords/>
  <dc:description/>
  <cp:lastModifiedBy>Javier Rodriguez Barrios</cp:lastModifiedBy>
  <cp:revision/>
  <dcterms:created xsi:type="dcterms:W3CDTF">2017-04-18T00:26:04Z</dcterms:created>
  <dcterms:modified xsi:type="dcterms:W3CDTF">2026-09-11T23:13:50Z</dcterms:modified>
  <cp:category/>
  <cp:contentStatus/>
</cp:coreProperties>
</file>